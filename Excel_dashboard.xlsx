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US KIT04\Downloads\NSE_PROJECT\"/>
    </mc:Choice>
  </mc:AlternateContent>
  <xr:revisionPtr revIDLastSave="0" documentId="13_ncr:1_{FA1D12DC-8E9E-4BA3-82CB-09F93F827EB4}" xr6:coauthVersionLast="47" xr6:coauthVersionMax="47" xr10:uidLastSave="{00000000-0000-0000-0000-000000000000}"/>
  <bookViews>
    <workbookView xWindow="-108" yWindow="-108" windowWidth="23256" windowHeight="13176" activeTab="2" xr2:uid="{0B3437E9-37D7-448F-8047-B5F1115B807E}"/>
  </bookViews>
  <sheets>
    <sheet name="Pivots" sheetId="3" r:id="rId1"/>
    <sheet name="Data" sheetId="1" r:id="rId2"/>
    <sheet name="Dashboard" sheetId="2" r:id="rId3"/>
  </sheets>
  <definedNames>
    <definedName name="Slicer_Cap_Category">#N/A</definedName>
    <definedName name="Slicer_Movement">#N/A</definedName>
    <definedName name="Slicer_Volume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5" i="3" l="1"/>
  <c r="A44" i="3"/>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B48" i="3"/>
  <c r="B55" i="3"/>
  <c r="B44" i="3"/>
</calcChain>
</file>

<file path=xl/sharedStrings.xml><?xml version="1.0" encoding="utf-8"?>
<sst xmlns="http://schemas.openxmlformats.org/spreadsheetml/2006/main" count="4292" uniqueCount="4272">
  <si>
    <t>SYMBOL</t>
  </si>
  <si>
    <t>COMPANY_NAME</t>
  </si>
  <si>
    <t>OPEN_PRICE</t>
  </si>
  <si>
    <t>HIGH_PRICE</t>
  </si>
  <si>
    <t>LOW_PRICE</t>
  </si>
  <si>
    <t>CLOSE_PRICE</t>
  </si>
  <si>
    <t>PREV_CL_PR</t>
  </si>
  <si>
    <t>NET_TRDQTY</t>
  </si>
  <si>
    <t>TRADES</t>
  </si>
  <si>
    <t>MARKET_CAP</t>
  </si>
  <si>
    <t>ISSUE_SIZE</t>
  </si>
  <si>
    <t>ADANIENT</t>
  </si>
  <si>
    <t>ADANI ENTERPRISES LIMITED</t>
  </si>
  <si>
    <t>ADANIPORTS</t>
  </si>
  <si>
    <t>ADANI PORT &amp; SEZ LTD</t>
  </si>
  <si>
    <t>APOLLOHOSP</t>
  </si>
  <si>
    <t>APOLLO HOSPITALS ENTER. L</t>
  </si>
  <si>
    <t>ASIANPAINT</t>
  </si>
  <si>
    <t>ASIAN PAINTS LIMITED</t>
  </si>
  <si>
    <t>AXISBANK</t>
  </si>
  <si>
    <t>AXIS BANK LIMITED</t>
  </si>
  <si>
    <t>BAJAJ-AUTO</t>
  </si>
  <si>
    <t>BAJAJ AUTO LIMITED</t>
  </si>
  <si>
    <t>BAJAJFINSV</t>
  </si>
  <si>
    <t>BAJAJ FINSERV LTD.</t>
  </si>
  <si>
    <t>BAJFINANCE</t>
  </si>
  <si>
    <t>BAJAJ FINANCE LIMITED</t>
  </si>
  <si>
    <t>BEL</t>
  </si>
  <si>
    <t>BHARAT ELECTRONICS LTD</t>
  </si>
  <si>
    <t>BHARTIARTL</t>
  </si>
  <si>
    <t>BHARTI AIRTEL LIMITED</t>
  </si>
  <si>
    <t>CIPLA</t>
  </si>
  <si>
    <t>CIPLA LTD</t>
  </si>
  <si>
    <t>COALINDIA</t>
  </si>
  <si>
    <t>COAL INDIA LTD</t>
  </si>
  <si>
    <t>DRREDDY</t>
  </si>
  <si>
    <t>DR. REDDY S LABORATORIES</t>
  </si>
  <si>
    <t>EICHERMOT</t>
  </si>
  <si>
    <t>EICHER MOTORS LTD</t>
  </si>
  <si>
    <t>ETERNAL</t>
  </si>
  <si>
    <t>ETERNAL LIMITED</t>
  </si>
  <si>
    <t>GRASIM</t>
  </si>
  <si>
    <t>GRASIM INDUSTRIES LTD</t>
  </si>
  <si>
    <t>HCLTECH</t>
  </si>
  <si>
    <t>HCL TECHNOLOGIES LTD</t>
  </si>
  <si>
    <t>HDFCBANK</t>
  </si>
  <si>
    <t>HDFC BANK LTD</t>
  </si>
  <si>
    <t>HDFCLIFE</t>
  </si>
  <si>
    <t>HDFC LIFE INS CO LTD</t>
  </si>
  <si>
    <t>HINDALCO</t>
  </si>
  <si>
    <t>HINDALCO  INDUSTRIES  LTD</t>
  </si>
  <si>
    <t>HINDUNILVR</t>
  </si>
  <si>
    <t>HINDUSTAN UNILEVER LTD.</t>
  </si>
  <si>
    <t>ICICIBANK</t>
  </si>
  <si>
    <t>ICICI BANK LTD.</t>
  </si>
  <si>
    <t>INDIGO</t>
  </si>
  <si>
    <t>INTERGLOBE AVIATION LTD</t>
  </si>
  <si>
    <t>INFY</t>
  </si>
  <si>
    <t>INFOSYS LIMITED</t>
  </si>
  <si>
    <t>ITC</t>
  </si>
  <si>
    <t>ITC LTD</t>
  </si>
  <si>
    <t>JIOFIN</t>
  </si>
  <si>
    <t>JIO FIN SERVICES LTD</t>
  </si>
  <si>
    <t>JSWSTEEL</t>
  </si>
  <si>
    <t>JSW STEEL LIMITED</t>
  </si>
  <si>
    <t>KOTAKBANK</t>
  </si>
  <si>
    <t>KOTAK MAHINDRA BANK LTD</t>
  </si>
  <si>
    <t>LT</t>
  </si>
  <si>
    <t>LARSEN &amp; TOUBRO LTD.</t>
  </si>
  <si>
    <t>M&amp;M</t>
  </si>
  <si>
    <t>MAHINDRA &amp; MAHINDRA LTD</t>
  </si>
  <si>
    <t>MARUTI</t>
  </si>
  <si>
    <t>MARUTI SUZUKI INDIA LTD.</t>
  </si>
  <si>
    <t>MAXHEALTH</t>
  </si>
  <si>
    <t>MAX HEALTHCARE INS LTD</t>
  </si>
  <si>
    <t>NESTLEIND</t>
  </si>
  <si>
    <t>NESTLE INDIA LIMITED</t>
  </si>
  <si>
    <t>NTPC</t>
  </si>
  <si>
    <t>NTPC LTD</t>
  </si>
  <si>
    <t>ONGC</t>
  </si>
  <si>
    <t>OIL AND NATURAL GAS CORP.</t>
  </si>
  <si>
    <t>POWERGRID</t>
  </si>
  <si>
    <t>POWER GRID CORP. LTD.</t>
  </si>
  <si>
    <t>RELIANCE</t>
  </si>
  <si>
    <t>RELIANCE INDUSTRIES LTD</t>
  </si>
  <si>
    <t>SBILIFE</t>
  </si>
  <si>
    <t>SBI LIFE INSURANCE CO LTD</t>
  </si>
  <si>
    <t>SBIN</t>
  </si>
  <si>
    <t>STATE BANK OF INDIA</t>
  </si>
  <si>
    <t>SHRIRAMFIN</t>
  </si>
  <si>
    <t>SHRIRAM FINANCE LIMITED</t>
  </si>
  <si>
    <t>SUNPHARMA</t>
  </si>
  <si>
    <t>SUN PHARMACEUTICAL IND L</t>
  </si>
  <si>
    <t>TATACONSUM</t>
  </si>
  <si>
    <t>TATA CONSUMER PRODUCT LTD</t>
  </si>
  <si>
    <t>TATASTEEL</t>
  </si>
  <si>
    <t>TATA STEEL LIMITED</t>
  </si>
  <si>
    <t>TCS</t>
  </si>
  <si>
    <t>TATA CONSULTANCY SERV LT</t>
  </si>
  <si>
    <t>TECHM</t>
  </si>
  <si>
    <t>TECH MAHINDRA LIMITED</t>
  </si>
  <si>
    <t>TITAN</t>
  </si>
  <si>
    <t>TITAN COMPANY LIMITED</t>
  </si>
  <si>
    <t>TMPV</t>
  </si>
  <si>
    <t>TATA MOTORS PASS VEH LTD</t>
  </si>
  <si>
    <t>TRENT</t>
  </si>
  <si>
    <t>TRENT LTD</t>
  </si>
  <si>
    <t>ULTRACEMCO</t>
  </si>
  <si>
    <t>ULTRATECH CEMENT LIMITED</t>
  </si>
  <si>
    <t>WIPRO</t>
  </si>
  <si>
    <t>WIPRO LTD</t>
  </si>
  <si>
    <t>ABB</t>
  </si>
  <si>
    <t>ABB INDIA LIMITED</t>
  </si>
  <si>
    <t>ADANIENSOL</t>
  </si>
  <si>
    <t>ADANI ENERGY SOLUTION LTD</t>
  </si>
  <si>
    <t>ADANIGREEN</t>
  </si>
  <si>
    <t>ADANI GREEN ENERGY LTD</t>
  </si>
  <si>
    <t>ADANIPOWER</t>
  </si>
  <si>
    <t>ADANI POWER LTD</t>
  </si>
  <si>
    <t>AMBUJACEM</t>
  </si>
  <si>
    <t>AMBUJA CEMENTS LTD</t>
  </si>
  <si>
    <t>BAJAJHFL</t>
  </si>
  <si>
    <t>BAJAJ HOUSING FINANCE LTD</t>
  </si>
  <si>
    <t>BAJAJHLDNG</t>
  </si>
  <si>
    <t>BAJAJ HOLDINGS &amp; INVS LTD</t>
  </si>
  <si>
    <t>BANKBARODA</t>
  </si>
  <si>
    <t>BANK OF BARODA</t>
  </si>
  <si>
    <t>BOSCHLTD</t>
  </si>
  <si>
    <t>BOSCH LIMITED</t>
  </si>
  <si>
    <t>BPCL</t>
  </si>
  <si>
    <t>BHARAT PETROLEUM CORP  LT</t>
  </si>
  <si>
    <t>BRITANNIA</t>
  </si>
  <si>
    <t>BRITANNIA INDUSTRIES LTD</t>
  </si>
  <si>
    <t>CANBK</t>
  </si>
  <si>
    <t>CANARA BANK</t>
  </si>
  <si>
    <t>CGPOWER</t>
  </si>
  <si>
    <t>CG POWER AND IND SOL LTD</t>
  </si>
  <si>
    <t>CHOLAFIN</t>
  </si>
  <si>
    <t>CHOLAMANDALAM IN &amp; FIN CO</t>
  </si>
  <si>
    <t>DIVISLAB</t>
  </si>
  <si>
    <t>DIVI S LABORATORIES LTD</t>
  </si>
  <si>
    <t>DLF</t>
  </si>
  <si>
    <t>DLF LIMITED</t>
  </si>
  <si>
    <t>DMART</t>
  </si>
  <si>
    <t>AVENUE SUPERMARTS LIMITED</t>
  </si>
  <si>
    <t>ENRIN</t>
  </si>
  <si>
    <t>SIEMENS ENERGY INDIA LTD</t>
  </si>
  <si>
    <t>GAIL</t>
  </si>
  <si>
    <t>GAIL (INDIA) LTD</t>
  </si>
  <si>
    <t>GODREJCP</t>
  </si>
  <si>
    <t>GODREJ CONSUMER PRODUCTS</t>
  </si>
  <si>
    <t>HAL</t>
  </si>
  <si>
    <t>HINDUSTAN AERONAUTICS LTD</t>
  </si>
  <si>
    <t>HAVELLS</t>
  </si>
  <si>
    <t>HAVELLS INDIA LIMITED</t>
  </si>
  <si>
    <t>HINDZINC</t>
  </si>
  <si>
    <t>HINDUSTAN ZINC LIMITED</t>
  </si>
  <si>
    <t>HYUNDAI</t>
  </si>
  <si>
    <t>HYUNDAI MOTOR INDIA LTD</t>
  </si>
  <si>
    <t>ICICIGI</t>
  </si>
  <si>
    <t>ICICI LOMBARD GIC LIMITED</t>
  </si>
  <si>
    <t>INDHOTEL</t>
  </si>
  <si>
    <t>THE INDIAN HOTELS CO. LTD</t>
  </si>
  <si>
    <t>IOC</t>
  </si>
  <si>
    <t>INDIAN OIL CORP LTD</t>
  </si>
  <si>
    <t>IRFC</t>
  </si>
  <si>
    <t>INDIAN RAILWAY FIN CORP L</t>
  </si>
  <si>
    <t>JINDALSTEL</t>
  </si>
  <si>
    <t>JINDAL STEEL LIMITED</t>
  </si>
  <si>
    <t>JSWENERGY</t>
  </si>
  <si>
    <t>JSW ENERGY LIMITED</t>
  </si>
  <si>
    <t>LICI</t>
  </si>
  <si>
    <t>LIFE INSURA CORP OF INDIA</t>
  </si>
  <si>
    <t>LODHA</t>
  </si>
  <si>
    <t>LODHA DEVELOPERS LIMITED</t>
  </si>
  <si>
    <t>LTM</t>
  </si>
  <si>
    <t>LTIMINDTREE LIMITED</t>
  </si>
  <si>
    <t>MAZDOCK</t>
  </si>
  <si>
    <t>MAZAGON DOCK SHIPBUIL LTD</t>
  </si>
  <si>
    <t>MOTHERSON</t>
  </si>
  <si>
    <t>SAMVRDHNA MTHRSN INTL LTD</t>
  </si>
  <si>
    <t>NAUKRI</t>
  </si>
  <si>
    <t>INFO EDGE (I) LTD</t>
  </si>
  <si>
    <t>PFC</t>
  </si>
  <si>
    <t>POWER FIN CORP LTD.</t>
  </si>
  <si>
    <t>PIDILITIND</t>
  </si>
  <si>
    <t>PIDILITE INDUSTRIES LTD</t>
  </si>
  <si>
    <t>PNB</t>
  </si>
  <si>
    <t>PUNJAB NATIONAL BANK</t>
  </si>
  <si>
    <t>RECLTD</t>
  </si>
  <si>
    <t>REC LIMITED</t>
  </si>
  <si>
    <t>SHREECEM</t>
  </si>
  <si>
    <t>SHREE CEMENT LIMITED</t>
  </si>
  <si>
    <t>SIEMENS</t>
  </si>
  <si>
    <t>SIEMENS LTD</t>
  </si>
  <si>
    <t>SOLARINDS</t>
  </si>
  <si>
    <t>SOLAR INDUSTRIES (I) LTD</t>
  </si>
  <si>
    <t>TATAPOWER</t>
  </si>
  <si>
    <t>TATA POWER CO LTD</t>
  </si>
  <si>
    <t>TORNTPHARM</t>
  </si>
  <si>
    <t>TORRENT PHARMACEUTICALS L</t>
  </si>
  <si>
    <t>TVSMOTOR</t>
  </si>
  <si>
    <t>TVS MOTOR COMPANY  LTD</t>
  </si>
  <si>
    <t>UNITDSPR</t>
  </si>
  <si>
    <t>UNITED SPIRITS LIMITED</t>
  </si>
  <si>
    <t>VBL</t>
  </si>
  <si>
    <t>VARUN BEVERAGES LIMITED</t>
  </si>
  <si>
    <t>VEDL</t>
  </si>
  <si>
    <t>VEDANTA LIMITED</t>
  </si>
  <si>
    <t>ZYDUSLIFE</t>
  </si>
  <si>
    <t>ZYDUS LIFESCIENCES LTD</t>
  </si>
  <si>
    <t>20MICRONS</t>
  </si>
  <si>
    <t>20 MICRONS LTD</t>
  </si>
  <si>
    <t>21STCENMGM</t>
  </si>
  <si>
    <t>21ST CENTURY MGMT SERVICE</t>
  </si>
  <si>
    <t>360ONE</t>
  </si>
  <si>
    <t>360 ONE WAM LIMITED</t>
  </si>
  <si>
    <t>3IINFOLTD</t>
  </si>
  <si>
    <t>3I INFOTECH LIMITED</t>
  </si>
  <si>
    <t>3MINDIA</t>
  </si>
  <si>
    <t>3M INDIA LIMITED</t>
  </si>
  <si>
    <t>3PLAND</t>
  </si>
  <si>
    <t>3P LAND HOLDINGS LIMITED</t>
  </si>
  <si>
    <t>5PAISA</t>
  </si>
  <si>
    <t>5PAISA CAPITAL LIMITED</t>
  </si>
  <si>
    <t>63MOONS</t>
  </si>
  <si>
    <t>63 MOONS TECHNOLOGIES LTD</t>
  </si>
  <si>
    <t>AAATECH</t>
  </si>
  <si>
    <t>AAA TECHNOLOGIES LIMITED</t>
  </si>
  <si>
    <t>AADHARHFC</t>
  </si>
  <si>
    <t>AADHAR HOUSING FINANCE L</t>
  </si>
  <si>
    <t>AAREYDRUGS</t>
  </si>
  <si>
    <t>AAREY DRUGS &amp; PHARM LTD</t>
  </si>
  <si>
    <t>AARNAV</t>
  </si>
  <si>
    <t>AARNAV FASHIONS LIMITED</t>
  </si>
  <si>
    <t>AARON</t>
  </si>
  <si>
    <t>AARON INDUSTRIES LIMITED</t>
  </si>
  <si>
    <t>AARTECH</t>
  </si>
  <si>
    <t>AARTECH SOLONICS LIMITED</t>
  </si>
  <si>
    <t>AARTIDRUGS</t>
  </si>
  <si>
    <t>AARTI DRUGS LTD.</t>
  </si>
  <si>
    <t>AARTIIND</t>
  </si>
  <si>
    <t>AARTI INDUSTRIES LTD</t>
  </si>
  <si>
    <t>AARTIPHARM</t>
  </si>
  <si>
    <t>AARTI PHARMALABS LIMITED</t>
  </si>
  <si>
    <t>AARTISURF</t>
  </si>
  <si>
    <t>AARTI SURFACTANTS LIMITED</t>
  </si>
  <si>
    <t>AARVI</t>
  </si>
  <si>
    <t>AARVI ENCON LIMITED</t>
  </si>
  <si>
    <t>AAVAS</t>
  </si>
  <si>
    <t>AAVAS FINANCIERS LIMITED</t>
  </si>
  <si>
    <t>ABBOTINDIA</t>
  </si>
  <si>
    <t>ABBOTT INDIA LIMITED</t>
  </si>
  <si>
    <t>ABCAPITAL</t>
  </si>
  <si>
    <t>ADITYA BIRLA CAPITAL LTD.</t>
  </si>
  <si>
    <t>ABCOTS</t>
  </si>
  <si>
    <t>A B COTSPIN INDIA LIMITED</t>
  </si>
  <si>
    <t>ABDL</t>
  </si>
  <si>
    <t>ALLIED BLEND N DISTILS L</t>
  </si>
  <si>
    <t>ABFRL</t>
  </si>
  <si>
    <t>ADITYA BIRLA FASHION &amp; RT</t>
  </si>
  <si>
    <t>ABINFRA</t>
  </si>
  <si>
    <t>A B INFRABUILD LIMITED</t>
  </si>
  <si>
    <t>ABLBL</t>
  </si>
  <si>
    <t>ADITYA BIRLA LIFES BRAN L</t>
  </si>
  <si>
    <t>ABREL</t>
  </si>
  <si>
    <t>ADITYA BIRLA REAL EST LTD</t>
  </si>
  <si>
    <t>ABSLAMC</t>
  </si>
  <si>
    <t>ADIT BIRL SUN LIF AMC LTD</t>
  </si>
  <si>
    <t>ACC</t>
  </si>
  <si>
    <t>ACC LIMITED</t>
  </si>
  <si>
    <t>ACCELYA</t>
  </si>
  <si>
    <t>ACCELYA SOLN INDIA LTD</t>
  </si>
  <si>
    <t>ACCURACY</t>
  </si>
  <si>
    <t>ACCURACY SHIPPING LIMITED</t>
  </si>
  <si>
    <t>ACE</t>
  </si>
  <si>
    <t>ACTION CONST EQUIP LTD</t>
  </si>
  <si>
    <t>ACEINTEG</t>
  </si>
  <si>
    <t>ACE INTEGRATED SOLU. LTD.</t>
  </si>
  <si>
    <t>ACI</t>
  </si>
  <si>
    <t>ARCHEAN CHEMICAL IND LTD</t>
  </si>
  <si>
    <t>ACL</t>
  </si>
  <si>
    <t>ANDHRA CEMENTS LIMITED</t>
  </si>
  <si>
    <t>ACMESOLAR</t>
  </si>
  <si>
    <t>ACME SOLAR HOLDINGS LTD</t>
  </si>
  <si>
    <t>ACUTAAS</t>
  </si>
  <si>
    <t>ACUTAAS CHEMICALS LIMITED</t>
  </si>
  <si>
    <t>ADFFOODS</t>
  </si>
  <si>
    <t>ADF FOODS LIMITED</t>
  </si>
  <si>
    <t>ADL</t>
  </si>
  <si>
    <t>ARCHIDPLY DECOR LIMITED</t>
  </si>
  <si>
    <t>ADOR</t>
  </si>
  <si>
    <t>ADOR WELDING LTD</t>
  </si>
  <si>
    <t>ADROITINFO</t>
  </si>
  <si>
    <t>ADROIT INFOTECH LIMITED</t>
  </si>
  <si>
    <t>ADSL</t>
  </si>
  <si>
    <t>ALLIED DIGITAL SERV. LTD</t>
  </si>
  <si>
    <t>ADVAIT</t>
  </si>
  <si>
    <t>ADVAIT ENRGY TRANSITION L</t>
  </si>
  <si>
    <t>ADVANCE</t>
  </si>
  <si>
    <t>ADVANCE AGROLIFE LIMITED</t>
  </si>
  <si>
    <t>ADVANIHOTR</t>
  </si>
  <si>
    <t>ADVANI HOT.&amp; RES.(I) LTD</t>
  </si>
  <si>
    <t>ADVENTHTL</t>
  </si>
  <si>
    <t>ADVENT HOTELS INTERNATI L</t>
  </si>
  <si>
    <t>ADVENZYMES</t>
  </si>
  <si>
    <t>ADVANCED ENZYME TECH LTD</t>
  </si>
  <si>
    <t>AEGISLOG</t>
  </si>
  <si>
    <t>AEGIS LOGISTICS LIMITED</t>
  </si>
  <si>
    <t>AEGISVOPAK</t>
  </si>
  <si>
    <t>AEGIS VOPAK TERMINALS LTD</t>
  </si>
  <si>
    <t>AEPL</t>
  </si>
  <si>
    <t>ARTEMIS ELECTRICALS &amp; P L</t>
  </si>
  <si>
    <t>AEQUS</t>
  </si>
  <si>
    <t>AEQUS LIMITED</t>
  </si>
  <si>
    <t>AEROENTER</t>
  </si>
  <si>
    <t>AEROFLEX ENTERPRISES LTD</t>
  </si>
  <si>
    <t>AEROFLEX</t>
  </si>
  <si>
    <t>AEROFLEX INDUSTRIES LTD</t>
  </si>
  <si>
    <t>AERONEU</t>
  </si>
  <si>
    <t>AEROFLEX NEU LIMITED</t>
  </si>
  <si>
    <t>AETHER</t>
  </si>
  <si>
    <t>AETHER INDUSTRIES LIMITED</t>
  </si>
  <si>
    <t>AFCONS</t>
  </si>
  <si>
    <t>AFCONS INFRASTRUCTURE LTD</t>
  </si>
  <si>
    <t>AFFLE</t>
  </si>
  <si>
    <t>AFFLE 3I LIMITED</t>
  </si>
  <si>
    <t>AFFORDABLE</t>
  </si>
  <si>
    <t>AFFORD ROBO &amp; AUTO LTD</t>
  </si>
  <si>
    <t>AFSL</t>
  </si>
  <si>
    <t>ABANS FINANCIAL SRVCS LTD</t>
  </si>
  <si>
    <t>AGARIND</t>
  </si>
  <si>
    <t>AGARWAL INDS CORP LTD.</t>
  </si>
  <si>
    <t>AGARWALEYE</t>
  </si>
  <si>
    <t>DR AGARWALS HEALTH CARE L</t>
  </si>
  <si>
    <t>AGI</t>
  </si>
  <si>
    <t>AGI GREENPAC LIMITED</t>
  </si>
  <si>
    <t>AGIIL</t>
  </si>
  <si>
    <t>AGI INFRA LIMITED</t>
  </si>
  <si>
    <t>AGRITECH</t>
  </si>
  <si>
    <t>AGRI-TECH (INDIA) LIMITED</t>
  </si>
  <si>
    <t>AGROPHOS</t>
  </si>
  <si>
    <t>AGRO PHOS INDIA LIMITED</t>
  </si>
  <si>
    <t>AHCL</t>
  </si>
  <si>
    <t>ANLON HEALTHCARE LIMITED</t>
  </si>
  <si>
    <t>AHLADA</t>
  </si>
  <si>
    <t>AHLADA ENGINEERS LIMITED</t>
  </si>
  <si>
    <t>AHLEAST</t>
  </si>
  <si>
    <t>ASIAN HOTELS (EAST) LTD</t>
  </si>
  <si>
    <t>AHLUCONT</t>
  </si>
  <si>
    <t>AHLUWALIA CONT IND LTD</t>
  </si>
  <si>
    <t>AIAENG</t>
  </si>
  <si>
    <t>AIA ENGINEERING LIMITED</t>
  </si>
  <si>
    <t>AIIL</t>
  </si>
  <si>
    <t>AUTHUM INVEST &amp; INFRA LTD</t>
  </si>
  <si>
    <t>AIRAN</t>
  </si>
  <si>
    <t>AIRAN LIMITED</t>
  </si>
  <si>
    <t>AIROLAM</t>
  </si>
  <si>
    <t>AIRO LAM LIMITED</t>
  </si>
  <si>
    <t>AJANTPHARM</t>
  </si>
  <si>
    <t>AJANTA PHARMA LIMITED</t>
  </si>
  <si>
    <t>AJAXENGG</t>
  </si>
  <si>
    <t>AJAX ENGINEERING LIMITED</t>
  </si>
  <si>
    <t>AJMERA</t>
  </si>
  <si>
    <t>AJMERA REALTY &amp; INF I LTD</t>
  </si>
  <si>
    <t>AJOONI</t>
  </si>
  <si>
    <t>AJOONI BIOTECH LIMITED</t>
  </si>
  <si>
    <t>AKASH</t>
  </si>
  <si>
    <t>AKASH INFRA-PROJECTS LTD</t>
  </si>
  <si>
    <t>AKG</t>
  </si>
  <si>
    <t>AKG EXIM LIMITED</t>
  </si>
  <si>
    <t>AKI</t>
  </si>
  <si>
    <t>AKI INDIA LIMITED</t>
  </si>
  <si>
    <t>AKSHAR</t>
  </si>
  <si>
    <t>AKSHAR SPINTEX LIMITED</t>
  </si>
  <si>
    <t>AKSHARCHEM</t>
  </si>
  <si>
    <t>AKSHARCHEM INDIA LIMITED</t>
  </si>
  <si>
    <t>AKSHOPTFBR</t>
  </si>
  <si>
    <t>AKSH OPTIFIBRE LIMITED</t>
  </si>
  <si>
    <t>AKUMS</t>
  </si>
  <si>
    <t>AKUMS DRUGS AND PHARMA L</t>
  </si>
  <si>
    <t>AKZOINDIA</t>
  </si>
  <si>
    <t>AKZO NOBEL INDIA LIMITED</t>
  </si>
  <si>
    <t>ALANKIT</t>
  </si>
  <si>
    <t>ALANKIT LIMITED</t>
  </si>
  <si>
    <t>ALBERTDAVD</t>
  </si>
  <si>
    <t>ALBERT DAVID LIMITED</t>
  </si>
  <si>
    <t>ALEMBICLTD</t>
  </si>
  <si>
    <t>ALEMBIC LIMITED</t>
  </si>
  <si>
    <t>ALGOQUANT</t>
  </si>
  <si>
    <t>ALGOQUANT FINTECH LIMITED</t>
  </si>
  <si>
    <t>ALICON</t>
  </si>
  <si>
    <t>ALICON CASTALLOY LIMITED</t>
  </si>
  <si>
    <t>ALIVUS</t>
  </si>
  <si>
    <t>ALIVUS LIFE SCIENCES LTD</t>
  </si>
  <si>
    <t>ALKALI</t>
  </si>
  <si>
    <t>ALKALI METALS LTD</t>
  </si>
  <si>
    <t>ALKEM</t>
  </si>
  <si>
    <t>ALKEM LABORATORIES LTD.</t>
  </si>
  <si>
    <t>ALKYLAMINE</t>
  </si>
  <si>
    <t>ALKYL AMINES CHEM. LTD</t>
  </si>
  <si>
    <t>ALLCARGO</t>
  </si>
  <si>
    <t>ALLCARGO LOGISTICS LTD</t>
  </si>
  <si>
    <t>ALLDIGI</t>
  </si>
  <si>
    <t>ALLDIGI TECH LIMITED</t>
  </si>
  <si>
    <t>ALLTIME</t>
  </si>
  <si>
    <t>ALL TIME PLASTICS LIMITED</t>
  </si>
  <si>
    <t>ALMONDZ</t>
  </si>
  <si>
    <t>ALMONDZ GLOBAL SEC LTD</t>
  </si>
  <si>
    <t>ALOKINDS</t>
  </si>
  <si>
    <t>ALOK INDUSTRIES LIMITED</t>
  </si>
  <si>
    <t>ALPA</t>
  </si>
  <si>
    <t>ALPA LABORATORIES LTD</t>
  </si>
  <si>
    <t>ALPHAGEO</t>
  </si>
  <si>
    <t>ALPHAGEO (INDIA) LIMITED</t>
  </si>
  <si>
    <t>AMAGI</t>
  </si>
  <si>
    <t>AMAGI MEDIA LABS LIMITED</t>
  </si>
  <si>
    <t>AMANTA</t>
  </si>
  <si>
    <t>AMANTA HEALTHCARE LIMITED</t>
  </si>
  <si>
    <t>AMBER</t>
  </si>
  <si>
    <t>AMBER ENTERPRISES (I) LTD</t>
  </si>
  <si>
    <t>AMBICAAGAR</t>
  </si>
  <si>
    <t>AMBICA AGAR &amp; AROMAINDLTD</t>
  </si>
  <si>
    <t>AMBIKCO</t>
  </si>
  <si>
    <t>AMBIKA COTTON MILL LTD.</t>
  </si>
  <si>
    <t>AMDIND</t>
  </si>
  <si>
    <t>AMD INDUSTRIES LIMITED</t>
  </si>
  <si>
    <t>AMJLAND</t>
  </si>
  <si>
    <t>AMJ LAND HOLDINGS LIMITED</t>
  </si>
  <si>
    <t>AMNPLST</t>
  </si>
  <si>
    <t>AMINES &amp; PLASTICIZERS LTD</t>
  </si>
  <si>
    <t>AMRUTANJAN</t>
  </si>
  <si>
    <t>AMRUTAJAN HEALTH LTD</t>
  </si>
  <si>
    <t>ANANDRATHI</t>
  </si>
  <si>
    <t>ANAND RATHI WEALTH LTD</t>
  </si>
  <si>
    <t>ANANTRAJ</t>
  </si>
  <si>
    <t>ANANT RAJ LIMITED</t>
  </si>
  <si>
    <t>ANDHRAPAP</t>
  </si>
  <si>
    <t>ANDHRA PAPER LIMITED</t>
  </si>
  <si>
    <t>ANDHRSUGAR</t>
  </si>
  <si>
    <t>ANDHRA SUGARS LTD</t>
  </si>
  <si>
    <t>ANGELONE</t>
  </si>
  <si>
    <t>ANGEL ONE LIMITED</t>
  </si>
  <si>
    <t>ANIKINDS</t>
  </si>
  <si>
    <t>ANIK INDUSTRIES LTD</t>
  </si>
  <si>
    <t>ANMOL</t>
  </si>
  <si>
    <t>ANMOL INDIA LIMITED</t>
  </si>
  <si>
    <t>ANTELOPUS</t>
  </si>
  <si>
    <t>ANTELOPUS SELAN ENRGY LTD</t>
  </si>
  <si>
    <t>ANTGRAPHIC</t>
  </si>
  <si>
    <t>ANTARCTICA LTD</t>
  </si>
  <si>
    <t>ANTHEM</t>
  </si>
  <si>
    <t>ANTHEM BIOSCIENCES LTD</t>
  </si>
  <si>
    <t>ANUHPHR</t>
  </si>
  <si>
    <t>ANUH PHARMA LIMITED</t>
  </si>
  <si>
    <t>ANUP</t>
  </si>
  <si>
    <t>THE ANUP ENGINEERING LTD</t>
  </si>
  <si>
    <t>ANURAS</t>
  </si>
  <si>
    <t>ANUPAM RASAYAN INDIA LTD</t>
  </si>
  <si>
    <t>APARINDS</t>
  </si>
  <si>
    <t>APAR INDUSTRIES LTD.</t>
  </si>
  <si>
    <t>APCL</t>
  </si>
  <si>
    <t>ANJANI PORTLAND CEM LTD</t>
  </si>
  <si>
    <t>APCOTEXIND</t>
  </si>
  <si>
    <t>APCOTEX INDUSTRIES LIMITE</t>
  </si>
  <si>
    <t>APEX</t>
  </si>
  <si>
    <t>APEX FROZEN FOODS LIMITED</t>
  </si>
  <si>
    <t>APLAPOLLO</t>
  </si>
  <si>
    <t>APL APOLLO TUBES LTD</t>
  </si>
  <si>
    <t>APLLTD</t>
  </si>
  <si>
    <t>ALEMBIC PHARMA LTD</t>
  </si>
  <si>
    <t>APOLLO</t>
  </si>
  <si>
    <t>APOLLO MICRO SYSTEMS LTD</t>
  </si>
  <si>
    <t>APOLLOPIPE</t>
  </si>
  <si>
    <t>APOLLO PIPES LIMITED</t>
  </si>
  <si>
    <t>APOLLOTYRE</t>
  </si>
  <si>
    <t>APOLLO TYRES LTD</t>
  </si>
  <si>
    <t>APOLSINHOT</t>
  </si>
  <si>
    <t>APOLLO SINDOORI HOTEL LTD</t>
  </si>
  <si>
    <t>APTECHT</t>
  </si>
  <si>
    <t>APTECH LIMITED</t>
  </si>
  <si>
    <t>APTUS</t>
  </si>
  <si>
    <t>APTUS VALUE HSG FIN I LTD</t>
  </si>
  <si>
    <t>AQYLON</t>
  </si>
  <si>
    <t>AQYLON NEXUS LIMITED</t>
  </si>
  <si>
    <t>ARCHIDPLY</t>
  </si>
  <si>
    <t>ARCHIDPLY IND. LTD</t>
  </si>
  <si>
    <t>ARCHIES</t>
  </si>
  <si>
    <t>ARCHIES LTD</t>
  </si>
  <si>
    <t>ARE&amp;M</t>
  </si>
  <si>
    <t>AMARA RAJA ENERGY MOB LTD</t>
  </si>
  <si>
    <t>ARENTERP</t>
  </si>
  <si>
    <t>RAJDARSHAN INDUSTRIES LTD</t>
  </si>
  <si>
    <t>ARFIN</t>
  </si>
  <si>
    <t>ARFIN INDIA LIMITED</t>
  </si>
  <si>
    <t>ARIES</t>
  </si>
  <si>
    <t>ARIES AGRO LTD.</t>
  </si>
  <si>
    <t>ARIHANTCAP</t>
  </si>
  <si>
    <t>ARIHANT CAPITAL MKTS LTD</t>
  </si>
  <si>
    <t>ARIHANTSUP</t>
  </si>
  <si>
    <t>ARIHANT SUPERSTRUCT LTD</t>
  </si>
  <si>
    <t>ARIS</t>
  </si>
  <si>
    <t>ARISINFRA SOLUTIONS LTD</t>
  </si>
  <si>
    <t>ARKADE</t>
  </si>
  <si>
    <t>ARKADE DEVELOPERS LIMITED</t>
  </si>
  <si>
    <t>ARMANFIN</t>
  </si>
  <si>
    <t>ARMAN FIN SERV LTD</t>
  </si>
  <si>
    <t>AROGRANITE</t>
  </si>
  <si>
    <t>ARO GRANITE IND. LTD.</t>
  </si>
  <si>
    <t>ARROWGREEN</t>
  </si>
  <si>
    <t>ARROW GREENTECH LIMITED</t>
  </si>
  <si>
    <t>ARSSBL</t>
  </si>
  <si>
    <t>ANAND RATHI SH N STK BR L</t>
  </si>
  <si>
    <t>ARTEMISMED</t>
  </si>
  <si>
    <t>ARTEMIS MED SERVICE LTD</t>
  </si>
  <si>
    <t>ARTNIRMAN</t>
  </si>
  <si>
    <t>ART NIRMAN LIMITED</t>
  </si>
  <si>
    <t>ARVIND</t>
  </si>
  <si>
    <t>ARVIND LIMITED</t>
  </si>
  <si>
    <t>ARVINDFASN</t>
  </si>
  <si>
    <t>ARVIND FASHIONS LIMITED</t>
  </si>
  <si>
    <t>ARVSMART</t>
  </si>
  <si>
    <t>ARVIND SMARTSPACES LTD</t>
  </si>
  <si>
    <t>ASAHIINDIA</t>
  </si>
  <si>
    <t>ASAHI INDIA GLASS LIMITED</t>
  </si>
  <si>
    <t>ASAHISONG</t>
  </si>
  <si>
    <t>ASAHI SONGWON COLOR LTD</t>
  </si>
  <si>
    <t>ASAL</t>
  </si>
  <si>
    <t>AUTOMOTIVE STAMPINGS &amp; AS</t>
  </si>
  <si>
    <t>ASALCBR</t>
  </si>
  <si>
    <t>ASSO ALCOHOLS &amp; BREW LTD</t>
  </si>
  <si>
    <t>ASHAPURMIN</t>
  </si>
  <si>
    <t>ASHAPURA MINECHEM LTD</t>
  </si>
  <si>
    <t>ASHIANA</t>
  </si>
  <si>
    <t>ASHIANA HOUSING LTD</t>
  </si>
  <si>
    <t>ASHIMASYN</t>
  </si>
  <si>
    <t>ASHIMA LTD</t>
  </si>
  <si>
    <t>ASHOKA</t>
  </si>
  <si>
    <t>ASHOKA BUILDCON LTD</t>
  </si>
  <si>
    <t>ASHOKAMET</t>
  </si>
  <si>
    <t>ASHOKA METCAST LIMITED</t>
  </si>
  <si>
    <t>ASHOKLEY</t>
  </si>
  <si>
    <t>ASHOK LEYLAND LTD</t>
  </si>
  <si>
    <t>ASIANENE</t>
  </si>
  <si>
    <t>ASIAN ENERGY SERVICES LTD</t>
  </si>
  <si>
    <t>ASIANHOTNR</t>
  </si>
  <si>
    <t>ASIAN HOTELS (NORTH) LTD</t>
  </si>
  <si>
    <t>ASIANTILES</t>
  </si>
  <si>
    <t>ASIAN GRANITO IND. LTD.</t>
  </si>
  <si>
    <t>ASKAUTOLTD</t>
  </si>
  <si>
    <t>ASK AUTOMOTIVE LIMITED</t>
  </si>
  <si>
    <t>ASMS</t>
  </si>
  <si>
    <t>BARTRONICS INDIA LIMITED</t>
  </si>
  <si>
    <t>ASPINWALL</t>
  </si>
  <si>
    <t>ASPINWALL &amp; CO LTD</t>
  </si>
  <si>
    <t>ASTEC</t>
  </si>
  <si>
    <t>ASTEC LIFESCIENCES LTD</t>
  </si>
  <si>
    <t>ASTERDM</t>
  </si>
  <si>
    <t>ASTER DM HEALTHCARE LTD.</t>
  </si>
  <si>
    <t>ASTRAL</t>
  </si>
  <si>
    <t>ASTRAL LIMITED</t>
  </si>
  <si>
    <t>ASTRAMICRO</t>
  </si>
  <si>
    <t>ASTRA MICROWAVE LTD</t>
  </si>
  <si>
    <t>ASTRAZEN</t>
  </si>
  <si>
    <t>ASTRAZENECA PHARMA IND LT</t>
  </si>
  <si>
    <t>ASTRON</t>
  </si>
  <si>
    <t>ASTRON PAPER BORD MIL LTD</t>
  </si>
  <si>
    <t>ATALREAL</t>
  </si>
  <si>
    <t>ATAL REALTECH LIMITED</t>
  </si>
  <si>
    <t>ATAM</t>
  </si>
  <si>
    <t>ATAM VALVES LIMITED</t>
  </si>
  <si>
    <t>ATGL</t>
  </si>
  <si>
    <t>ADANI TOTAL GAS LIMITED</t>
  </si>
  <si>
    <t>ATHERENERG</t>
  </si>
  <si>
    <t>ATHER ENERGY LIMITED</t>
  </si>
  <si>
    <t>ATL</t>
  </si>
  <si>
    <t>ALLCARGO TERMINALS LTD</t>
  </si>
  <si>
    <t>ATLANTAA</t>
  </si>
  <si>
    <t>ATLANTAA LIMITED</t>
  </si>
  <si>
    <t>ATLANTAELE</t>
  </si>
  <si>
    <t>ATLANTA ELECTRICALS LTD</t>
  </si>
  <si>
    <t>ATLASCYCLE</t>
  </si>
  <si>
    <t>ATLAS CYCLE (HARYANA) LTD</t>
  </si>
  <si>
    <t>ATUL</t>
  </si>
  <si>
    <t>ATUL LTD</t>
  </si>
  <si>
    <t>ATULAUTO</t>
  </si>
  <si>
    <t>ATUL AUTO LIMITED</t>
  </si>
  <si>
    <t>AUBANK</t>
  </si>
  <si>
    <t>AU SMALL FINANCE BANK LTD</t>
  </si>
  <si>
    <t>AURIGROW</t>
  </si>
  <si>
    <t>AURI GROW INDIA LIMITED</t>
  </si>
  <si>
    <t>AURIONPRO</t>
  </si>
  <si>
    <t>AURIONPRO SOLN LTD</t>
  </si>
  <si>
    <t>AUROPHARMA</t>
  </si>
  <si>
    <t>AUROBINDO PHARMA LTD</t>
  </si>
  <si>
    <t>AURUM</t>
  </si>
  <si>
    <t>AURUM PROPTECH LIMITED</t>
  </si>
  <si>
    <t>AUTOAXLES</t>
  </si>
  <si>
    <t>AUTOMOTIVE AXLES LIMITED</t>
  </si>
  <si>
    <t>AUTOIND</t>
  </si>
  <si>
    <t>AUTOLINE INDUSTRIES LTD</t>
  </si>
  <si>
    <t>AVADHSUGAR</t>
  </si>
  <si>
    <t>AVADH SUG &amp; ENERGY LTD</t>
  </si>
  <si>
    <t>AVALON</t>
  </si>
  <si>
    <t>AVALON TECHNOLOGIES LTD</t>
  </si>
  <si>
    <t>AVANTEL</t>
  </si>
  <si>
    <t>AVANTEL LIMITED</t>
  </si>
  <si>
    <t>AVANTIFEED</t>
  </si>
  <si>
    <t>AVANTI FEEDS LIMITED</t>
  </si>
  <si>
    <t>AVG</t>
  </si>
  <si>
    <t>AVG LOGISTICS LIMITED</t>
  </si>
  <si>
    <t>AVL</t>
  </si>
  <si>
    <t>ADITYA VISION LIMITED</t>
  </si>
  <si>
    <t>AVONMORE</t>
  </si>
  <si>
    <t>AVONMORE CAP&amp;MGT SERV LTD</t>
  </si>
  <si>
    <t>AVROIND</t>
  </si>
  <si>
    <t>AVRO INDIA LIMITED</t>
  </si>
  <si>
    <t>AVTNPL</t>
  </si>
  <si>
    <t>AVT NATURAL PRODUCTS LTD</t>
  </si>
  <si>
    <t>AWFIS</t>
  </si>
  <si>
    <t>AWFIS SPACE SOLUTIONS LTD</t>
  </si>
  <si>
    <t>AWHCL</t>
  </si>
  <si>
    <t>ANTONY WASTE HDG CELL LTD</t>
  </si>
  <si>
    <t>AWL</t>
  </si>
  <si>
    <t>AWL AGRI BUSINESS LIMITED</t>
  </si>
  <si>
    <t>AXISCADES</t>
  </si>
  <si>
    <t>AXISCADES TECH LTD</t>
  </si>
  <si>
    <t>AYE</t>
  </si>
  <si>
    <t>AYE FINANCE LIMITED</t>
  </si>
  <si>
    <t>AYMSYNTEX</t>
  </si>
  <si>
    <t>AYM SYNTEX LIMITED</t>
  </si>
  <si>
    <t>AZAD</t>
  </si>
  <si>
    <t>AZAD ENGINEERING LIMITED</t>
  </si>
  <si>
    <t>BAFNAPH</t>
  </si>
  <si>
    <t>BAFNA PHARMACEUTICALS LTD</t>
  </si>
  <si>
    <t>BAGFILMS</t>
  </si>
  <si>
    <t>B.A.G FILMS AND MEDIA LTD</t>
  </si>
  <si>
    <t>BAIDFIN</t>
  </si>
  <si>
    <t>BAID FINSERV LIMITED</t>
  </si>
  <si>
    <t>BAJAJCON</t>
  </si>
  <si>
    <t>BAJAJ CONSUMER CARE LTD</t>
  </si>
  <si>
    <t>BAJAJELEC</t>
  </si>
  <si>
    <t>BAJAJ ELECT.LTD</t>
  </si>
  <si>
    <t>BAJAJHCARE</t>
  </si>
  <si>
    <t>BAJAJ HEALTHCARE LIMITED</t>
  </si>
  <si>
    <t>BAJAJHIND</t>
  </si>
  <si>
    <t>BAJAJ HINDUSTHAN SUGAR LT</t>
  </si>
  <si>
    <t>BAJAJINDEF</t>
  </si>
  <si>
    <t>INDEF MANUFACTURING LTD</t>
  </si>
  <si>
    <t>BAJEL</t>
  </si>
  <si>
    <t>BAJEL PROJECTS LIMITED</t>
  </si>
  <si>
    <t>BALAJEE</t>
  </si>
  <si>
    <t>SHREE TIRUPATI BALAJEE L</t>
  </si>
  <si>
    <t>BALAJITELE</t>
  </si>
  <si>
    <t>BALAJI TELEFILMS LIMITED.</t>
  </si>
  <si>
    <t>BALAMINES</t>
  </si>
  <si>
    <t>BALAJI AMINES LIMITED</t>
  </si>
  <si>
    <t>BALAXI</t>
  </si>
  <si>
    <t>BALAXI PHARMA LTD</t>
  </si>
  <si>
    <t>BALKRISHNA</t>
  </si>
  <si>
    <t>BALKRISHNA PAPER MILLS L</t>
  </si>
  <si>
    <t>BALKRISIND</t>
  </si>
  <si>
    <t>BALKRISHNA IND. LTD</t>
  </si>
  <si>
    <t>BALMLAWRIE</t>
  </si>
  <si>
    <t>BALMER LAWRIE &amp; CO LTD</t>
  </si>
  <si>
    <t>BALPHARMA</t>
  </si>
  <si>
    <t>BAL PHARMA LTD.</t>
  </si>
  <si>
    <t>BALRAMCHIN</t>
  </si>
  <si>
    <t>BALRAMPUR CHINI MILLS LTD</t>
  </si>
  <si>
    <t>BALUFORGE</t>
  </si>
  <si>
    <t>BALU FORGE INDUSTRIES LTD</t>
  </si>
  <si>
    <t>BANARBEADS</t>
  </si>
  <si>
    <t>BANARAS BEADS LTD</t>
  </si>
  <si>
    <t>BANARISUG</t>
  </si>
  <si>
    <t>BANNARI AMMAN SUGARS LTD</t>
  </si>
  <si>
    <t>BANCOINDIA</t>
  </si>
  <si>
    <t>BANCO PRODUCTS (I) LTD</t>
  </si>
  <si>
    <t>BANDHANBNK</t>
  </si>
  <si>
    <t>BANDHAN BANK LIMITED</t>
  </si>
  <si>
    <t>BANG</t>
  </si>
  <si>
    <t>BANG OVERSEAS LTD.</t>
  </si>
  <si>
    <t>BANKA</t>
  </si>
  <si>
    <t>BANKA BIOLOO LIMITED</t>
  </si>
  <si>
    <t>BANKINDIA</t>
  </si>
  <si>
    <t>BANK OF INDIA</t>
  </si>
  <si>
    <t>BANSALWIRE</t>
  </si>
  <si>
    <t>BANSAL WIRE INDUSTRIES L</t>
  </si>
  <si>
    <t>BANSWRAS</t>
  </si>
  <si>
    <t>BANSWARA SYNTEX LIMITED</t>
  </si>
  <si>
    <t>BASF</t>
  </si>
  <si>
    <t>BASF INDIA LTD</t>
  </si>
  <si>
    <t>BASML</t>
  </si>
  <si>
    <t>BANNARI AM SPIN MILL LTD.</t>
  </si>
  <si>
    <t>BATAINDIA</t>
  </si>
  <si>
    <t>BATA INDIA LTD</t>
  </si>
  <si>
    <t>BAYERCROP</t>
  </si>
  <si>
    <t>BAYER CROPSCIENCE LTD</t>
  </si>
  <si>
    <t>BBL</t>
  </si>
  <si>
    <t>BHARAT BIJLEE LTD</t>
  </si>
  <si>
    <t>BBOX</t>
  </si>
  <si>
    <t>BLACK BOX LIMITED</t>
  </si>
  <si>
    <t>BBTC</t>
  </si>
  <si>
    <t>BOMBAY BURMAH TRADING COR</t>
  </si>
  <si>
    <t>BBTCL</t>
  </si>
  <si>
    <t>B&amp;B TRIPLEWALL CONT LTD</t>
  </si>
  <si>
    <t>BCLIND</t>
  </si>
  <si>
    <t>BCL INDUSTRIES LIMITED</t>
  </si>
  <si>
    <t>BCONCEPTS</t>
  </si>
  <si>
    <t>BRAND CONCEPTS LIMITED</t>
  </si>
  <si>
    <t>BDL</t>
  </si>
  <si>
    <t>BHARAT DYNAMICS LIMITED</t>
  </si>
  <si>
    <t>BEARDSELL</t>
  </si>
  <si>
    <t>BEARDSELL LIMITED</t>
  </si>
  <si>
    <t>BECTORFOOD</t>
  </si>
  <si>
    <t>MRS BECTORS FOOD SPE LTD</t>
  </si>
  <si>
    <t>BELLACASA</t>
  </si>
  <si>
    <t>BELLA CASA FASH AND RET L</t>
  </si>
  <si>
    <t>BELRISE</t>
  </si>
  <si>
    <t>BELRISE INDUSTRIES LTD</t>
  </si>
  <si>
    <t>BEML</t>
  </si>
  <si>
    <t>BEML LIMITED</t>
  </si>
  <si>
    <t>BEPL</t>
  </si>
  <si>
    <t>BHANSALI ENG. POLYMERS LT</t>
  </si>
  <si>
    <t>BERGEPAINT</t>
  </si>
  <si>
    <t>BERGER PAINTS (I) LTD</t>
  </si>
  <si>
    <t>BETA</t>
  </si>
  <si>
    <t>BETA DRUGS LIMITED</t>
  </si>
  <si>
    <t>BFINVEST</t>
  </si>
  <si>
    <t>BF INVESTMENT LIMITED</t>
  </si>
  <si>
    <t>BHAGCHEM</t>
  </si>
  <si>
    <t>BHAGIRADHA CHEM &amp; INDS L</t>
  </si>
  <si>
    <t>BHAGERIA</t>
  </si>
  <si>
    <t>BHAGERIA INDUSTRIES LTD</t>
  </si>
  <si>
    <t>BHAGYANGR</t>
  </si>
  <si>
    <t>BHAGYANAGAR INDIA LIMITED</t>
  </si>
  <si>
    <t>BHANDARI</t>
  </si>
  <si>
    <t>BHANDARI HOSIERY EXP LTD</t>
  </si>
  <si>
    <t>BHARATCOAL</t>
  </si>
  <si>
    <t>BHARAT COKING COAL LTD</t>
  </si>
  <si>
    <t>BHARATFORG</t>
  </si>
  <si>
    <t>BHARAT FORGE LTD</t>
  </si>
  <si>
    <t>BHARATGEAR</t>
  </si>
  <si>
    <t>BHARAT GEARS LTD.</t>
  </si>
  <si>
    <t>BHARATRAS</t>
  </si>
  <si>
    <t>BHARAT RASAYAN LTD</t>
  </si>
  <si>
    <t>BHARATSE</t>
  </si>
  <si>
    <t>BHARAT SEATS LIMITED</t>
  </si>
  <si>
    <t>BHARATWIRE</t>
  </si>
  <si>
    <t>BHARAT WIRE ROPES LTD.</t>
  </si>
  <si>
    <t>BHARTIHEXA</t>
  </si>
  <si>
    <t>BHARTI HEXACOM LIMITED</t>
  </si>
  <si>
    <t>BHEL</t>
  </si>
  <si>
    <t>BIGBLOC</t>
  </si>
  <si>
    <t>BIGBLOC CONSTRUCTION LTD</t>
  </si>
  <si>
    <t>BIKAJI</t>
  </si>
  <si>
    <t>BIKAJI FOODS INTERN LTD</t>
  </si>
  <si>
    <t>BIL</t>
  </si>
  <si>
    <t>BHARTIYA INTERNATIONAL</t>
  </si>
  <si>
    <t>BIOCON</t>
  </si>
  <si>
    <t>BIOCON LIMITED.</t>
  </si>
  <si>
    <t>BIOFILCHEM</t>
  </si>
  <si>
    <t>BIOFIL CHEM &amp; PHARMA LTD</t>
  </si>
  <si>
    <t>BIRLACABLE</t>
  </si>
  <si>
    <t>BIRLA CABLE LIMITED</t>
  </si>
  <si>
    <t>BIRLACORPN</t>
  </si>
  <si>
    <t>BIRLA CORPORATION LTD</t>
  </si>
  <si>
    <t>BIRLAMONEY</t>
  </si>
  <si>
    <t>ADITYA BIRLA MONEY LTD</t>
  </si>
  <si>
    <t>BIRLANU</t>
  </si>
  <si>
    <t>BIRLANU LIMITED</t>
  </si>
  <si>
    <t>BLACKBUCK</t>
  </si>
  <si>
    <t>BLACKBUCK LIMITED</t>
  </si>
  <si>
    <t>BLAL</t>
  </si>
  <si>
    <t>BEML LAND ASSETS LIMITED</t>
  </si>
  <si>
    <t>BLISSGVS</t>
  </si>
  <si>
    <t>BLISS GVS PHARMA LTD</t>
  </si>
  <si>
    <t>BLKASHYAP</t>
  </si>
  <si>
    <t>B.L.KASHYAP &amp; SON LTD</t>
  </si>
  <si>
    <t>BLS</t>
  </si>
  <si>
    <t>BLS INTL SERVS LTD</t>
  </si>
  <si>
    <t>BLSE</t>
  </si>
  <si>
    <t>BLS E-SERVICES LIMITED</t>
  </si>
  <si>
    <t>BLUECOAST</t>
  </si>
  <si>
    <t>BLUE COAST HOTELS LIMITED</t>
  </si>
  <si>
    <t>BLUEDART</t>
  </si>
  <si>
    <t>BLUE DART EXPRESS LTD</t>
  </si>
  <si>
    <t>BLUEJET</t>
  </si>
  <si>
    <t>BLUE JET HEALTHCARE LTD</t>
  </si>
  <si>
    <t>BLUESTARCO</t>
  </si>
  <si>
    <t>BLUE STAR LIMITED</t>
  </si>
  <si>
    <t>BLUESTONE</t>
  </si>
  <si>
    <t>BLUESTONE JEWEL LFSTL LTD</t>
  </si>
  <si>
    <t>BLUSPRING</t>
  </si>
  <si>
    <t>BLUSPRING ENTERPRISES LTD</t>
  </si>
  <si>
    <t>BMWVENTLTD</t>
  </si>
  <si>
    <t>BMW VENTURES LIMITED</t>
  </si>
  <si>
    <t>BODALCHEM</t>
  </si>
  <si>
    <t>BODAL CHEMICALS LTD</t>
  </si>
  <si>
    <t>BOMDYEING</t>
  </si>
  <si>
    <t>BOMBAY DYEING &amp; MFG. CO L</t>
  </si>
  <si>
    <t>BOROLTD</t>
  </si>
  <si>
    <t>BOROSIL LIMITED</t>
  </si>
  <si>
    <t>BORORENEW</t>
  </si>
  <si>
    <t>BOROSIL RENEWABLES LTD</t>
  </si>
  <si>
    <t>BOROSCI</t>
  </si>
  <si>
    <t>BOROSIL SCIENTIFIC LTD</t>
  </si>
  <si>
    <t>BOSCH-HCIL</t>
  </si>
  <si>
    <t>BOSCH HOME COMFRT IND LTD</t>
  </si>
  <si>
    <t>BPL</t>
  </si>
  <si>
    <t>BPL LTD</t>
  </si>
  <si>
    <t>BRIGADE</t>
  </si>
  <si>
    <t>BRIGADE ENTER. LTD</t>
  </si>
  <si>
    <t>BRIGHOTEL</t>
  </si>
  <si>
    <t>BRIGADE HOTEL VENTURE LTD</t>
  </si>
  <si>
    <t>BRNL</t>
  </si>
  <si>
    <t>BHARAT ROAD NETWORK LTD</t>
  </si>
  <si>
    <t>BROOKS</t>
  </si>
  <si>
    <t>BROOKS LAB LIMITED</t>
  </si>
  <si>
    <t>BSE</t>
  </si>
  <si>
    <t>BSE LIMITED</t>
  </si>
  <si>
    <t>BSHSL</t>
  </si>
  <si>
    <t>BOMBAY SUPER HYBRID SEEDS</t>
  </si>
  <si>
    <t>BSL</t>
  </si>
  <si>
    <t>BSL LTD</t>
  </si>
  <si>
    <t>BSOFT</t>
  </si>
  <si>
    <t>BIRLASOFT LIMITED</t>
  </si>
  <si>
    <t>BTML</t>
  </si>
  <si>
    <t>BODHI TREE MULTIMEDIA LTD</t>
  </si>
  <si>
    <t>BUILDPRO</t>
  </si>
  <si>
    <t>SHANKARA BUILDPRO LIMITED</t>
  </si>
  <si>
    <t>BUTTERFLY</t>
  </si>
  <si>
    <t>BTRFLY GANDHI APPL LTD</t>
  </si>
  <si>
    <t>BVCL</t>
  </si>
  <si>
    <t>BARAK VALLEY CEM. LTD.</t>
  </si>
  <si>
    <t>BYKE</t>
  </si>
  <si>
    <t>THE BYKE HOSPITALITY LTD</t>
  </si>
  <si>
    <t>CALSOFT</t>
  </si>
  <si>
    <t>CALIFORNIA SOFTWARE CO LT</t>
  </si>
  <si>
    <t>CAMLINFINE</t>
  </si>
  <si>
    <t>CAMLIN FINE SCIENCES LTD</t>
  </si>
  <si>
    <t>CAMPUS</t>
  </si>
  <si>
    <t>CAMPUS ACTIVEWEAR LIMITED</t>
  </si>
  <si>
    <t>CAMS</t>
  </si>
  <si>
    <t>COMPUTER AGE MNGT SER LTD</t>
  </si>
  <si>
    <t>CANFINHOME</t>
  </si>
  <si>
    <t>CAN FIN HOMES LTD</t>
  </si>
  <si>
    <t>CANHLIFE</t>
  </si>
  <si>
    <t>CANARA HSBC LIFE INS CO L</t>
  </si>
  <si>
    <t>CANTABIL</t>
  </si>
  <si>
    <t>CANTABIL RETAIL LTD</t>
  </si>
  <si>
    <t>CAPACITE</t>
  </si>
  <si>
    <t>CAPACITE INFRAPROJECT LTD</t>
  </si>
  <si>
    <t>CAPILLARY</t>
  </si>
  <si>
    <t>CAPILLARY TECHNO INDIA L</t>
  </si>
  <si>
    <t>CAPITALSFB</t>
  </si>
  <si>
    <t>CAPITAL SMALL FIN BANK L</t>
  </si>
  <si>
    <t>CAPLIPOINT</t>
  </si>
  <si>
    <t>CAPLIN POINT LAB LTD.</t>
  </si>
  <si>
    <t>CARBORUNIV</t>
  </si>
  <si>
    <t>CARBORUNDUM UNIVERSAL LTD</t>
  </si>
  <si>
    <t>CARERATING</t>
  </si>
  <si>
    <t>CARE RATINGS LIMITED</t>
  </si>
  <si>
    <t>CARRARO</t>
  </si>
  <si>
    <t>CARRARO INDIA LIMITED</t>
  </si>
  <si>
    <t>CARTRADE</t>
  </si>
  <si>
    <t>CARTRADE TECH LIMITED</t>
  </si>
  <si>
    <t>CARYSIL</t>
  </si>
  <si>
    <t>CARYSIL LIMITED</t>
  </si>
  <si>
    <t>CASTROLIND</t>
  </si>
  <si>
    <t>CASTROL INDIA LIMITED</t>
  </si>
  <si>
    <t>CCAVENUE</t>
  </si>
  <si>
    <t>AVENUESAI LIMITED</t>
  </si>
  <si>
    <t>CCCL</t>
  </si>
  <si>
    <t>CONS. CONST. CONSORT LTD</t>
  </si>
  <si>
    <t>CCHHL</t>
  </si>
  <si>
    <t>COUNTRY CLUB HOSP HOL LTD</t>
  </si>
  <si>
    <t>CCL</t>
  </si>
  <si>
    <t>CCL PRODUCTS (I) LTD</t>
  </si>
  <si>
    <t>CDSL</t>
  </si>
  <si>
    <t>CENTRAL DEPO SER (I) LTD</t>
  </si>
  <si>
    <t>CEATLTD</t>
  </si>
  <si>
    <t>CEAT LIMITED</t>
  </si>
  <si>
    <t>CEIGALL</t>
  </si>
  <si>
    <t>CEIGALL INDIA LIMITED</t>
  </si>
  <si>
    <t>CEINSYS</t>
  </si>
  <si>
    <t>CEINSYS TECH LIMITED</t>
  </si>
  <si>
    <t>CELEBRITY</t>
  </si>
  <si>
    <t>CELEBRITY FASHIONS LTD</t>
  </si>
  <si>
    <t>CELLO</t>
  </si>
  <si>
    <t>CELLO WORLD LIMITED</t>
  </si>
  <si>
    <t>CEMPRO</t>
  </si>
  <si>
    <t>CEMINDIA PROJECTS LIMITED</t>
  </si>
  <si>
    <t>CENTENKA</t>
  </si>
  <si>
    <t>CENTURY ENKA LTD</t>
  </si>
  <si>
    <t>CENTEXT</t>
  </si>
  <si>
    <t>CENTURY EXTRUSIONS LTD</t>
  </si>
  <si>
    <t>CENTRALBK</t>
  </si>
  <si>
    <t>CENTRAL BANK OF INDIA</t>
  </si>
  <si>
    <t>CENTRUM</t>
  </si>
  <si>
    <t>CENTRUM CAPITAL LIMITED</t>
  </si>
  <si>
    <t>CENTUM</t>
  </si>
  <si>
    <t>CENTUM ELECTRONICS LTD</t>
  </si>
  <si>
    <t>CENTURYPLY</t>
  </si>
  <si>
    <t>CENTURY PLYBOARDS (I) LTD</t>
  </si>
  <si>
    <t>CERA</t>
  </si>
  <si>
    <t>CERA SANITARYWARE LTD</t>
  </si>
  <si>
    <t>CESC</t>
  </si>
  <si>
    <t>CESC LTD</t>
  </si>
  <si>
    <t>CEWATER</t>
  </si>
  <si>
    <t>CONCORD ENVIRO SYSTEMS L</t>
  </si>
  <si>
    <t>CGCL</t>
  </si>
  <si>
    <t>CAPRI GLOBAL CAPITAL LTD</t>
  </si>
  <si>
    <t>CHALET</t>
  </si>
  <si>
    <t>CHALET HOTELS LIMITED</t>
  </si>
  <si>
    <t>CHAMBLFERT</t>
  </si>
  <si>
    <t>CHAMBAL FERTILIZERS LTD</t>
  </si>
  <si>
    <t>CHEMBOND</t>
  </si>
  <si>
    <t>CHEMBOND MATERIALTECH LTD</t>
  </si>
  <si>
    <t>CHEMBONDCH</t>
  </si>
  <si>
    <t>CHEMBOND CHEMICAL LIMITED</t>
  </si>
  <si>
    <t>CHEMCON</t>
  </si>
  <si>
    <t>CHEMCON SPECIAL CHEM LTD</t>
  </si>
  <si>
    <t>CHEMFAB</t>
  </si>
  <si>
    <t>CHEMFAB ALKALIS LIMITED</t>
  </si>
  <si>
    <t>CHEMPLASTS</t>
  </si>
  <si>
    <t>CHEMPLAST SANMAR LIMITED</t>
  </si>
  <si>
    <t>CHENNPETRO</t>
  </si>
  <si>
    <t>CHENNAI PETROLEUM CORP LT</t>
  </si>
  <si>
    <t>CHEVIOT</t>
  </si>
  <si>
    <t>CHEVIOT COMPANY LIMITED</t>
  </si>
  <si>
    <t>CHOICEIN</t>
  </si>
  <si>
    <t>CHOICE INTERNATIONAL LTD</t>
  </si>
  <si>
    <t>CHOLAHLDNG</t>
  </si>
  <si>
    <t>CHOLAMANDALAM FIN HOL LTD</t>
  </si>
  <si>
    <t>CIEINDIA</t>
  </si>
  <si>
    <t>CIE AUTOMOTIVE INDIA LTD</t>
  </si>
  <si>
    <t>CIFL</t>
  </si>
  <si>
    <t>CAPITAL INDIA FINANCE LTD</t>
  </si>
  <si>
    <t>CIGNITITEC</t>
  </si>
  <si>
    <t>CIGNITI TECHNOLOGIES LTD</t>
  </si>
  <si>
    <t>CINELINE</t>
  </si>
  <si>
    <t>CINELINE INDIA LIMITED</t>
  </si>
  <si>
    <t>CINEVISTA</t>
  </si>
  <si>
    <t>CINEVISTA LIMITED</t>
  </si>
  <si>
    <t>CLEAN</t>
  </si>
  <si>
    <t>CLEAN SCIENCE &amp; TECH LTD</t>
  </si>
  <si>
    <t>CLEANMAX</t>
  </si>
  <si>
    <t>CLEAN MAX ENVIRO EN SOL L</t>
  </si>
  <si>
    <t>CLSEL</t>
  </si>
  <si>
    <t>CHAMAN LAL SETIA EXP LTD</t>
  </si>
  <si>
    <t>CMSINFO</t>
  </si>
  <si>
    <t>CMS INFO SYSTEMS LIMITED</t>
  </si>
  <si>
    <t>CNL</t>
  </si>
  <si>
    <t>CREATIVE NEWTECH LIMITED</t>
  </si>
  <si>
    <t>COASTCORP</t>
  </si>
  <si>
    <t>COASTAL CORPORATION LTD</t>
  </si>
  <si>
    <t>COCHINSHIP</t>
  </si>
  <si>
    <t>COCHIN SHIPYARD LIMITED</t>
  </si>
  <si>
    <t>COFFEEDAY</t>
  </si>
  <si>
    <t>COFFEE DAY ENTERPRISE LTD</t>
  </si>
  <si>
    <t>COFORGE</t>
  </si>
  <si>
    <t>COFORGE LIMITED</t>
  </si>
  <si>
    <t>COHANCE</t>
  </si>
  <si>
    <t>COHANCE LIFESCIENCES LTD</t>
  </si>
  <si>
    <t>COLPAL</t>
  </si>
  <si>
    <t>COLGATE PALMOLIVE LTD.</t>
  </si>
  <si>
    <t>COMPUSOFT</t>
  </si>
  <si>
    <t>COMPUCOM SOFTWARE LTD</t>
  </si>
  <si>
    <t>COMSYN</t>
  </si>
  <si>
    <t>COMMERCIAL SYN BAGS LTD</t>
  </si>
  <si>
    <t>CONCOR</t>
  </si>
  <si>
    <t>CONTAINER CORP OF IND LTD</t>
  </si>
  <si>
    <t>CONCORDBIO</t>
  </si>
  <si>
    <t>CONCORD BIOTECH LIMITED</t>
  </si>
  <si>
    <t>CONFIPET</t>
  </si>
  <si>
    <t>CONFIDENCE PETRO IND LTD.</t>
  </si>
  <si>
    <t>CONTROLPR</t>
  </si>
  <si>
    <t>CONTROL PRINT LIMITED</t>
  </si>
  <si>
    <t>CORALFINAC</t>
  </si>
  <si>
    <t>CORAL INDIA FIN &amp; HOUS LT</t>
  </si>
  <si>
    <t>CORDSCABLE</t>
  </si>
  <si>
    <t>CORDS CABLE INDUS LTD.</t>
  </si>
  <si>
    <t>COROMANDEL</t>
  </si>
  <si>
    <t>COROMANDEL INTERNTL. LTD</t>
  </si>
  <si>
    <t>CORONA</t>
  </si>
  <si>
    <t>CORONA REMEDIES LIMITED</t>
  </si>
  <si>
    <t>COSMOFIRST</t>
  </si>
  <si>
    <t>COSMO FIRST LIMITED</t>
  </si>
  <si>
    <t>COUNCODOS</t>
  </si>
  <si>
    <t>COUNTRY CONDO S LIMITED</t>
  </si>
  <si>
    <t>CPCAP</t>
  </si>
  <si>
    <t>CP CAPITAL LIMITED</t>
  </si>
  <si>
    <t>CPEDU</t>
  </si>
  <si>
    <t>CAREER POINT EDUTECH LTD</t>
  </si>
  <si>
    <t>CPPLUS</t>
  </si>
  <si>
    <t>ADITYA INFOTECH LIMITED</t>
  </si>
  <si>
    <t>CRAFTSMAN</t>
  </si>
  <si>
    <t>CRAFTSMAN AUTOMATION LTD</t>
  </si>
  <si>
    <t>CRAMC</t>
  </si>
  <si>
    <t>CANARA ROBECO AMC LIMITED</t>
  </si>
  <si>
    <t>CREATIVEYE</t>
  </si>
  <si>
    <t>CREATIVE EYE LIMITED</t>
  </si>
  <si>
    <t>CREDITACC</t>
  </si>
  <si>
    <t>CREDITACCESS GRAMEEN LTD</t>
  </si>
  <si>
    <t>CREST</t>
  </si>
  <si>
    <t>CREST VENTURES LIMITED</t>
  </si>
  <si>
    <t>CRISIL</t>
  </si>
  <si>
    <t>CRISIL LTD</t>
  </si>
  <si>
    <t>CRIZAC</t>
  </si>
  <si>
    <t>CRIZAC LIMITED</t>
  </si>
  <si>
    <t>CROMPTON</t>
  </si>
  <si>
    <t>CROMPT GREA CON ELEC LTD</t>
  </si>
  <si>
    <t>CROWN</t>
  </si>
  <si>
    <t>CROWN LIFTERS LIMITED</t>
  </si>
  <si>
    <t>CSBBANK</t>
  </si>
  <si>
    <t>CSB BANK LIMITED</t>
  </si>
  <si>
    <t>CSLFINANCE</t>
  </si>
  <si>
    <t>CSL FINANCE LIMITED</t>
  </si>
  <si>
    <t>CTE</t>
  </si>
  <si>
    <t>CAMBRIDGE TECH ENTER LTD</t>
  </si>
  <si>
    <t>CUB</t>
  </si>
  <si>
    <t>CITY UNION BANK LTD</t>
  </si>
  <si>
    <t>CUBEXTUB</t>
  </si>
  <si>
    <t>CUBEX TUBINGS LTD</t>
  </si>
  <si>
    <t>CUMMINSIND</t>
  </si>
  <si>
    <t>CUMMINS INDIA LTD</t>
  </si>
  <si>
    <t>CUPID</t>
  </si>
  <si>
    <t>CUPID LIMITED</t>
  </si>
  <si>
    <t>CYBERMEDIA</t>
  </si>
  <si>
    <t>CYBER MEDIA (INDIA) LTD.</t>
  </si>
  <si>
    <t>CYBERTECH</t>
  </si>
  <si>
    <t>CYBERTECH SYSTEMS &amp; SOFTW</t>
  </si>
  <si>
    <t>CYIENT</t>
  </si>
  <si>
    <t>CYIENT LIMITED</t>
  </si>
  <si>
    <t>CYIENTDLM</t>
  </si>
  <si>
    <t>CYIENT DLM LIMITED</t>
  </si>
  <si>
    <t>DABUR</t>
  </si>
  <si>
    <t>DABUR INDIA LTD</t>
  </si>
  <si>
    <t>DALBHARAT</t>
  </si>
  <si>
    <t>DALMIA BHARAT LIMITED</t>
  </si>
  <si>
    <t>DALMIASUG</t>
  </si>
  <si>
    <t>DALMIA BHARAT SUG IN LTD</t>
  </si>
  <si>
    <t>DAMCAPITAL</t>
  </si>
  <si>
    <t>DAM CAPITAL ADVISORS LTD</t>
  </si>
  <si>
    <t>DAMODARIND</t>
  </si>
  <si>
    <t>DAMODAR INDUSTRIES LTD</t>
  </si>
  <si>
    <t>DANGEE</t>
  </si>
  <si>
    <t>DANGEE DUMS LIMITED</t>
  </si>
  <si>
    <t>DATAMATICS</t>
  </si>
  <si>
    <t>DATAMATICS GLOBAL SER LTD</t>
  </si>
  <si>
    <t>DATAPATTNS</t>
  </si>
  <si>
    <t>DATA PATTERNS INDIA LTD</t>
  </si>
  <si>
    <t>DAVANGERE</t>
  </si>
  <si>
    <t>DAVANGERE SUGAR COMPANY L</t>
  </si>
  <si>
    <t>DBCORP</t>
  </si>
  <si>
    <t>D.B.CORP LTD</t>
  </si>
  <si>
    <t>DBEIL</t>
  </si>
  <si>
    <t>DEEPAK BUILDERS &amp; ENG I L</t>
  </si>
  <si>
    <t>DBL</t>
  </si>
  <si>
    <t>DILIP BUILDCON LIMITED</t>
  </si>
  <si>
    <t>DBOL</t>
  </si>
  <si>
    <t>DHAMPUR BIO ORGANICS LTD</t>
  </si>
  <si>
    <t>DBREALTY</t>
  </si>
  <si>
    <t>VALOR ESTATE LIMITED</t>
  </si>
  <si>
    <t>DBSTOCKBRO</t>
  </si>
  <si>
    <t>DB (INT) STOCK BROKERS</t>
  </si>
  <si>
    <t>DCAL</t>
  </si>
  <si>
    <t>DISHMAN CARBO AMCIS LTD</t>
  </si>
  <si>
    <t>DCBBANK</t>
  </si>
  <si>
    <t>DCB BANK LIMITED</t>
  </si>
  <si>
    <t>DCI</t>
  </si>
  <si>
    <t>DC INFOTECH AND COMUN LTD</t>
  </si>
  <si>
    <t>DCM</t>
  </si>
  <si>
    <t>DCM LTD</t>
  </si>
  <si>
    <t>DCMNVL</t>
  </si>
  <si>
    <t>DCM NOUVELLE LIMITED</t>
  </si>
  <si>
    <t>DCMSHRIRAM</t>
  </si>
  <si>
    <t>DCM SHRIRAM LIMITED</t>
  </si>
  <si>
    <t>DCMSRIND</t>
  </si>
  <si>
    <t>DCM SHRIRAM IND LTD</t>
  </si>
  <si>
    <t>DCW</t>
  </si>
  <si>
    <t>DCW LTD</t>
  </si>
  <si>
    <t>DCXINDIA</t>
  </si>
  <si>
    <t>DCX SYSTEMS LIMITED</t>
  </si>
  <si>
    <t>DDEVPLSTIK</t>
  </si>
  <si>
    <t>DDEV PLASTIKS IND LTD</t>
  </si>
  <si>
    <t>DECCANCE</t>
  </si>
  <si>
    <t>DECCAN CEMENTS LIMITED</t>
  </si>
  <si>
    <t>DEEDEV</t>
  </si>
  <si>
    <t>DEE DEVELOPMENT ENG LTD</t>
  </si>
  <si>
    <t>DEEPAKFERT</t>
  </si>
  <si>
    <t>DEEPAK FERTILIZERS &amp; PETR</t>
  </si>
  <si>
    <t>DEEPAKNTR</t>
  </si>
  <si>
    <t>DEEPAK NITRITE LTD</t>
  </si>
  <si>
    <t>DEEPINDS</t>
  </si>
  <si>
    <t>DEEP INDUSTRIES LIMITED</t>
  </si>
  <si>
    <t>DELHIVERY</t>
  </si>
  <si>
    <t>DELHIVERY LIMITED</t>
  </si>
  <si>
    <t>DELPHIFX</t>
  </si>
  <si>
    <t>DELPHI WORLD MONEY LTD</t>
  </si>
  <si>
    <t>DELTACORP</t>
  </si>
  <si>
    <t>DELTA CORP LIMITED</t>
  </si>
  <si>
    <t>DELTAMAGNT</t>
  </si>
  <si>
    <t>DELTA MANUFACTURING LTD</t>
  </si>
  <si>
    <t>DEN</t>
  </si>
  <si>
    <t>DEN NETWORKS LTD</t>
  </si>
  <si>
    <t>DENORA</t>
  </si>
  <si>
    <t>DE NORA INDIA LIMITED</t>
  </si>
  <si>
    <t>DENTA</t>
  </si>
  <si>
    <t>DENTA WATER N INFRA SOL L</t>
  </si>
  <si>
    <t>DEVIT</t>
  </si>
  <si>
    <t>DEV INFO TECHNOLOGY LTD</t>
  </si>
  <si>
    <t>DEVX</t>
  </si>
  <si>
    <t>DEV ACCELERATOR LIMITED</t>
  </si>
  <si>
    <t>DEVYANI</t>
  </si>
  <si>
    <t>DEVYANI INTERNATIONAL LTD</t>
  </si>
  <si>
    <t>DGCONTENT</t>
  </si>
  <si>
    <t>DIGICONTENT LIMITED</t>
  </si>
  <si>
    <t>DHAMPURSUG</t>
  </si>
  <si>
    <t>DHAMPUR SUGAR MILLS LTD.</t>
  </si>
  <si>
    <t>DHANBANK</t>
  </si>
  <si>
    <t>DHANLAXMI BANK LIMITED</t>
  </si>
  <si>
    <t>DHANUKA</t>
  </si>
  <si>
    <t>DHANUKA AGRITECH LTD</t>
  </si>
  <si>
    <t>DHARMAJ</t>
  </si>
  <si>
    <t>DHARMAJ CROP GUARD LTD</t>
  </si>
  <si>
    <t>DHRUV</t>
  </si>
  <si>
    <t>DHRUV CONSULTANCY SER LTD</t>
  </si>
  <si>
    <t>DHUNINV</t>
  </si>
  <si>
    <t>DHUNSERI INVESTMENTS LTD</t>
  </si>
  <si>
    <t>DIACABS</t>
  </si>
  <si>
    <t>DIAMOND POWER INFRA LTD</t>
  </si>
  <si>
    <t>DIAMINESQ</t>
  </si>
  <si>
    <t>DIAMINES &amp; CHEMICALS LTD</t>
  </si>
  <si>
    <t>DIAMONDYD</t>
  </si>
  <si>
    <t>PRATAAP SNACKS LIMITED</t>
  </si>
  <si>
    <t>DICIND</t>
  </si>
  <si>
    <t>DIC INDIA LIMITED</t>
  </si>
  <si>
    <t>DIFFNKG</t>
  </si>
  <si>
    <t>DIFFUSION ENGINEERS LTD</t>
  </si>
  <si>
    <t>DIGIDRIVE</t>
  </si>
  <si>
    <t>DIGIDRIVE DISTRIBUTORS L</t>
  </si>
  <si>
    <t>DIGISPICE</t>
  </si>
  <si>
    <t>DIGISPICE TECHNOLOGIES LT</t>
  </si>
  <si>
    <t>DIGITIDE</t>
  </si>
  <si>
    <t>DIGITIDE SOLUTIONS LTD</t>
  </si>
  <si>
    <t>DIGJAMLMTD</t>
  </si>
  <si>
    <t>DIGJAM LTD</t>
  </si>
  <si>
    <t>DISHTV</t>
  </si>
  <si>
    <t>DISH TV INDIA LTD.</t>
  </si>
  <si>
    <t>DIVGIITTS</t>
  </si>
  <si>
    <t>DIVGI TORQTRANSFER SYST L</t>
  </si>
  <si>
    <t>DIXON</t>
  </si>
  <si>
    <t>DIXON TECHNO (INDIA) LTD</t>
  </si>
  <si>
    <t>DLINKINDIA</t>
  </si>
  <si>
    <t>D-LINK INDIA LTD</t>
  </si>
  <si>
    <t>DMCC</t>
  </si>
  <si>
    <t>DMCC SPECIALITY CHEMICALS</t>
  </si>
  <si>
    <t>DNAMEDIA</t>
  </si>
  <si>
    <t>DILIGENT MEDIA CORP LTD.</t>
  </si>
  <si>
    <t>DODLA</t>
  </si>
  <si>
    <t>DODLA DAIRY LIMITED</t>
  </si>
  <si>
    <t>DOLATALGO</t>
  </si>
  <si>
    <t>DOLAT ALGOTECH LIMITED</t>
  </si>
  <si>
    <t>DOLLAR</t>
  </si>
  <si>
    <t>DOLLAR INDUSTRIES LIMITED</t>
  </si>
  <si>
    <t>DOLPHIN</t>
  </si>
  <si>
    <t>DOLPHIN OFF ENT (IND) L</t>
  </si>
  <si>
    <t>DOMS</t>
  </si>
  <si>
    <t>DOMS INDUSTRIES LIMITED</t>
  </si>
  <si>
    <t>DONEAR</t>
  </si>
  <si>
    <t>DONEAR IND. LIMITED</t>
  </si>
  <si>
    <t>DPABHUSHAN</t>
  </si>
  <si>
    <t>D. P. ABHUSHAN LIMITED</t>
  </si>
  <si>
    <t>DPSCLTD</t>
  </si>
  <si>
    <t>DPSC LIMITED</t>
  </si>
  <si>
    <t>DPWIRES</t>
  </si>
  <si>
    <t>D P WIRES LIMITED</t>
  </si>
  <si>
    <t>DRCSYSTEMS</t>
  </si>
  <si>
    <t>DRC SYSTEMS INDIA LIMITED</t>
  </si>
  <si>
    <t>DREAMFOLKS</t>
  </si>
  <si>
    <t>DREAMFOLKS SERVICES LTD</t>
  </si>
  <si>
    <t>DREDGECORP</t>
  </si>
  <si>
    <t>DREDGING CORP OF INDIA</t>
  </si>
  <si>
    <t>DSFCL</t>
  </si>
  <si>
    <t>DCM SHRIRAM FINE CHEM LTD</t>
  </si>
  <si>
    <t>DSSL</t>
  </si>
  <si>
    <t>DYNACONS SYS &amp; SOLN LTD</t>
  </si>
  <si>
    <t>DTIL</t>
  </si>
  <si>
    <t>DHUNSERI TEA &amp; IND. LTD.</t>
  </si>
  <si>
    <t>DUCON</t>
  </si>
  <si>
    <t>DUCON INFRATECHNOLOGIES L</t>
  </si>
  <si>
    <t>DVL</t>
  </si>
  <si>
    <t>DHUNSERI VENTURES LIMITED</t>
  </si>
  <si>
    <t>DWARKESH</t>
  </si>
  <si>
    <t>DWARIKESH SUGAR IND LTD</t>
  </si>
  <si>
    <t>DYCL</t>
  </si>
  <si>
    <t>DYNAMIC CABLES LIMITED</t>
  </si>
  <si>
    <t>DYNAMATECH</t>
  </si>
  <si>
    <t>DYNAMATIC TECHNOLOGIES</t>
  </si>
  <si>
    <t>DYNPRO</t>
  </si>
  <si>
    <t>DYNEMIC PRODUCTS LIMITED</t>
  </si>
  <si>
    <t>EASEMYTRIP</t>
  </si>
  <si>
    <t>EASY TRIP PLANNERS LTD</t>
  </si>
  <si>
    <t>EBGNG</t>
  </si>
  <si>
    <t>GNG ELECTRONICS LIMITED</t>
  </si>
  <si>
    <t>ECLERX</t>
  </si>
  <si>
    <t>ECLERX SERVICES LTD</t>
  </si>
  <si>
    <t>ECOSMOBLTY</t>
  </si>
  <si>
    <t>ECOS (INDIA) MOB &amp; HOSP L</t>
  </si>
  <si>
    <t>EDELWEISS</t>
  </si>
  <si>
    <t>EDELWEISS FIN SERV LTD</t>
  </si>
  <si>
    <t>EFCIL</t>
  </si>
  <si>
    <t>EFC (I) LIMITED</t>
  </si>
  <si>
    <t>EIDPARRY</t>
  </si>
  <si>
    <t>EID PARRY INDIA LTD</t>
  </si>
  <si>
    <t>EIEL</t>
  </si>
  <si>
    <t>ENVIRO INFRA ENGINEERS L</t>
  </si>
  <si>
    <t>EIFFL</t>
  </si>
  <si>
    <t>EURO (I) FRESH FOODS LTD</t>
  </si>
  <si>
    <t>EIHAHOTELS</t>
  </si>
  <si>
    <t>EIH ASSOCIATED HOTELS LTD</t>
  </si>
  <si>
    <t>EIHOTEL</t>
  </si>
  <si>
    <t>EIH LIMITED</t>
  </si>
  <si>
    <t>EIMCOELECO</t>
  </si>
  <si>
    <t>EIMCO ELECON (INDIA) LTD</t>
  </si>
  <si>
    <t>EKC</t>
  </si>
  <si>
    <t>EVEREST KANTO CYLINDERLTD</t>
  </si>
  <si>
    <t>ELDEHSG</t>
  </si>
  <si>
    <t>ELDECO HSG &amp; IND LTD.</t>
  </si>
  <si>
    <t>ELECON</t>
  </si>
  <si>
    <t>ELECON ENG. CO. LTD</t>
  </si>
  <si>
    <t>ELECTCAST</t>
  </si>
  <si>
    <t>ELECTROSTEEL CASTINGS LTD</t>
  </si>
  <si>
    <t>ELECTHERM</t>
  </si>
  <si>
    <t>ELECTROTHERM (I) LTD.</t>
  </si>
  <si>
    <t>ELGIEQUIP</t>
  </si>
  <si>
    <t>ELGI EQUIPMENTS LTD</t>
  </si>
  <si>
    <t>ELGIRUBCO</t>
  </si>
  <si>
    <t>ELGI RUBBER CO. LTD</t>
  </si>
  <si>
    <t>ELIN</t>
  </si>
  <si>
    <t>ELIN ELECTRONICS LIMITED</t>
  </si>
  <si>
    <t>ELLEN</t>
  </si>
  <si>
    <t>ELLENBARRIE INDUS GASES L</t>
  </si>
  <si>
    <t>EMAMILTD</t>
  </si>
  <si>
    <t>EMAMI LIMITED</t>
  </si>
  <si>
    <t>EMAMIPAP</t>
  </si>
  <si>
    <t>EMAMI PAPER MILLS LIMITED</t>
  </si>
  <si>
    <t>EMAMIREAL</t>
  </si>
  <si>
    <t>EMAMI REALTY LIMITED</t>
  </si>
  <si>
    <t>EMCURE</t>
  </si>
  <si>
    <t>EMCURE PHARMACEUTICALS L</t>
  </si>
  <si>
    <t>EMIL</t>
  </si>
  <si>
    <t>ELECTRONICS MART IND LTD</t>
  </si>
  <si>
    <t>EMKAY</t>
  </si>
  <si>
    <t>EMKAY GLOBAL FIN SERV LTD</t>
  </si>
  <si>
    <t>EMMBI</t>
  </si>
  <si>
    <t>EMMBI INDUSTRIES LIMITED</t>
  </si>
  <si>
    <t>EMMVEE</t>
  </si>
  <si>
    <t>EMMVEE PHOTOVOLTAIC PWR L</t>
  </si>
  <si>
    <t>EMSLIMITED</t>
  </si>
  <si>
    <t>EMS LIMITED</t>
  </si>
  <si>
    <t>EMUDHRA</t>
  </si>
  <si>
    <t>EMUDHRA LIMITED</t>
  </si>
  <si>
    <t>ENDURANCE</t>
  </si>
  <si>
    <t>ENDURANCE TECHNO. LTD.</t>
  </si>
  <si>
    <t>ENERGYDEV</t>
  </si>
  <si>
    <t>ENERGY DEVE. CO.LTD</t>
  </si>
  <si>
    <t>ENGINERSIN</t>
  </si>
  <si>
    <t>ENGINEERS INDIA LTD</t>
  </si>
  <si>
    <t>ENIL</t>
  </si>
  <si>
    <t>ENTERTAIN NET. IND. LTD.</t>
  </si>
  <si>
    <t>ENTERO</t>
  </si>
  <si>
    <t>ENTERO HEALTHCARE SOLU L</t>
  </si>
  <si>
    <t>EPACK</t>
  </si>
  <si>
    <t>EPACK DURABLE LIMITED</t>
  </si>
  <si>
    <t>EPACKPEB</t>
  </si>
  <si>
    <t>EPACK PREFAB TECHN LTD</t>
  </si>
  <si>
    <t>EPIGRAL</t>
  </si>
  <si>
    <t>EPIGRAL LIMITED</t>
  </si>
  <si>
    <t>EPL</t>
  </si>
  <si>
    <t>EPL LIMITED</t>
  </si>
  <si>
    <t>EQUITASBNK</t>
  </si>
  <si>
    <t>EQUITAS SMALL FIN BNK LTD</t>
  </si>
  <si>
    <t>ERIS</t>
  </si>
  <si>
    <t>ERIS LIFESCIENCES LIMITED</t>
  </si>
  <si>
    <t>ESABINDIA</t>
  </si>
  <si>
    <t>ESAB INDIA LTD</t>
  </si>
  <si>
    <t>ESAFSFB</t>
  </si>
  <si>
    <t>ESAF SMALL FINANCE BANK L</t>
  </si>
  <si>
    <t>ESCORTS</t>
  </si>
  <si>
    <t>ESCORTS KUBOTA LIMITED</t>
  </si>
  <si>
    <t>ESSARSHPNG</t>
  </si>
  <si>
    <t>ESSAR SHIPPING LTD</t>
  </si>
  <si>
    <t>ESSENTIA</t>
  </si>
  <si>
    <t>INTEGRA ESSENTIA LIMITED</t>
  </si>
  <si>
    <t>ESTER</t>
  </si>
  <si>
    <t>ESTER INDUSTRIES LTD</t>
  </si>
  <si>
    <t>ETHOSLTD</t>
  </si>
  <si>
    <t>ETHOS LIMITED</t>
  </si>
  <si>
    <t>EUREKAFORB</t>
  </si>
  <si>
    <t>EUREKA FORBES LIMITED</t>
  </si>
  <si>
    <t>EUROBOND</t>
  </si>
  <si>
    <t>EURO PANEL PRODUCTS LTD</t>
  </si>
  <si>
    <t>EUROPRATIK</t>
  </si>
  <si>
    <t>EURO PRATIK SALES LIMITED</t>
  </si>
  <si>
    <t>EUROTEXIND</t>
  </si>
  <si>
    <t>EUROTEX INDUSTRIES LTD</t>
  </si>
  <si>
    <t>EVEREADY</t>
  </si>
  <si>
    <t>EVEREADY INDS. IND.  LTD.</t>
  </si>
  <si>
    <t>EVERESTIND</t>
  </si>
  <si>
    <t>EVEREST INDUSTRIES LTD</t>
  </si>
  <si>
    <t>EXCEL</t>
  </si>
  <si>
    <t>EXCEL REALTY N INFRA LTD</t>
  </si>
  <si>
    <t>EXCELINDUS</t>
  </si>
  <si>
    <t>EXCEL INDUSTRIES LTD</t>
  </si>
  <si>
    <t>EXCELSOFT</t>
  </si>
  <si>
    <t>EXCELSOFT TECHNOLOGIES L</t>
  </si>
  <si>
    <t>EXICOM</t>
  </si>
  <si>
    <t>EXICOM TELE SYSTEMS LTD</t>
  </si>
  <si>
    <t>EXIDEIND</t>
  </si>
  <si>
    <t>EXIDE INDUSTRIES LTD</t>
  </si>
  <si>
    <t>EXPLEOSOL</t>
  </si>
  <si>
    <t>EXPLEO SOLUTIONS LIMITED</t>
  </si>
  <si>
    <t>EXXARO</t>
  </si>
  <si>
    <t>EXXARO TILES LIMITED</t>
  </si>
  <si>
    <t>FABTECH</t>
  </si>
  <si>
    <t>FABTECH TECHNOLOGIES LTD</t>
  </si>
  <si>
    <t>FACT</t>
  </si>
  <si>
    <t>FACT LTD</t>
  </si>
  <si>
    <t>FAIRCHEMOR</t>
  </si>
  <si>
    <t>FAIRCHEM ORGANICS LIMITED</t>
  </si>
  <si>
    <t>FCL</t>
  </si>
  <si>
    <t>FINEOTEX CHEMICAL LIMITED</t>
  </si>
  <si>
    <t>FCSSOFT</t>
  </si>
  <si>
    <t>FCS SOFTWARE SOLN. LTD.</t>
  </si>
  <si>
    <t>FDC</t>
  </si>
  <si>
    <t>FDC LIMITED</t>
  </si>
  <si>
    <t>FEDERALBNK</t>
  </si>
  <si>
    <t>FEDERAL BANK LTD</t>
  </si>
  <si>
    <t>FEDFINA</t>
  </si>
  <si>
    <t>FEDBANK FINANCIAL SER L</t>
  </si>
  <si>
    <t>FIEMIND</t>
  </si>
  <si>
    <t>FIEM INDUSTRIES LIMITED</t>
  </si>
  <si>
    <t>FILATEX</t>
  </si>
  <si>
    <t>FILATEX INDIA LTD</t>
  </si>
  <si>
    <t>FILATFASH</t>
  </si>
  <si>
    <t>FILATEX FASHIONS LIMITED</t>
  </si>
  <si>
    <t>FINCABLES</t>
  </si>
  <si>
    <t>FINOLEX CABLES LTD</t>
  </si>
  <si>
    <t>FINEORG</t>
  </si>
  <si>
    <t>FINE ORGANIC IND. LTD.</t>
  </si>
  <si>
    <t>FINKURVE</t>
  </si>
  <si>
    <t>FINKURVE FINANCIAL SERV L</t>
  </si>
  <si>
    <t>FINOPB</t>
  </si>
  <si>
    <t>FINO PAYMENTS BANK LTD</t>
  </si>
  <si>
    <t>FINPIPE</t>
  </si>
  <si>
    <t>FINOLEX INDUSTRIES LTD</t>
  </si>
  <si>
    <t>FIRSTCRY</t>
  </si>
  <si>
    <t>BRAINBEES SOLUTIONS LTD</t>
  </si>
  <si>
    <t>FISCHER</t>
  </si>
  <si>
    <t>FISCHER MEDICAL VENTURE L</t>
  </si>
  <si>
    <t>FIVESTAR</t>
  </si>
  <si>
    <t>FIVE-STAR BUS FIN LTD</t>
  </si>
  <si>
    <t>FLAIR</t>
  </si>
  <si>
    <t>FLAIR WRITING INDUST LTD</t>
  </si>
  <si>
    <t>FLEXITUFF</t>
  </si>
  <si>
    <t>FLEXITUFF VENTURES INT L</t>
  </si>
  <si>
    <t>FLUOROCHEM</t>
  </si>
  <si>
    <t>GUJARAT FLUOROCHEM LTD</t>
  </si>
  <si>
    <t>FMGOETZE</t>
  </si>
  <si>
    <t>FEDERAL-MOGUL GOETZE (IND</t>
  </si>
  <si>
    <t>FMNL</t>
  </si>
  <si>
    <t>FUTURE MKT NETWORKS LTD</t>
  </si>
  <si>
    <t>FOCUS</t>
  </si>
  <si>
    <t>FOCUS LIGHTG &amp; FIXTRS LTD</t>
  </si>
  <si>
    <t>FOODSIN</t>
  </si>
  <si>
    <t>FOODS &amp; INNS LIMITED</t>
  </si>
  <si>
    <t>FORCEMOT</t>
  </si>
  <si>
    <t>FORCE MOTORS LIMITED</t>
  </si>
  <si>
    <t>FORTIS</t>
  </si>
  <si>
    <t>FORTIS HEALTHCARE LTD</t>
  </si>
  <si>
    <t>FOSECOIND</t>
  </si>
  <si>
    <t>FOSECO INDIA LTD</t>
  </si>
  <si>
    <t>FRACTAL</t>
  </si>
  <si>
    <t>FRACTAL ANALYTICS LIMITED</t>
  </si>
  <si>
    <t>FSL</t>
  </si>
  <si>
    <t>FIRSTSOURCE SOLU. LTD.</t>
  </si>
  <si>
    <t>FUSION</t>
  </si>
  <si>
    <t>FUSION FINANCE LIMITED</t>
  </si>
  <si>
    <t>GABRIEL</t>
  </si>
  <si>
    <t>GABRIEL INDIA LTD</t>
  </si>
  <si>
    <t>GAEL</t>
  </si>
  <si>
    <t>GUJARAT AMBUJA EXPORTS LT</t>
  </si>
  <si>
    <t>GALAPREC</t>
  </si>
  <si>
    <t>GALA PRECISION ENG LTD</t>
  </si>
  <si>
    <t>GALAXYSURF</t>
  </si>
  <si>
    <t>GALAXY SURFACTANTS LTD</t>
  </si>
  <si>
    <t>GALLANTT</t>
  </si>
  <si>
    <t>GALLANTT ISPAT LIMITED</t>
  </si>
  <si>
    <t>GANDHAR</t>
  </si>
  <si>
    <t>GANDHAR OIL REFINE IND L</t>
  </si>
  <si>
    <t>GANDHITUBE</t>
  </si>
  <si>
    <t>GANDHI SPL. TUBES LTD</t>
  </si>
  <si>
    <t>GANECOS</t>
  </si>
  <si>
    <t>GANESHA ECOSPHERE LIMITED</t>
  </si>
  <si>
    <t>GANESHBE</t>
  </si>
  <si>
    <t>GANESH BENZOPLAST LIMITED</t>
  </si>
  <si>
    <t>GANESHCP</t>
  </si>
  <si>
    <t>GANESH CONSUMER PRODUCT L</t>
  </si>
  <si>
    <t>GANESHHOU</t>
  </si>
  <si>
    <t>GANESH HOUSING LIMITED</t>
  </si>
  <si>
    <t>GANGAFORGE</t>
  </si>
  <si>
    <t>GANGA FORGING LIMITED</t>
  </si>
  <si>
    <t>GANGESSECU</t>
  </si>
  <si>
    <t>GANGES SECURITIES LIMITED</t>
  </si>
  <si>
    <t>GARFIBRES</t>
  </si>
  <si>
    <t>GARWARE TECH FIBRES LTD</t>
  </si>
  <si>
    <t>GARUDA</t>
  </si>
  <si>
    <t>GARUDA CONSTRUCT N ENG L</t>
  </si>
  <si>
    <t>GATECH</t>
  </si>
  <si>
    <t>GACM TECHNOLOGIES LIMITED</t>
  </si>
  <si>
    <t>GATECHDVR</t>
  </si>
  <si>
    <t>GATEWAY</t>
  </si>
  <si>
    <t>GATEWAY DISTRIPARKS LTD</t>
  </si>
  <si>
    <t>GAUDIUMIVF</t>
  </si>
  <si>
    <t>GAUDIUM IVF N WOMEN H L</t>
  </si>
  <si>
    <t>GAYAHWS</t>
  </si>
  <si>
    <t>GAYATRI HIGHWAYS LIMITED</t>
  </si>
  <si>
    <t>GEECEE</t>
  </si>
  <si>
    <t>GEECEE VENTURES LIMITED</t>
  </si>
  <si>
    <t>GEEKAYWIRE</t>
  </si>
  <si>
    <t>GEEKAY WIRES LIMITED</t>
  </si>
  <si>
    <t>GENCON</t>
  </si>
  <si>
    <t>GENERIC ENG CONS PROJ LTD</t>
  </si>
  <si>
    <t>GENESYS</t>
  </si>
  <si>
    <t>GENESYS INTL CORPN LTD</t>
  </si>
  <si>
    <t>GENUSPAPER</t>
  </si>
  <si>
    <t>GENUS P&amp;B LIMITED</t>
  </si>
  <si>
    <t>GENUSPOWER</t>
  </si>
  <si>
    <t>GENUS POWER INFRASTRU LTD</t>
  </si>
  <si>
    <t>GEOJITFSL</t>
  </si>
  <si>
    <t>GEOJIT FINANCIAL SER L</t>
  </si>
  <si>
    <t>GESHIP</t>
  </si>
  <si>
    <t>THE GE SHPG.LTD</t>
  </si>
  <si>
    <t>GFLLIMITED</t>
  </si>
  <si>
    <t>GFL LIMITED</t>
  </si>
  <si>
    <t>GHCL</t>
  </si>
  <si>
    <t>GHCL LIMITED</t>
  </si>
  <si>
    <t>GHCLTEXTIL</t>
  </si>
  <si>
    <t>GHCL TEXTILES LIMITED</t>
  </si>
  <si>
    <t>GICHSGFIN</t>
  </si>
  <si>
    <t>GIC HOUSING FINANCE LTD</t>
  </si>
  <si>
    <t>GICL</t>
  </si>
  <si>
    <t>GLOBE INTL CARRIERS LTD</t>
  </si>
  <si>
    <t>GICRE</t>
  </si>
  <si>
    <t>GENERAL INS CORP OF INDIA</t>
  </si>
  <si>
    <t>GILLANDERS</t>
  </si>
  <si>
    <t>GILLANDERS ARBUTHNOT LTD</t>
  </si>
  <si>
    <t>GILLETTE</t>
  </si>
  <si>
    <t>GILLETTE INDIA LTD</t>
  </si>
  <si>
    <t>GINNIFILA</t>
  </si>
  <si>
    <t>GINNI FILAMENTS LTD</t>
  </si>
  <si>
    <t>GIPCL</t>
  </si>
  <si>
    <t>GUJ IND POW CO. LTD</t>
  </si>
  <si>
    <t>GKENERGY</t>
  </si>
  <si>
    <t>GK ENERGY LIMITED</t>
  </si>
  <si>
    <t>GKSL</t>
  </si>
  <si>
    <t>GUJARAT KIDNEY N SUP SP L</t>
  </si>
  <si>
    <t>GKWLIMITED</t>
  </si>
  <si>
    <t>GKW LIMITED</t>
  </si>
  <si>
    <t>GLAND</t>
  </si>
  <si>
    <t>GLAND PHARMA LIMITED</t>
  </si>
  <si>
    <t>GLAXO</t>
  </si>
  <si>
    <t>GLAXOSMITHKLINE PHARMA LT</t>
  </si>
  <si>
    <t>GLENMARK</t>
  </si>
  <si>
    <t>GLENMARK PHARMACEUTICALS</t>
  </si>
  <si>
    <t>GLOBAL</t>
  </si>
  <si>
    <t>GLOBAL EDUCATION LIMITED</t>
  </si>
  <si>
    <t>GLOBALE</t>
  </si>
  <si>
    <t>GLOBALE TESSILE LIMITED</t>
  </si>
  <si>
    <t>GLOBALVECT</t>
  </si>
  <si>
    <t>GLOBAL VEC HELICORP LTD</t>
  </si>
  <si>
    <t>GLOBE</t>
  </si>
  <si>
    <t>GLOBE ENTERPRISE (I) LTD</t>
  </si>
  <si>
    <t>GLOBECIVIL</t>
  </si>
  <si>
    <t>GLOBE CIVIL PROJECTS LTD</t>
  </si>
  <si>
    <t>GLOBUSSPR</t>
  </si>
  <si>
    <t>GLOBUS SPIRITS LTD</t>
  </si>
  <si>
    <t>GLOSTERLTD</t>
  </si>
  <si>
    <t>GLOSTER LIMITED</t>
  </si>
  <si>
    <t>GLOTTIS</t>
  </si>
  <si>
    <t>GLOTTIS LIMITED</t>
  </si>
  <si>
    <t>GMBREW</t>
  </si>
  <si>
    <t>G M BREWERIES LTD</t>
  </si>
  <si>
    <t>GMDCLTD</t>
  </si>
  <si>
    <t>GUJARAT MINERAL DEV CORP</t>
  </si>
  <si>
    <t>GMMPFAUDLR</t>
  </si>
  <si>
    <t>GMM PFAUDLER LIMITED</t>
  </si>
  <si>
    <t>GMRAIRPORT</t>
  </si>
  <si>
    <t>GMR AIRPORTS LIMITED</t>
  </si>
  <si>
    <t>GMRP&amp;UI</t>
  </si>
  <si>
    <t>GMR POW AND URBAN INFRA L</t>
  </si>
  <si>
    <t>GNA</t>
  </si>
  <si>
    <t>GNA AXLES LIMITED</t>
  </si>
  <si>
    <t>GNFC</t>
  </si>
  <si>
    <t>GUJ NAR VAL FER &amp; CHEM L</t>
  </si>
  <si>
    <t>GOACARBON</t>
  </si>
  <si>
    <t>GOA CARBON LIMITED</t>
  </si>
  <si>
    <t>GOCLCORP</t>
  </si>
  <si>
    <t>GOCL CORPORATION LIMITED</t>
  </si>
  <si>
    <t>GOCOLORS</t>
  </si>
  <si>
    <t>GO FASHION INDIA LTD</t>
  </si>
  <si>
    <t>GODAVARIB</t>
  </si>
  <si>
    <t>GODAVARI BIOREFINERIES L</t>
  </si>
  <si>
    <t>GODFRYPHLP</t>
  </si>
  <si>
    <t>GODFREY PHILLIPS INDIA LT</t>
  </si>
  <si>
    <t>GODIGIT</t>
  </si>
  <si>
    <t>GO DIGIT GENERAL INS LTD</t>
  </si>
  <si>
    <t>GODREJAGRO</t>
  </si>
  <si>
    <t>GODREJ AGROVET LIMITED</t>
  </si>
  <si>
    <t>GODREJIND</t>
  </si>
  <si>
    <t>GODREJ INDUSTRIES LTD</t>
  </si>
  <si>
    <t>GODREJPROP</t>
  </si>
  <si>
    <t>GODREJ PROPERTIES LTD</t>
  </si>
  <si>
    <t>GOKEX</t>
  </si>
  <si>
    <t>GOKALDAS EXPORTS LTD.</t>
  </si>
  <si>
    <t>GOKUL</t>
  </si>
  <si>
    <t>GOKUL REFOILS &amp; SOLV LTD</t>
  </si>
  <si>
    <t>GOKULAGRO</t>
  </si>
  <si>
    <t>GOKUL AGRO RESOURCES LTD</t>
  </si>
  <si>
    <t>GOLDIAM</t>
  </si>
  <si>
    <t>GOLDIAM INTERNATIONAL LTD</t>
  </si>
  <si>
    <t>GOLDTECH</t>
  </si>
  <si>
    <t>AION-TECH SOLUTIONS LTD</t>
  </si>
  <si>
    <t>GOODLUCK</t>
  </si>
  <si>
    <t>GOODLUCK INDIA LIMITED</t>
  </si>
  <si>
    <t>GOPAL</t>
  </si>
  <si>
    <t>GOPAL SNACKS LIMITED</t>
  </si>
  <si>
    <t>GPIL</t>
  </si>
  <si>
    <t>GODAWARI POW &amp; ISP LTD</t>
  </si>
  <si>
    <t>GPPL</t>
  </si>
  <si>
    <t>GUJARAT PIPAVAV PORT LTD</t>
  </si>
  <si>
    <t>GPTHEALTH</t>
  </si>
  <si>
    <t>GPT HEALTHCARE LIMITED</t>
  </si>
  <si>
    <t>GPTINFRA</t>
  </si>
  <si>
    <t>GPT INFRAPROJECTS LTD</t>
  </si>
  <si>
    <t>GRANULES</t>
  </si>
  <si>
    <t>GRANULES INDIA LIMITED</t>
  </si>
  <si>
    <t>GRAPHITE</t>
  </si>
  <si>
    <t>GRAPHITE INDIA LTD</t>
  </si>
  <si>
    <t>GRAVITA</t>
  </si>
  <si>
    <t>GRAVITA INDIA LIMITED</t>
  </si>
  <si>
    <t>GREAVESCOT</t>
  </si>
  <si>
    <t>GREAVES COTTON LTD.</t>
  </si>
  <si>
    <t>GREENLAM</t>
  </si>
  <si>
    <t>GREENLAM INDUSTRIES LTD.</t>
  </si>
  <si>
    <t>GREENPANEL</t>
  </si>
  <si>
    <t>GREENPANEL INDUSTRIES LTD</t>
  </si>
  <si>
    <t>GREENPLY</t>
  </si>
  <si>
    <t>GREENPLY INDUSTRIES LTD</t>
  </si>
  <si>
    <t>GREENPOWER</t>
  </si>
  <si>
    <t>ORIENT GREEN POWER CO LTD</t>
  </si>
  <si>
    <t>GRINDWELL</t>
  </si>
  <si>
    <t>GRINDWELL NORTON LIMITED</t>
  </si>
  <si>
    <t>GRINFRA</t>
  </si>
  <si>
    <t>G R INFRAPROJECTS LIMITED</t>
  </si>
  <si>
    <t>GRMOVER</t>
  </si>
  <si>
    <t>GRM OVERSEAS LIMITED</t>
  </si>
  <si>
    <t>GROBTEA</t>
  </si>
  <si>
    <t>THE GROB TEA COMPANY LTD</t>
  </si>
  <si>
    <t>GROWW</t>
  </si>
  <si>
    <t>BILLIONBRAINS GARAGE VN L</t>
  </si>
  <si>
    <t>GRPLTD</t>
  </si>
  <si>
    <t>GRP LIMITED</t>
  </si>
  <si>
    <t>GRSE</t>
  </si>
  <si>
    <t>GARDEN REACH SHIP&amp;ENG LTD</t>
  </si>
  <si>
    <t>GRWRHITECH</t>
  </si>
  <si>
    <t>GARWARE HI-TECH FILMS LTD</t>
  </si>
  <si>
    <t>GSFC</t>
  </si>
  <si>
    <t>GUJ STATE FERT &amp; CHEM LTD</t>
  </si>
  <si>
    <t>GSLSU</t>
  </si>
  <si>
    <t>GLOBAL SURFACES LIMITED</t>
  </si>
  <si>
    <t>GSPL</t>
  </si>
  <si>
    <t>GUJARAT STATE PETRO LTD</t>
  </si>
  <si>
    <t>GSS</t>
  </si>
  <si>
    <t>GSS INFOTECH LIMITED</t>
  </si>
  <si>
    <t>GTECJAINX</t>
  </si>
  <si>
    <t>G-TEC JAINX EDUCATION LTD</t>
  </si>
  <si>
    <t>GTL</t>
  </si>
  <si>
    <t>GTL LTD</t>
  </si>
  <si>
    <t>GTLINFRA</t>
  </si>
  <si>
    <t>GTL INFRA.LTD</t>
  </si>
  <si>
    <t>GTPL</t>
  </si>
  <si>
    <t>GTPL HATHWAY LIMITED</t>
  </si>
  <si>
    <t>GUFICBIO</t>
  </si>
  <si>
    <t>GUFIC BIOSCIENCES LTD.</t>
  </si>
  <si>
    <t>GUJALKALI</t>
  </si>
  <si>
    <t>GUJARAT ALKALIES &amp; CHEM</t>
  </si>
  <si>
    <t>GUJAPOLLO</t>
  </si>
  <si>
    <t>GUJ. APOLLO IND. LTD.</t>
  </si>
  <si>
    <t>GUJGASLTD</t>
  </si>
  <si>
    <t>GUJARAT GAS LIMITED</t>
  </si>
  <si>
    <t>GUJRAFFIA</t>
  </si>
  <si>
    <t>GUJARAT RAFFIA INDUST LTD</t>
  </si>
  <si>
    <t>GUJTHEM</t>
  </si>
  <si>
    <t>GUJARAT THEMIS BIOSYN LTD</t>
  </si>
  <si>
    <t>GULFOILLUB</t>
  </si>
  <si>
    <t>GULF OIL LUB. IND. LTD.</t>
  </si>
  <si>
    <t>GULFPETRO</t>
  </si>
  <si>
    <t>GP PETROLEUMS LIMITED</t>
  </si>
  <si>
    <t>GULPOLY</t>
  </si>
  <si>
    <t>GULSHAN POLYOLS LIMITED</t>
  </si>
  <si>
    <t>GVPTECH</t>
  </si>
  <si>
    <t>GVP INFOTECH LIMITED</t>
  </si>
  <si>
    <t>GVT&amp;D</t>
  </si>
  <si>
    <t>GE VERNOVA T&amp;D INDIA LTD</t>
  </si>
  <si>
    <t>HALDER</t>
  </si>
  <si>
    <t>HALDER VENTURE LIMITED</t>
  </si>
  <si>
    <t>HALEOSLABS</t>
  </si>
  <si>
    <t>HALEOS LABS LIMITED</t>
  </si>
  <si>
    <t>HAPPSTMNDS</t>
  </si>
  <si>
    <t>HAPPIEST MINDS TECHNO LTD</t>
  </si>
  <si>
    <t>HAPPYFORGE</t>
  </si>
  <si>
    <t>HAPPY FORGINGS LIMITED</t>
  </si>
  <si>
    <t>HARIOMPIPE</t>
  </si>
  <si>
    <t>HARIOM PIPE INDUSTRIES L</t>
  </si>
  <si>
    <t>HARRMALAYA</t>
  </si>
  <si>
    <t>HARRISON MALAYALAM LTD</t>
  </si>
  <si>
    <t>HARSHA</t>
  </si>
  <si>
    <t>HARSHA ENGINEERS INT LTD</t>
  </si>
  <si>
    <t>HATHWAY</t>
  </si>
  <si>
    <t>HATHWAY CABLE &amp; DATACOM</t>
  </si>
  <si>
    <t>HATSUN</t>
  </si>
  <si>
    <t>HATSUN AGRO PRODUCT LTD.</t>
  </si>
  <si>
    <t>HAVISHA</t>
  </si>
  <si>
    <t>SRI HAVISHA HOSP &amp; INFR L</t>
  </si>
  <si>
    <t>HBLENGINE</t>
  </si>
  <si>
    <t>HBL ENGINEERING LTD</t>
  </si>
  <si>
    <t>HBSL</t>
  </si>
  <si>
    <t>HB STOCKHOLDINGS LIMITED</t>
  </si>
  <si>
    <t>HCC</t>
  </si>
  <si>
    <t>HINDUSTAN CONSTRUCTION CO</t>
  </si>
  <si>
    <t>HCG</t>
  </si>
  <si>
    <t>HEALTHCARE GLOB. ENT. LTD</t>
  </si>
  <si>
    <t>HCL-INSYS</t>
  </si>
  <si>
    <t>HCL INFOSYSTEMS LTD</t>
  </si>
  <si>
    <t>HDBFS</t>
  </si>
  <si>
    <t>HDB FINANCIAL SERVICES L</t>
  </si>
  <si>
    <t>HDFCAMC</t>
  </si>
  <si>
    <t>HDFC AMC LIMITED</t>
  </si>
  <si>
    <t>HEADSUP</t>
  </si>
  <si>
    <t>HEADS UP VENTURES LIMITED</t>
  </si>
  <si>
    <t>HECPROJECT</t>
  </si>
  <si>
    <t>HEC INFRA PROJECTS LTD</t>
  </si>
  <si>
    <t>HEG</t>
  </si>
  <si>
    <t>HEG LTD</t>
  </si>
  <si>
    <t>HEIDELBERG</t>
  </si>
  <si>
    <t>HEIDELBERGCEMENT (I) LTD</t>
  </si>
  <si>
    <t>HEMIPROP</t>
  </si>
  <si>
    <t>HEMISPHERE PROP IND LTD</t>
  </si>
  <si>
    <t>HERANBA</t>
  </si>
  <si>
    <t>HERANBA INDUSTRIES LTD</t>
  </si>
  <si>
    <t>HERITGFOOD</t>
  </si>
  <si>
    <t>HERITAGE FOODS LTD</t>
  </si>
  <si>
    <t>HEROMOTOCO</t>
  </si>
  <si>
    <t>HERO MOTOCORP LIMITED</t>
  </si>
  <si>
    <t>HESTERBIO</t>
  </si>
  <si>
    <t>HESTER BIOSCIENCES LTD</t>
  </si>
  <si>
    <t>HEXATRADEX</t>
  </si>
  <si>
    <t>HEXA TRADEX LIMITED</t>
  </si>
  <si>
    <t>HEXT</t>
  </si>
  <si>
    <t>HEXAWARE TECHNOLOGIES LTD</t>
  </si>
  <si>
    <t>HFCL</t>
  </si>
  <si>
    <t>HFCL LIMITED</t>
  </si>
  <si>
    <t>HGINFRA</t>
  </si>
  <si>
    <t>H.G.INFRA ENGINEERING LTD</t>
  </si>
  <si>
    <t>HGM</t>
  </si>
  <si>
    <t>HANDSON GBL MNGMNT LTD</t>
  </si>
  <si>
    <t>HGS</t>
  </si>
  <si>
    <t>HINDUJA GLOBAL SOLS. LTD.</t>
  </si>
  <si>
    <t>HIKAL</t>
  </si>
  <si>
    <t>HIKAL LIMITED</t>
  </si>
  <si>
    <t>HILINFRA</t>
  </si>
  <si>
    <t>HIGHWAY INFRASTRUCTURE L</t>
  </si>
  <si>
    <t>HILTON</t>
  </si>
  <si>
    <t>HILTON METAL FORGING LTD</t>
  </si>
  <si>
    <t>HIMATSEIDE</t>
  </si>
  <si>
    <t>HIMATSINGKA SEIDE LTD</t>
  </si>
  <si>
    <t>HINDCOMPOS</t>
  </si>
  <si>
    <t>HINDUSTAN COMPOSITES LTD.</t>
  </si>
  <si>
    <t>HINDCON</t>
  </si>
  <si>
    <t>HINDCON CHEMICALS LIMITED</t>
  </si>
  <si>
    <t>HINDCOPPER</t>
  </si>
  <si>
    <t>HINDUSTAN COPPER LTD</t>
  </si>
  <si>
    <t>HINDOILEXP</t>
  </si>
  <si>
    <t>HINDUSTAN OIL EXPLORATION</t>
  </si>
  <si>
    <t>HINDPETRO</t>
  </si>
  <si>
    <t>HINDUSTAN PETROLEUM CORP</t>
  </si>
  <si>
    <t>HINDWAREAP</t>
  </si>
  <si>
    <t>HINDWARE HME INOVATON LTD</t>
  </si>
  <si>
    <t>HIRECT</t>
  </si>
  <si>
    <t>HIND RECTIFIER LIMITED</t>
  </si>
  <si>
    <t>HISARMETAL</t>
  </si>
  <si>
    <t>HISAR METAL IND. LIMITED</t>
  </si>
  <si>
    <t>HITECH</t>
  </si>
  <si>
    <t>HI-TECH PIPES LIMITED</t>
  </si>
  <si>
    <t>HITECHCORP</t>
  </si>
  <si>
    <t>HITECH CORPORATION LTD</t>
  </si>
  <si>
    <t>HLEGLAS</t>
  </si>
  <si>
    <t>HLE GLASCOAT LIMITED</t>
  </si>
  <si>
    <t>HLVLTD</t>
  </si>
  <si>
    <t>HLV LIMITED</t>
  </si>
  <si>
    <t>HMAAGRO</t>
  </si>
  <si>
    <t>HMA AGRO INDUSTRIES LTD</t>
  </si>
  <si>
    <t>HMVL</t>
  </si>
  <si>
    <t>HINDUSTAN MEDIA VENT LTD</t>
  </si>
  <si>
    <t>HNDFDS</t>
  </si>
  <si>
    <t>HINDUSTAN FOODS LIMITED</t>
  </si>
  <si>
    <t>HOMEFIRST</t>
  </si>
  <si>
    <t>HOME FIRST FIN CO IND LTD</t>
  </si>
  <si>
    <t>HONASA</t>
  </si>
  <si>
    <t>HONASA CONSUMER LIMITED</t>
  </si>
  <si>
    <t>HONAUT</t>
  </si>
  <si>
    <t>HONEYWELL AUTOMATION IND</t>
  </si>
  <si>
    <t>HONDAPOWER</t>
  </si>
  <si>
    <t>HONDA I POWER PRODUCT LTD</t>
  </si>
  <si>
    <t>HPAL</t>
  </si>
  <si>
    <t>HP ADHESIVES LIMITED</t>
  </si>
  <si>
    <t>HPIL</t>
  </si>
  <si>
    <t>HINDPRAKASH INDUSTRY LTD</t>
  </si>
  <si>
    <t>HPL</t>
  </si>
  <si>
    <t>HPL ELECTRIC &amp; POWER LTD</t>
  </si>
  <si>
    <t>HSCL</t>
  </si>
  <si>
    <t>HIMADRI SPECIALITY CHEM L</t>
  </si>
  <si>
    <t>HTMEDIA</t>
  </si>
  <si>
    <t>HT MEDIA LIMITED</t>
  </si>
  <si>
    <t>HUBTOWN</t>
  </si>
  <si>
    <t>HUBTOWN LIMITED</t>
  </si>
  <si>
    <t>HUDCO</t>
  </si>
  <si>
    <t>HSG &amp; URBAN DEV CORPN LTD</t>
  </si>
  <si>
    <t>HUHTAMAKI</t>
  </si>
  <si>
    <t>HUHTAMAKI INDIA LIMITED</t>
  </si>
  <si>
    <t>HYBRIDFIN</t>
  </si>
  <si>
    <t>HYBRID FINANCIAL SERVICE</t>
  </si>
  <si>
    <t>IBULLSLTD</t>
  </si>
  <si>
    <t>INDIABULLS LIMITED</t>
  </si>
  <si>
    <t>ICEMAKE</t>
  </si>
  <si>
    <t>ICE MAKE REFRIGERAT LTD</t>
  </si>
  <si>
    <t>ICICIAMC</t>
  </si>
  <si>
    <t>ICICI PRUDENTIAL AMC LTD</t>
  </si>
  <si>
    <t>ICICIPRULI</t>
  </si>
  <si>
    <t>ICICI PRU LIFE INS CO LTD</t>
  </si>
  <si>
    <t>ICIL</t>
  </si>
  <si>
    <t>INDO COUNT INDUSTRIES LTD</t>
  </si>
  <si>
    <t>ICRA</t>
  </si>
  <si>
    <t>ICRA LIMITED</t>
  </si>
  <si>
    <t>IDBI</t>
  </si>
  <si>
    <t>IDBI BANK LIMITED</t>
  </si>
  <si>
    <t>IDEA</t>
  </si>
  <si>
    <t>VODAFONE IDEA LIMITED</t>
  </si>
  <si>
    <t>IDEAFORGE</t>
  </si>
  <si>
    <t>IDEAFORGE TECHNO LTD</t>
  </si>
  <si>
    <t>IDFCFIRSTB</t>
  </si>
  <si>
    <t>IDFC FIRST BANK LIMITED</t>
  </si>
  <si>
    <t>IEX</t>
  </si>
  <si>
    <t>INDIAN ENERGY EXC LTD</t>
  </si>
  <si>
    <t>IFBAGRO</t>
  </si>
  <si>
    <t>IFB AGRO INDUSTRIES LTD</t>
  </si>
  <si>
    <t>IFBIND</t>
  </si>
  <si>
    <t>IFB INDUSTRIES LTD</t>
  </si>
  <si>
    <t>IFCI</t>
  </si>
  <si>
    <t>IFCI LTD</t>
  </si>
  <si>
    <t>IFGLEXPOR</t>
  </si>
  <si>
    <t>IFGL REFRACTORIES LIMITED</t>
  </si>
  <si>
    <t>IGARASHI</t>
  </si>
  <si>
    <t>IGARASHI MOTORS INDIA LTD</t>
  </si>
  <si>
    <t>IGCL</t>
  </si>
  <si>
    <t>INDOGULF CROPSCIENCES LTD</t>
  </si>
  <si>
    <t>IGIL</t>
  </si>
  <si>
    <t>INTERNATIO GEMM INS (I) L</t>
  </si>
  <si>
    <t>IGL</t>
  </si>
  <si>
    <t>INDRAPRASTHA GAS LTD</t>
  </si>
  <si>
    <t>IGPL</t>
  </si>
  <si>
    <t>I G PETROCHEMICALS LTD</t>
  </si>
  <si>
    <t>IIFL</t>
  </si>
  <si>
    <t>IIFL FINANCE LIMITED</t>
  </si>
  <si>
    <t>IIFLCAPS</t>
  </si>
  <si>
    <t>IIFL CAPITAL SERVICES LTD</t>
  </si>
  <si>
    <t>IITL</t>
  </si>
  <si>
    <t>INDUSTRIAL INV TRUST LTD</t>
  </si>
  <si>
    <t>IKIO</t>
  </si>
  <si>
    <t>IKIO TECHNOLOGIES LIMITED</t>
  </si>
  <si>
    <t>IKS</t>
  </si>
  <si>
    <t>INVENTURUS KNOWLEDGE SO L</t>
  </si>
  <si>
    <t>IMAGICAA</t>
  </si>
  <si>
    <t>IMAGICAAWORLD ENT LTD</t>
  </si>
  <si>
    <t>IMFA</t>
  </si>
  <si>
    <t>INDIAN METALS &amp; FERRO</t>
  </si>
  <si>
    <t>IMPAL</t>
  </si>
  <si>
    <t>IND MOTOR PART &amp; ACC LTD</t>
  </si>
  <si>
    <t>INA</t>
  </si>
  <si>
    <t>INSOLATION ENERGY LIMITED</t>
  </si>
  <si>
    <t>INCREDIBLE</t>
  </si>
  <si>
    <t>INCREDIBLE INDUSTRIES LTD</t>
  </si>
  <si>
    <t>INDBANK</t>
  </si>
  <si>
    <t>INDBANK MERCH BANK</t>
  </si>
  <si>
    <t>INDGN</t>
  </si>
  <si>
    <t>INDEGENE LIMITED</t>
  </si>
  <si>
    <t>INDIACEM</t>
  </si>
  <si>
    <t>THE INDIA CEMENTS LIMITED</t>
  </si>
  <si>
    <t>INDIAGLYCO</t>
  </si>
  <si>
    <t>INDIA GLYCOLS LTD</t>
  </si>
  <si>
    <t>INDIAMART</t>
  </si>
  <si>
    <t>INDIAMART INTERMESH LTD</t>
  </si>
  <si>
    <t>INDIANB</t>
  </si>
  <si>
    <t>INDIAN BANK</t>
  </si>
  <si>
    <t>INDIANCARD</t>
  </si>
  <si>
    <t>INDIAN CARD CLOTHING CO.</t>
  </si>
  <si>
    <t>INDIANHUME</t>
  </si>
  <si>
    <t>INDIAN HUME PIPE CO. LTD.</t>
  </si>
  <si>
    <t>INDIASHLTR</t>
  </si>
  <si>
    <t>INDIA SHELTER FIN CORP L</t>
  </si>
  <si>
    <t>INDIGOPNTS</t>
  </si>
  <si>
    <t>INDIGO PAINTS LIMITED</t>
  </si>
  <si>
    <t>INDIQUBE</t>
  </si>
  <si>
    <t>INDIQUBE SPACES LIMITED</t>
  </si>
  <si>
    <t>INDNIPPON</t>
  </si>
  <si>
    <t>INDIA NIPPON ELECT  LTD</t>
  </si>
  <si>
    <t>INDOAMIN</t>
  </si>
  <si>
    <t>INDO AMINES LIMITED</t>
  </si>
  <si>
    <t>INDOBORAX</t>
  </si>
  <si>
    <t>INDO BORAX &amp; CHEMICAL LTD</t>
  </si>
  <si>
    <t>INDOCO</t>
  </si>
  <si>
    <t>INDOCO REMEDIES LTD.</t>
  </si>
  <si>
    <t>INDOFARM</t>
  </si>
  <si>
    <t>INDO FARM EQUIPMENT LTD</t>
  </si>
  <si>
    <t>INDORAMA</t>
  </si>
  <si>
    <t>INDO RAMA SYNTHETICS LTD</t>
  </si>
  <si>
    <t>INDOSTAR</t>
  </si>
  <si>
    <t>INDOSTAR CAPITAL FIN LTD</t>
  </si>
  <si>
    <t>INDOTECH</t>
  </si>
  <si>
    <t>INDO TECH TRANSFORM LTD.</t>
  </si>
  <si>
    <t>INDOTHAI</t>
  </si>
  <si>
    <t>INDO THAI SEC LTD</t>
  </si>
  <si>
    <t>INDOUS</t>
  </si>
  <si>
    <t>INDO US BIOTECH LTD</t>
  </si>
  <si>
    <t>INDOWIND</t>
  </si>
  <si>
    <t>INDOWIND ENERGY LTD</t>
  </si>
  <si>
    <t>INDRAMEDCO</t>
  </si>
  <si>
    <t>INDRAPRASTHA MEDICAL CORP</t>
  </si>
  <si>
    <t>INDSWFTLAB</t>
  </si>
  <si>
    <t>IND SWIFT LABORATORIES LT</t>
  </si>
  <si>
    <t>INDTERRAIN</t>
  </si>
  <si>
    <t>IND TERRAIN FASHIONS LTD</t>
  </si>
  <si>
    <t>INDUSINDBK</t>
  </si>
  <si>
    <t>INDUSIND BANK LIMITED</t>
  </si>
  <si>
    <t>INDUSTOWER</t>
  </si>
  <si>
    <t>INDUS TOWERS LIMITED</t>
  </si>
  <si>
    <t>INFOBEAN</t>
  </si>
  <si>
    <t>INFOBEANS TECHNO. LTD.</t>
  </si>
  <si>
    <t>INFOMEDIA</t>
  </si>
  <si>
    <t>INFOMEDIA PRESS LIMITED</t>
  </si>
  <si>
    <t>INGERRAND</t>
  </si>
  <si>
    <t>INGERSOLL-RAND INDIA LTD</t>
  </si>
  <si>
    <t>INNOVACAP</t>
  </si>
  <si>
    <t>INNOVA CAPTAB LIMITED</t>
  </si>
  <si>
    <t>INNOVANA</t>
  </si>
  <si>
    <t>INNOVANA THINKLABS LTD</t>
  </si>
  <si>
    <t>INNOVISION</t>
  </si>
  <si>
    <t>INNOVISION LIMITED</t>
  </si>
  <si>
    <t>INOXGREEN</t>
  </si>
  <si>
    <t>INOX GREEN ENERGY SER LTD</t>
  </si>
  <si>
    <t>INOXINDIA</t>
  </si>
  <si>
    <t>INOX INDIA LIMITED</t>
  </si>
  <si>
    <t>INOXWIND</t>
  </si>
  <si>
    <t>INOX WIND LIMITED</t>
  </si>
  <si>
    <t>INSECTICID</t>
  </si>
  <si>
    <t>INSECTICIDES (I) LTD</t>
  </si>
  <si>
    <t>INTELLECT</t>
  </si>
  <si>
    <t>INTELLECT DESIGN ARENA</t>
  </si>
  <si>
    <t>INTENTECH</t>
  </si>
  <si>
    <t>INTENSE TECHNOLOGIES LTD</t>
  </si>
  <si>
    <t>INTERARCH</t>
  </si>
  <si>
    <t>INTERARCH BLDNG SOLTN LTD</t>
  </si>
  <si>
    <t>INTLCONV</t>
  </si>
  <si>
    <t>INTL CONVEYORS LIMITED</t>
  </si>
  <si>
    <t>INVENTURE</t>
  </si>
  <si>
    <t>INVENTURE GRO &amp; SEC LTD</t>
  </si>
  <si>
    <t>IOB</t>
  </si>
  <si>
    <t>INDIAN OVERSEAS BANK</t>
  </si>
  <si>
    <t>IOLCP</t>
  </si>
  <si>
    <t>IOL CHEM AND PHARMA LTD</t>
  </si>
  <si>
    <t>IONEXCHANG</t>
  </si>
  <si>
    <t>ION EXCHANGE (INDIA) LTD</t>
  </si>
  <si>
    <t>IPCALAB</t>
  </si>
  <si>
    <t>IPCA LABORATORIES LTD</t>
  </si>
  <si>
    <t>IPL</t>
  </si>
  <si>
    <t>INDIA PESTICIDES LIMITED</t>
  </si>
  <si>
    <t>IRB</t>
  </si>
  <si>
    <t>IRB INFRA DEV LTD.</t>
  </si>
  <si>
    <t>IRCON</t>
  </si>
  <si>
    <t>IRCON INTERNATIONAL LTD</t>
  </si>
  <si>
    <t>IRCTC</t>
  </si>
  <si>
    <t>INDIAN RAIL TOUR CORP LTD</t>
  </si>
  <si>
    <t>IREDA</t>
  </si>
  <si>
    <t>INDIAN RENEWABLE ENERGY</t>
  </si>
  <si>
    <t>IRIS</t>
  </si>
  <si>
    <t>IRIS REGTECH SOLUTION LTD</t>
  </si>
  <si>
    <t>IRISDOREME</t>
  </si>
  <si>
    <t>IRIS CLOTHINGS LIMITED</t>
  </si>
  <si>
    <t>IRMENERGY</t>
  </si>
  <si>
    <t>IRM ENERGY LIMITED</t>
  </si>
  <si>
    <t>ISFT</t>
  </si>
  <si>
    <t>INTRASOFT TECH. LTD</t>
  </si>
  <si>
    <t>ISGEC</t>
  </si>
  <si>
    <t>ISGEC HEAVY ENG LTD</t>
  </si>
  <si>
    <t>ISHANCH</t>
  </si>
  <si>
    <t>ISHAN DYES N CHEMICALS L</t>
  </si>
  <si>
    <t>ITCHOTELS</t>
  </si>
  <si>
    <t>ITC HOTELS LIMITED</t>
  </si>
  <si>
    <t>ITDC</t>
  </si>
  <si>
    <t>INDIA TOUR. DEV. CO. LTD.</t>
  </si>
  <si>
    <t>ITI</t>
  </si>
  <si>
    <t>ITI LTD</t>
  </si>
  <si>
    <t>IVALUE</t>
  </si>
  <si>
    <t>IVALUE INFOSOLUTIONS LTD</t>
  </si>
  <si>
    <t>IVC</t>
  </si>
  <si>
    <t>IL&amp;FS INVESTMENT MANAGERS</t>
  </si>
  <si>
    <t>IVP</t>
  </si>
  <si>
    <t>IVP LTD</t>
  </si>
  <si>
    <t>IXIGO</t>
  </si>
  <si>
    <t>LE TRAVENUES TECHNOLOGY L</t>
  </si>
  <si>
    <t>J&amp;KBANK</t>
  </si>
  <si>
    <t>J &amp; K BANK LTD.</t>
  </si>
  <si>
    <t>JAGRAN</t>
  </si>
  <si>
    <t>JAGRAN PRAKASHAN LIMITED</t>
  </si>
  <si>
    <t>JAGSNPHARM</t>
  </si>
  <si>
    <t>JAGSONPAL PHARMACEUTICALS</t>
  </si>
  <si>
    <t>JAIBALAJI</t>
  </si>
  <si>
    <t>JAI BALAJI INDUSTRIES LTD</t>
  </si>
  <si>
    <t>JAICORPLTD</t>
  </si>
  <si>
    <t>JAI CORP LIMITED</t>
  </si>
  <si>
    <t>JAINREC</t>
  </si>
  <si>
    <t>JAIN RESOURCE RECYCLING L</t>
  </si>
  <si>
    <t>JAIPURKURT</t>
  </si>
  <si>
    <t>NANDANI CREATION LIMITED</t>
  </si>
  <si>
    <t>JAMNAAUTO</t>
  </si>
  <si>
    <t>JAMNA AUTO IND LTD</t>
  </si>
  <si>
    <t>JARO</t>
  </si>
  <si>
    <t>JARO INS OF TEC MG N RE L</t>
  </si>
  <si>
    <t>JASH</t>
  </si>
  <si>
    <t>JASH ENGINEERING LIMITED</t>
  </si>
  <si>
    <t>JAYAGROGN</t>
  </si>
  <si>
    <t>JAYANT AGRO ORGANICS LTD</t>
  </si>
  <si>
    <t>JAYBARMARU</t>
  </si>
  <si>
    <t>JAY BHARAT MARUTI LTD</t>
  </si>
  <si>
    <t>JAYKAY</t>
  </si>
  <si>
    <t>JAYKAY ENTERPRISES LTD</t>
  </si>
  <si>
    <t>JAYNECOIND</t>
  </si>
  <si>
    <t>JAYASWAL NECO INDUSTR LTD</t>
  </si>
  <si>
    <t>JAYSREETEA</t>
  </si>
  <si>
    <t>JAYSHREE TEA &amp; INDUSTRIES</t>
  </si>
  <si>
    <t>JBCHEPHARM</t>
  </si>
  <si>
    <t>J B CHEMICALS AND PHARMA</t>
  </si>
  <si>
    <t>JBMA</t>
  </si>
  <si>
    <t>JBM AUTO LIMITED</t>
  </si>
  <si>
    <t>JETFREIGHT</t>
  </si>
  <si>
    <t>JET FREIGHT LOGISTICS LTD</t>
  </si>
  <si>
    <t>JGCHEM</t>
  </si>
  <si>
    <t>J.G.CHEMICALS LIMITED</t>
  </si>
  <si>
    <t>JHS</t>
  </si>
  <si>
    <t>JHS SVEND. LAB. LTD</t>
  </si>
  <si>
    <t>JINDALPHOT</t>
  </si>
  <si>
    <t>JINDAL PHOTO LIMITED</t>
  </si>
  <si>
    <t>JINDALPOLY</t>
  </si>
  <si>
    <t>JINDAL POLY FILMS LIMITED</t>
  </si>
  <si>
    <t>JINDALSAW</t>
  </si>
  <si>
    <t>JINDAL SAW LIMITED</t>
  </si>
  <si>
    <t>JINDRILL</t>
  </si>
  <si>
    <t>JINDAL DRILLING IND. LTD</t>
  </si>
  <si>
    <t>JINDWORLD</t>
  </si>
  <si>
    <t>JINDAL WORLDWIDE LTD</t>
  </si>
  <si>
    <t>JISLDVREQS</t>
  </si>
  <si>
    <t>JAIN DVR EQUITY SHARES</t>
  </si>
  <si>
    <t>JISLJALEQS</t>
  </si>
  <si>
    <t>JAIN IRRIGATION SYSTEMS</t>
  </si>
  <si>
    <t>JKCEMENT</t>
  </si>
  <si>
    <t>JK CEMENT LIMITED</t>
  </si>
  <si>
    <t>JKIL</t>
  </si>
  <si>
    <t>JKUMAR INFR.LTD.</t>
  </si>
  <si>
    <t>JKIPL</t>
  </si>
  <si>
    <t>JINKUSHAL INDUSTRIES LTD</t>
  </si>
  <si>
    <t>JKLAKSHMI</t>
  </si>
  <si>
    <t>JK LAKSHMI CEMENT LTD</t>
  </si>
  <si>
    <t>JKPAPER</t>
  </si>
  <si>
    <t>JK PAPER LIMITED</t>
  </si>
  <si>
    <t>JKTYRE</t>
  </si>
  <si>
    <t>JK TYRE &amp; INDUSTRIES LTD</t>
  </si>
  <si>
    <t>JLHL</t>
  </si>
  <si>
    <t>JUPITER LIFE LINE HOSP L</t>
  </si>
  <si>
    <t>JMA</t>
  </si>
  <si>
    <t>JULLUNDUR MOT AGENCY LTD</t>
  </si>
  <si>
    <t>JMFINANCIL</t>
  </si>
  <si>
    <t>JM FINANCIAL LIMITED</t>
  </si>
  <si>
    <t>JNKINDIA</t>
  </si>
  <si>
    <t>JNK INDIA LIMITED</t>
  </si>
  <si>
    <t>JOCIL</t>
  </si>
  <si>
    <t>JOCIL LIMITED</t>
  </si>
  <si>
    <t>JPOLYINVST</t>
  </si>
  <si>
    <t>JIND POL INV &amp; FIN CO LTD</t>
  </si>
  <si>
    <t>JPPOWER</t>
  </si>
  <si>
    <t>JAIPRAKASH POWER VEN. LTD</t>
  </si>
  <si>
    <t>JSFB</t>
  </si>
  <si>
    <t>JANA SMALL FIN BANK LTD</t>
  </si>
  <si>
    <t>JSL</t>
  </si>
  <si>
    <t>JINDAL STAINLESS LIMITED</t>
  </si>
  <si>
    <t>JSLL</t>
  </si>
  <si>
    <t>JEENA SIKHO LIFECARE LTD</t>
  </si>
  <si>
    <t>JSWCEMENT</t>
  </si>
  <si>
    <t>JSW CEMENT LIMITED</t>
  </si>
  <si>
    <t>JSWHL</t>
  </si>
  <si>
    <t>JSW HOLDINGS LIMITED</t>
  </si>
  <si>
    <t>JSWINFRA</t>
  </si>
  <si>
    <t>JSW INFRASTRUCTURE LTD</t>
  </si>
  <si>
    <t>JTEKTINDIA</t>
  </si>
  <si>
    <t>JTEKT INDIA LIMITED</t>
  </si>
  <si>
    <t>JTLIND</t>
  </si>
  <si>
    <t>JTL INDUSTRIES LIMITED</t>
  </si>
  <si>
    <t>JUBLCPL</t>
  </si>
  <si>
    <t>JUBILANT AGRI N CON PRO L</t>
  </si>
  <si>
    <t>JUBLFOOD</t>
  </si>
  <si>
    <t>JUBILANT FOODWORKS LTD</t>
  </si>
  <si>
    <t>JUBLINGREA</t>
  </si>
  <si>
    <t>JUBILANT INGREVIA LIMITED</t>
  </si>
  <si>
    <t>JUBLPHARMA</t>
  </si>
  <si>
    <t>JUBILANT PHARMOVA LTD</t>
  </si>
  <si>
    <t>JUNIPER</t>
  </si>
  <si>
    <t>JUNIPER HOTELS LIMITED</t>
  </si>
  <si>
    <t>JUSTDIAL</t>
  </si>
  <si>
    <t>JUSTDIAL LTD.</t>
  </si>
  <si>
    <t>JWL</t>
  </si>
  <si>
    <t>JUPITER WAGONS LIMITED</t>
  </si>
  <si>
    <t>JYOTHYLAB</t>
  </si>
  <si>
    <t>JYOTHY LABS LIMITED</t>
  </si>
  <si>
    <t>JYOTICNC</t>
  </si>
  <si>
    <t>JYOTI CNC AUTOMATION LTD</t>
  </si>
  <si>
    <t>JYOTISTRUC</t>
  </si>
  <si>
    <t>JYOTI STRUCTURES LTD</t>
  </si>
  <si>
    <t>KABRAEXTRU</t>
  </si>
  <si>
    <t>KABRA EXTRUSION TECHNIK L</t>
  </si>
  <si>
    <t>KAJARIACER</t>
  </si>
  <si>
    <t>KAJARIA CERAMICS LTD</t>
  </si>
  <si>
    <t>KAKATCEM</t>
  </si>
  <si>
    <t>KAKATIYA CEM SUGAR &amp;IND L</t>
  </si>
  <si>
    <t>KALAMANDIR</t>
  </si>
  <si>
    <t>SAI SILKS (KALAMANDIR) L</t>
  </si>
  <si>
    <t>KALPATARU</t>
  </si>
  <si>
    <t>KALPATARU LIMITED</t>
  </si>
  <si>
    <t>KALYANIFRG</t>
  </si>
  <si>
    <t>KALYANI FORGE LIMITED</t>
  </si>
  <si>
    <t>KALYANKJIL</t>
  </si>
  <si>
    <t>KALYAN JEWELLERS IND LTD</t>
  </si>
  <si>
    <t>KAMATHOTEL</t>
  </si>
  <si>
    <t>KAMAT HOTELS (I) LTD</t>
  </si>
  <si>
    <t>KAMDHENU</t>
  </si>
  <si>
    <t>KAMDHENU LIMITED</t>
  </si>
  <si>
    <t>KAMOPAINTS</t>
  </si>
  <si>
    <t>KAMDHENU VENTURES LIMITED</t>
  </si>
  <si>
    <t>KANANIIND</t>
  </si>
  <si>
    <t>KANANI INDUSTRIES LTD</t>
  </si>
  <si>
    <t>KANORICHEM</t>
  </si>
  <si>
    <t>KANORIA CHEMICALS &amp; INDUS</t>
  </si>
  <si>
    <t>KANPRPLA</t>
  </si>
  <si>
    <t>KANPUR PLASTIPACK LIMITED</t>
  </si>
  <si>
    <t>KANSAINER</t>
  </si>
  <si>
    <t>KANSAI NEROLAC PAINTS LTD</t>
  </si>
  <si>
    <t>KARMAENG</t>
  </si>
  <si>
    <t>KARMA ENERGY LIMITED</t>
  </si>
  <si>
    <t>KARURVYSYA</t>
  </si>
  <si>
    <t>KARUR VYSYA BANK LTD</t>
  </si>
  <si>
    <t>KAUSHALYA</t>
  </si>
  <si>
    <t>KAUSHALYA INFRA DEV LTD.</t>
  </si>
  <si>
    <t>KAYA</t>
  </si>
  <si>
    <t>KAYA LIMITED</t>
  </si>
  <si>
    <t>KAYNES</t>
  </si>
  <si>
    <t>KAYNES TECHNOLOGY IND LTD</t>
  </si>
  <si>
    <t>KCP</t>
  </si>
  <si>
    <t>KCP LTD</t>
  </si>
  <si>
    <t>KCPSUGIND</t>
  </si>
  <si>
    <t>KCP SUGAR IND CORP LTD.</t>
  </si>
  <si>
    <t>KDDL</t>
  </si>
  <si>
    <t>KDDL LIMITED</t>
  </si>
  <si>
    <t>KEC</t>
  </si>
  <si>
    <t>KEC INTL. LIMITED</t>
  </si>
  <si>
    <t>KECL</t>
  </si>
  <si>
    <t>KIRLOSKAR ELECTRIC CO LTD</t>
  </si>
  <si>
    <t>KEEPLEARN</t>
  </si>
  <si>
    <t>DSJ KEEP LEARNING LTD</t>
  </si>
  <si>
    <t>KEI</t>
  </si>
  <si>
    <t>KEI INDUSTRIES LTD.</t>
  </si>
  <si>
    <t>KELLTONTEC</t>
  </si>
  <si>
    <t>KELLTON TECH SOL LTD</t>
  </si>
  <si>
    <t>KERNEX</t>
  </si>
  <si>
    <t>KERNEX MICROSYS(I) LTD</t>
  </si>
  <si>
    <t>KESORAMIND</t>
  </si>
  <si>
    <t>KESORAM INDUSTRIES LTD</t>
  </si>
  <si>
    <t>KEYFINSERV</t>
  </si>
  <si>
    <t>KEYNOTE FIN SERV LTD.</t>
  </si>
  <si>
    <t>KFINTECH</t>
  </si>
  <si>
    <t>KFIN TECHNOLOGIES LIMITED</t>
  </si>
  <si>
    <t>KHADIM</t>
  </si>
  <si>
    <t>KHADIM INDIA LIMITED</t>
  </si>
  <si>
    <t>KHAICHEM</t>
  </si>
  <si>
    <t>KHAITAN CHEM &amp; FERT LTD</t>
  </si>
  <si>
    <t>KHAITANLTD</t>
  </si>
  <si>
    <t>KHAITAN (INDIA)LTD.</t>
  </si>
  <si>
    <t>KHANDSE</t>
  </si>
  <si>
    <t>KHANDWALA SECURITIES LTD</t>
  </si>
  <si>
    <t>KICL</t>
  </si>
  <si>
    <t>KALYANI INVEST CO LTD</t>
  </si>
  <si>
    <t>KILITCH</t>
  </si>
  <si>
    <t>KILITCH DRUGS INDIA LTD</t>
  </si>
  <si>
    <t>KIMS</t>
  </si>
  <si>
    <t>KRISHNA INST OF MED SCI L</t>
  </si>
  <si>
    <t>KINGFA</t>
  </si>
  <si>
    <t>KINGFA SCI &amp; TEC IND LTD.</t>
  </si>
  <si>
    <t>KIOCL</t>
  </si>
  <si>
    <t>KIOCL LIMITED</t>
  </si>
  <si>
    <t>KIRIINDUS</t>
  </si>
  <si>
    <t>KIRI INDUSTRIES LIMITED</t>
  </si>
  <si>
    <t>KIRLOSBROS</t>
  </si>
  <si>
    <t>KIRLOSKAR BROTHERS LTD</t>
  </si>
  <si>
    <t>KIRLOSENG</t>
  </si>
  <si>
    <t>KIRLOSKAR OIL ENG LTD</t>
  </si>
  <si>
    <t>KIRLOSIND</t>
  </si>
  <si>
    <t>KIRLOSKAR INDUSTRIES LTD</t>
  </si>
  <si>
    <t>KIRLPNU</t>
  </si>
  <si>
    <t>KIRLOSKAR PNEUMATIC COM L</t>
  </si>
  <si>
    <t>KITEX</t>
  </si>
  <si>
    <t>KITEX GARMENTS LTD</t>
  </si>
  <si>
    <t>KKCL</t>
  </si>
  <si>
    <t>KEWAL KIRAN CLOTHING LTD</t>
  </si>
  <si>
    <t>KMEW</t>
  </si>
  <si>
    <t>KNOWLEDGE MARINE &amp; EN W L</t>
  </si>
  <si>
    <t>KMSUGAR</t>
  </si>
  <si>
    <t>K M SUGAR MILLS LTD</t>
  </si>
  <si>
    <t>KNAGRI</t>
  </si>
  <si>
    <t>KN AGRI RESOURCES LIMITED</t>
  </si>
  <si>
    <t>KNRCON</t>
  </si>
  <si>
    <t>KNR CONSTRU LTD.</t>
  </si>
  <si>
    <t>KOHINOOR</t>
  </si>
  <si>
    <t>KOHINOOR FOODS LIMITED</t>
  </si>
  <si>
    <t>KOKUYOCMLN</t>
  </si>
  <si>
    <t>KOKUYO CAMLIN LIMITED</t>
  </si>
  <si>
    <t>KOLTEPATIL</t>
  </si>
  <si>
    <t>KOLTE PATIL DEV. LTD.</t>
  </si>
  <si>
    <t>KOPRAN</t>
  </si>
  <si>
    <t>KOPRAN LTD</t>
  </si>
  <si>
    <t>KOTARISUG</t>
  </si>
  <si>
    <t>KOTHARI SUG &amp; CHEM LTD.</t>
  </si>
  <si>
    <t>KOTHARIPET</t>
  </si>
  <si>
    <t>KOTHARI PETROCHEM LTD</t>
  </si>
  <si>
    <t>KOTHARIPRO</t>
  </si>
  <si>
    <t>KOTHARI PRODUCTS LTD</t>
  </si>
  <si>
    <t>KOTYARK</t>
  </si>
  <si>
    <t>KOTYARK INDUSTRIES LTD</t>
  </si>
  <si>
    <t>KPEL</t>
  </si>
  <si>
    <t>K.P. ENERGY LIMITED</t>
  </si>
  <si>
    <t>KPIGREEN</t>
  </si>
  <si>
    <t>KPI GREEN ENERGY LIMITED</t>
  </si>
  <si>
    <t>KPIL</t>
  </si>
  <si>
    <t>KALPATARU PROJECT INT LTD</t>
  </si>
  <si>
    <t>KPITTECH</t>
  </si>
  <si>
    <t>KPIT TECHNOLOGIES LIMITED</t>
  </si>
  <si>
    <t>KPRMILL</t>
  </si>
  <si>
    <t>KPR MILL LTD.</t>
  </si>
  <si>
    <t>KRBL</t>
  </si>
  <si>
    <t>KRBL LIMITED</t>
  </si>
  <si>
    <t>KREBSBIO</t>
  </si>
  <si>
    <t>KREBS BIOCHEMICALS &amp; IND</t>
  </si>
  <si>
    <t>KRIDHANINF</t>
  </si>
  <si>
    <t>KRIDHAN INFRA LIMITED</t>
  </si>
  <si>
    <t>KRISHANA</t>
  </si>
  <si>
    <t>KRISHANA PHOSCHEM LIMITED</t>
  </si>
  <si>
    <t>KRISHIVAL</t>
  </si>
  <si>
    <t>KRISHIVAL FOODS LIMITED</t>
  </si>
  <si>
    <t>KRISHNADEF</t>
  </si>
  <si>
    <t>KRISHNA DEF AND ALD IND L</t>
  </si>
  <si>
    <t>KRITI</t>
  </si>
  <si>
    <t>KRITI INDUSTRIES IND LTD</t>
  </si>
  <si>
    <t>KRITIKA</t>
  </si>
  <si>
    <t>KRITIKA WIRES LIMITED</t>
  </si>
  <si>
    <t>KRITINUT</t>
  </si>
  <si>
    <t>KRITI NUTRIENTS LIMITED</t>
  </si>
  <si>
    <t>KRN</t>
  </si>
  <si>
    <t>KRN HEAT EXCHANGE N REF L</t>
  </si>
  <si>
    <t>KRONOX</t>
  </si>
  <si>
    <t>KRONOX LAB SCIENCES LTD</t>
  </si>
  <si>
    <t>KROSS</t>
  </si>
  <si>
    <t>KROSS LIMITED</t>
  </si>
  <si>
    <t>KRSNAA</t>
  </si>
  <si>
    <t>KRSNAA DIAGNOSTICS LTD</t>
  </si>
  <si>
    <t>KRYSTAL</t>
  </si>
  <si>
    <t>KRYSTAL INTEGRATED SER L</t>
  </si>
  <si>
    <t>KSB</t>
  </si>
  <si>
    <t>KSB LIMITED</t>
  </si>
  <si>
    <t>KSCL</t>
  </si>
  <si>
    <t>KAVERI SEED CO. LTD.</t>
  </si>
  <si>
    <t>KSHINTL</t>
  </si>
  <si>
    <t>KSH INTERNATIONAL LIMITED</t>
  </si>
  <si>
    <t>KSL</t>
  </si>
  <si>
    <t>KALYANI STEELS LIMITED</t>
  </si>
  <si>
    <t>KSOLVES</t>
  </si>
  <si>
    <t>KSOLVES INDIA LIMITED</t>
  </si>
  <si>
    <t>KTKBANK</t>
  </si>
  <si>
    <t>KARNATAKA BANK LIMITED</t>
  </si>
  <si>
    <t>KUANTUM</t>
  </si>
  <si>
    <t>KUANTUM PAPERS LIMITED</t>
  </si>
  <si>
    <t>KWIL</t>
  </si>
  <si>
    <t>KWALITY WALL'S (INDIA) L</t>
  </si>
  <si>
    <t>LAGNAM</t>
  </si>
  <si>
    <t>LAGNAM SPINTEX LIMITED</t>
  </si>
  <si>
    <t>LAL</t>
  </si>
  <si>
    <t>LORENZINI APPARELS LTD</t>
  </si>
  <si>
    <t>LALPATHLAB</t>
  </si>
  <si>
    <t>DR. LAL PATH LABS LTD.</t>
  </si>
  <si>
    <t>LAMBODHARA</t>
  </si>
  <si>
    <t>LAMBODHARA TEXTILES LTD.</t>
  </si>
  <si>
    <t>LANDMARK</t>
  </si>
  <si>
    <t>LANDMARK CARS LIMITED</t>
  </si>
  <si>
    <t>LAOPALA</t>
  </si>
  <si>
    <t>LA OPALA RG LIMITED</t>
  </si>
  <si>
    <t>LASA</t>
  </si>
  <si>
    <t>LASA SUPERGENERICS LTD</t>
  </si>
  <si>
    <t>LATENTVIEW</t>
  </si>
  <si>
    <t>LATENT VIEW ANALYTICS LTD</t>
  </si>
  <si>
    <t>LATTEYS</t>
  </si>
  <si>
    <t>LATTEYS INDUSTRIES LTD</t>
  </si>
  <si>
    <t>LAURUSLABS</t>
  </si>
  <si>
    <t>LAURUS LABS LIMITED</t>
  </si>
  <si>
    <t>LAXMIDENTL</t>
  </si>
  <si>
    <t>LAXMI DENTAL LIMITED</t>
  </si>
  <si>
    <t>LAXMIINDIA</t>
  </si>
  <si>
    <t>LAXMI INDIA FINANCE LTD</t>
  </si>
  <si>
    <t>LEMERITE</t>
  </si>
  <si>
    <t>LE MERITE EXPORTS LIMITED</t>
  </si>
  <si>
    <t>LEMONTREE</t>
  </si>
  <si>
    <t>LEMON TREE HOTELS LTD</t>
  </si>
  <si>
    <t>LENSKART</t>
  </si>
  <si>
    <t>LENSKART SOLUTIONS LTD</t>
  </si>
  <si>
    <t>LFIC</t>
  </si>
  <si>
    <t>LAKSHMI FIN IND CORP LTD</t>
  </si>
  <si>
    <t>LGBBROSLTD</t>
  </si>
  <si>
    <t>LG BALAKRISHNAN &amp; BROS</t>
  </si>
  <si>
    <t>LGEINDIA</t>
  </si>
  <si>
    <t>LG ELECTRONICS INDIA LTD</t>
  </si>
  <si>
    <t>LGHL</t>
  </si>
  <si>
    <t>LAXMI GOLDORNA HOUSE LTD</t>
  </si>
  <si>
    <t>LIBAS</t>
  </si>
  <si>
    <t>LIBAS CONSU PRODUCTS LTD</t>
  </si>
  <si>
    <t>LIBERTSHOE</t>
  </si>
  <si>
    <t>LIBERTY SHOES LTD</t>
  </si>
  <si>
    <t>LICHSGFIN</t>
  </si>
  <si>
    <t>LIC HOUSING FINANCE LTD</t>
  </si>
  <si>
    <t>LIKHITHA</t>
  </si>
  <si>
    <t>LIKHITHA INFRASTRUC LTD</t>
  </si>
  <si>
    <t>LINC</t>
  </si>
  <si>
    <t>LINC LIMITED</t>
  </si>
  <si>
    <t>LINCOLN</t>
  </si>
  <si>
    <t>LINCOLN PHARMA LTD</t>
  </si>
  <si>
    <t>LINDEINDIA</t>
  </si>
  <si>
    <t>LINDE INDIA LIMITED</t>
  </si>
  <si>
    <t>LLOYDSENGG</t>
  </si>
  <si>
    <t>LLOYDS ENGG WORK LIMITED</t>
  </si>
  <si>
    <t>LLOYDSENT</t>
  </si>
  <si>
    <t>LLOYDS ENTERPRISES LTD</t>
  </si>
  <si>
    <t>LLOYDSME</t>
  </si>
  <si>
    <t>LLOYDS METALS N ENERGY L</t>
  </si>
  <si>
    <t>LMW</t>
  </si>
  <si>
    <t>LMW LIMITED</t>
  </si>
  <si>
    <t>LOKESHMACH</t>
  </si>
  <si>
    <t>LOKESH MACHINES LTD</t>
  </si>
  <si>
    <t>LORDSCHLO</t>
  </si>
  <si>
    <t>LORDS CHLORO ALKALI LTD</t>
  </si>
  <si>
    <t>LOTUSDEV</t>
  </si>
  <si>
    <t>SRI LOTUS DEVLPRS N RTY L</t>
  </si>
  <si>
    <t>LOTUSEYE</t>
  </si>
  <si>
    <t>LOTUS EYE HOSP &amp; INST L</t>
  </si>
  <si>
    <t>LOVABLE</t>
  </si>
  <si>
    <t>LOVABLE LINGERIE LTD</t>
  </si>
  <si>
    <t>LPDC</t>
  </si>
  <si>
    <t>LANDMARK PR.DEV.CO.LTD</t>
  </si>
  <si>
    <t>LTF</t>
  </si>
  <si>
    <t>L&amp;T FINANCE LIMITED</t>
  </si>
  <si>
    <t>LTFOODS</t>
  </si>
  <si>
    <t>LT FOODS LIMITED</t>
  </si>
  <si>
    <t>LTTS</t>
  </si>
  <si>
    <t>L&amp;T TECHNOLOGY SER. LTD.</t>
  </si>
  <si>
    <t>LUMAXIND</t>
  </si>
  <si>
    <t>LUMAX INDUSTRIES LTD</t>
  </si>
  <si>
    <t>LUMAXTECH</t>
  </si>
  <si>
    <t>LUMAX AUTO TECH LTD</t>
  </si>
  <si>
    <t>LUPIN</t>
  </si>
  <si>
    <t>LUPIN LIMITED</t>
  </si>
  <si>
    <t>LUXIND</t>
  </si>
  <si>
    <t>LUX INDUSTRIES LIMITED</t>
  </si>
  <si>
    <t>LXCHEM</t>
  </si>
  <si>
    <t>LAXMI ORGANIC INDUS LTD</t>
  </si>
  <si>
    <t>LYKALABS</t>
  </si>
  <si>
    <t>LYKA LABS LTD</t>
  </si>
  <si>
    <t>LYPSAGEMS</t>
  </si>
  <si>
    <t>LYPSA GEMS &amp; JEWEL LTD</t>
  </si>
  <si>
    <t>M&amp;MFIN</t>
  </si>
  <si>
    <t>M&amp;M FIN. SERVICES LTD</t>
  </si>
  <si>
    <t>MACPOWER</t>
  </si>
  <si>
    <t>MACPOWER CNC MACHINES LTD</t>
  </si>
  <si>
    <t>MADHAV</t>
  </si>
  <si>
    <t>MADHAV MARBLE &amp; GRANITE</t>
  </si>
  <si>
    <t>MADHUCON</t>
  </si>
  <si>
    <t>MADHUCON PROJECTS LTD.</t>
  </si>
  <si>
    <t>MADRASFERT</t>
  </si>
  <si>
    <t>MADRAS FERTILISERS LTD</t>
  </si>
  <si>
    <t>MAGADSUGAR</t>
  </si>
  <si>
    <t>MAGADH SUGAR &amp; ENERGY LTD</t>
  </si>
  <si>
    <t>MAGNUM</t>
  </si>
  <si>
    <t>MAGNUM VENTURES LTD.</t>
  </si>
  <si>
    <t>MAHABANK</t>
  </si>
  <si>
    <t>BANK OF MAHARASHTRA</t>
  </si>
  <si>
    <t>MAHAPEXLTD</t>
  </si>
  <si>
    <t>MAHA RASHTRA APEX COPR. L</t>
  </si>
  <si>
    <t>MAHEPC</t>
  </si>
  <si>
    <t>MAHINDRA EPC IRRIG LTD</t>
  </si>
  <si>
    <t>MAHESHWARI</t>
  </si>
  <si>
    <t>MAHESHWARI LOGISTICS LTD.</t>
  </si>
  <si>
    <t>MAHLIFE</t>
  </si>
  <si>
    <t>MAHINDRA LIFESPACE DEVLTD</t>
  </si>
  <si>
    <t>MAHLOG</t>
  </si>
  <si>
    <t>MAHINDRA LOGISTIC LIMITED</t>
  </si>
  <si>
    <t>MAHSCOOTER</t>
  </si>
  <si>
    <t>MAHARASHTRA SCOOTERS LTD</t>
  </si>
  <si>
    <t>MAHSEAMLES</t>
  </si>
  <si>
    <t>MAHARASHTRA SEAMLESS LTD</t>
  </si>
  <si>
    <t>MAITHANALL</t>
  </si>
  <si>
    <t>MAITHAN ALLOYS LTD</t>
  </si>
  <si>
    <t>MALLCOM</t>
  </si>
  <si>
    <t>MALLCOM (INDIA) LIMITED</t>
  </si>
  <si>
    <t>MALUPAPER</t>
  </si>
  <si>
    <t>MALU PAPER MILLS LIMITED</t>
  </si>
  <si>
    <t>MAMATA</t>
  </si>
  <si>
    <t>MAMATA MACHINERY LIMITED</t>
  </si>
  <si>
    <t>MANAKCOAT</t>
  </si>
  <si>
    <t>MAN COAT METAL &amp; IND LTD</t>
  </si>
  <si>
    <t>MANAKSIA</t>
  </si>
  <si>
    <t>MANAKSIA LTD.</t>
  </si>
  <si>
    <t>MANAKSTEEL</t>
  </si>
  <si>
    <t>MANAKSIA STEELS LTD</t>
  </si>
  <si>
    <t>MANALIPETC</t>
  </si>
  <si>
    <t>MANALI PETROCHEMICALS LT</t>
  </si>
  <si>
    <t>MANAPPURAM</t>
  </si>
  <si>
    <t>MANAPPURAM FINANCE LTD</t>
  </si>
  <si>
    <t>MANBA</t>
  </si>
  <si>
    <t>MANBA FINANCE LIMITED</t>
  </si>
  <si>
    <t>MANCREDIT</t>
  </si>
  <si>
    <t>MANGAL CREDIT N FINCORP L</t>
  </si>
  <si>
    <t>MANGLMCEM</t>
  </si>
  <si>
    <t>MANGALAM CEMENT LTD</t>
  </si>
  <si>
    <t>MANINDS</t>
  </si>
  <si>
    <t>MAN INDUSTRIES (I) LTD.</t>
  </si>
  <si>
    <t>MANINFRA</t>
  </si>
  <si>
    <t>MAN INFRA LTD</t>
  </si>
  <si>
    <t>MANKIND</t>
  </si>
  <si>
    <t>MANKIND PHARMA LIMITED</t>
  </si>
  <si>
    <t>MANOMAY</t>
  </si>
  <si>
    <t>MANOMAY TEX INDIA LTD</t>
  </si>
  <si>
    <t>MANORAMA</t>
  </si>
  <si>
    <t>MANORAMA INDUSTRIES LTD</t>
  </si>
  <si>
    <t>MANORG</t>
  </si>
  <si>
    <t>MANGALAM ORGANICS LIMITED</t>
  </si>
  <si>
    <t>MANUGRAPH</t>
  </si>
  <si>
    <t>MANUGRAPH INDIA LIMITED</t>
  </si>
  <si>
    <t>MANYAVAR</t>
  </si>
  <si>
    <t>VEDANT FASHIONS LIMITED</t>
  </si>
  <si>
    <t>MAPMYINDIA</t>
  </si>
  <si>
    <t>C.E. INFO SYSTEMS LIMITED</t>
  </si>
  <si>
    <t>MARALOVER</t>
  </si>
  <si>
    <t>MARAL OVERSEAS LTD</t>
  </si>
  <si>
    <t>MARATHON</t>
  </si>
  <si>
    <t>MARATHON NXTGEN REALT LTD</t>
  </si>
  <si>
    <t>MARICO</t>
  </si>
  <si>
    <t>MARICO LIMITED</t>
  </si>
  <si>
    <t>MARINE</t>
  </si>
  <si>
    <t>MARINE ELECTRICAL (I) LTD</t>
  </si>
  <si>
    <t>MARKOLINES</t>
  </si>
  <si>
    <t>MARKOLINES PAVEMENT TEC L</t>
  </si>
  <si>
    <t>MARKSANS</t>
  </si>
  <si>
    <t>MARKSANS PHARMA LIMITED</t>
  </si>
  <si>
    <t>MARSONS</t>
  </si>
  <si>
    <t>MARSONS LIMITED</t>
  </si>
  <si>
    <t>MASFIN</t>
  </si>
  <si>
    <t>MAS FINANCIAL SERV LTD</t>
  </si>
  <si>
    <t>MASKINVEST</t>
  </si>
  <si>
    <t>MASK INVESTMENTS LIMITED</t>
  </si>
  <si>
    <t>MASTEK</t>
  </si>
  <si>
    <t>MASTEK LTD</t>
  </si>
  <si>
    <t>MASTERTR</t>
  </si>
  <si>
    <t>MASTER TRUST LIMITED</t>
  </si>
  <si>
    <t>MATRIMONY</t>
  </si>
  <si>
    <t>MATRIMONY.COM LIMITED</t>
  </si>
  <si>
    <t>MAWANASUG</t>
  </si>
  <si>
    <t>MAWANA SUGARS LIMITED</t>
  </si>
  <si>
    <t>MAXESTATES</t>
  </si>
  <si>
    <t>MAX ESTATES LIMITED</t>
  </si>
  <si>
    <t>MAXIND</t>
  </si>
  <si>
    <t>MAX INDIA LIMITED</t>
  </si>
  <si>
    <t>MAYURUNIQ</t>
  </si>
  <si>
    <t>MAYUR UNIQUOTERS LTD</t>
  </si>
  <si>
    <t>MAZDA</t>
  </si>
  <si>
    <t>MAZDA LIMITED</t>
  </si>
  <si>
    <t>MBAPL</t>
  </si>
  <si>
    <t>MADHYA BHARAT AGRO P. LTD</t>
  </si>
  <si>
    <t>MBEL</t>
  </si>
  <si>
    <t>M AND B ENGINEERING LTD</t>
  </si>
  <si>
    <t>MBLINFRA</t>
  </si>
  <si>
    <t>MBL INFRASTRUCTURE LTD</t>
  </si>
  <si>
    <t>MCLEODRUSS</t>
  </si>
  <si>
    <t>MCLEOD RUSSEL INDIA LTD.</t>
  </si>
  <si>
    <t>MCLOUD</t>
  </si>
  <si>
    <t>MAGELLANIC CLOUD LIMITED</t>
  </si>
  <si>
    <t>MCX</t>
  </si>
  <si>
    <t>MULTI COMMODITY EXCHANGE</t>
  </si>
  <si>
    <t>MEDANTA</t>
  </si>
  <si>
    <t>GLOBAL HEALTH LIMITED</t>
  </si>
  <si>
    <t>MEDIASSIST</t>
  </si>
  <si>
    <t>MEDI ASSIST HEALTH SER L</t>
  </si>
  <si>
    <t>MEDICAMEQ</t>
  </si>
  <si>
    <t>MEDICAMEN BIOTECH LIMITED</t>
  </si>
  <si>
    <t>MEDICO</t>
  </si>
  <si>
    <t>MEDICO REMEDIES LIMITED</t>
  </si>
  <si>
    <t>MEDPLUS</t>
  </si>
  <si>
    <t>MEDPLUS HEALTH SERV LTD</t>
  </si>
  <si>
    <t>MEESHO</t>
  </si>
  <si>
    <t>MEESHO LIMITED</t>
  </si>
  <si>
    <t>MEGASTAR</t>
  </si>
  <si>
    <t>MEGASTAR FOODS LIMITED</t>
  </si>
  <si>
    <t>MEIL</t>
  </si>
  <si>
    <t>MANGAL ELECTRICAL IND L</t>
  </si>
  <si>
    <t>MENONBE</t>
  </si>
  <si>
    <t>MENON BEARINGS LIMITED</t>
  </si>
  <si>
    <t>METROBRAND</t>
  </si>
  <si>
    <t>METRO BRANDS LIMITED</t>
  </si>
  <si>
    <t>METROPOLIS</t>
  </si>
  <si>
    <t>METROPOLIS HEALTHCARE LTD</t>
  </si>
  <si>
    <t>MFML</t>
  </si>
  <si>
    <t>MAHALAXMI FABRIC MILLS LT</t>
  </si>
  <si>
    <t>MFSL</t>
  </si>
  <si>
    <t>MAX FINANCIAL SERV LTD</t>
  </si>
  <si>
    <t>MGEL</t>
  </si>
  <si>
    <t>MANGALAM GLOBAL ENT LTD</t>
  </si>
  <si>
    <t>MGL</t>
  </si>
  <si>
    <t>MAHANAGAR GAS LTD.</t>
  </si>
  <si>
    <t>MHLXMIRU</t>
  </si>
  <si>
    <t>MAHALAXMI RUBTECH LIMITED</t>
  </si>
  <si>
    <t>MHRIL</t>
  </si>
  <si>
    <t>MAHINDRA HOLIDAYS LTD</t>
  </si>
  <si>
    <t>MICEL</t>
  </si>
  <si>
    <t>MIC ELECTRONICS LTD</t>
  </si>
  <si>
    <t>MIDHANI</t>
  </si>
  <si>
    <t>MISHRA DHATU NIGAM LTD</t>
  </si>
  <si>
    <t>MIDWESTLTD</t>
  </si>
  <si>
    <t>MIDWEST LIMITED</t>
  </si>
  <si>
    <t>MINDACORP</t>
  </si>
  <si>
    <t>MINDA CORPORATION LTD</t>
  </si>
  <si>
    <t>MINDTECK</t>
  </si>
  <si>
    <t>MINDTECK (INDIA) LIMITED</t>
  </si>
  <si>
    <t>MIRCELECTR</t>
  </si>
  <si>
    <t>MIRC ELECTRONICS LTD</t>
  </si>
  <si>
    <t>MIRZAINT</t>
  </si>
  <si>
    <t>MIRZA INTERNATIONAL LIMIT</t>
  </si>
  <si>
    <t>MITCON</t>
  </si>
  <si>
    <t>MITCON CON &amp; ENG SER LTD</t>
  </si>
  <si>
    <t>MITTAL</t>
  </si>
  <si>
    <t>MITTAL LIFE STYLE LIMITED</t>
  </si>
  <si>
    <t>MKPL</t>
  </si>
  <si>
    <t>M K PROTEINS LIMITED</t>
  </si>
  <si>
    <t>MMFL</t>
  </si>
  <si>
    <t>MM FORGINGS LTD</t>
  </si>
  <si>
    <t>MMP</t>
  </si>
  <si>
    <t>MMP INDUSTRIES LIMITED</t>
  </si>
  <si>
    <t>MMTC</t>
  </si>
  <si>
    <t>MMTC LIMITED</t>
  </si>
  <si>
    <t>MOBIKWIK</t>
  </si>
  <si>
    <t>ONE MOBIKWIK SYSTEMS LTD</t>
  </si>
  <si>
    <t>MODINATUR</t>
  </si>
  <si>
    <t>MODI NATURALS LIMITED</t>
  </si>
  <si>
    <t>MODIRUBBER</t>
  </si>
  <si>
    <t>MODI RUBBER LTD</t>
  </si>
  <si>
    <t>MODIS</t>
  </si>
  <si>
    <t>MODIS NAVNIRMAN LTD</t>
  </si>
  <si>
    <t>MODISONLTD</t>
  </si>
  <si>
    <t>MODISON LIMITED</t>
  </si>
  <si>
    <t>MODTHREAD</t>
  </si>
  <si>
    <t>MODERN THREADS INDIA LTD</t>
  </si>
  <si>
    <t>MOHITIND</t>
  </si>
  <si>
    <t>MOHIT INDUSTRIES LTD</t>
  </si>
  <si>
    <t>MOIL</t>
  </si>
  <si>
    <t>MOIL LIMITED</t>
  </si>
  <si>
    <t>MOKSH</t>
  </si>
  <si>
    <t>MOKSH ORNAMENTS LIMITED</t>
  </si>
  <si>
    <t>MOL</t>
  </si>
  <si>
    <t>MEGHMANI ORGANICS LIMITED</t>
  </si>
  <si>
    <t>MOLDTECH</t>
  </si>
  <si>
    <t>MOLD-TEK TECHNOLOGIES LTD</t>
  </si>
  <si>
    <t>MOLDTKPAC</t>
  </si>
  <si>
    <t>MOLD-TEK PACKAGING LTD</t>
  </si>
  <si>
    <t>MONARCH</t>
  </si>
  <si>
    <t>MONARCH NETWORTH CAP LTD</t>
  </si>
  <si>
    <t>MONEYBOXX</t>
  </si>
  <si>
    <t>MONEYBOXX FINANCE LIMITED</t>
  </si>
  <si>
    <t>MONTECARLO</t>
  </si>
  <si>
    <t>MONTE CARLO FASHIONS LTD.</t>
  </si>
  <si>
    <t>MOREPENLAB</t>
  </si>
  <si>
    <t>MOREPEN LAB. LTD</t>
  </si>
  <si>
    <t>MOSCHIP</t>
  </si>
  <si>
    <t>MOSCHIP TECHNOLOGIES LTD</t>
  </si>
  <si>
    <t>MOTILALOFS</t>
  </si>
  <si>
    <t>MOTILAL OSWAL FIN LTD</t>
  </si>
  <si>
    <t>MOTISONS</t>
  </si>
  <si>
    <t>MOTISONS JEWELLERS LTD</t>
  </si>
  <si>
    <t>MOTOGENFIN</t>
  </si>
  <si>
    <t>MOTOR &amp; GENERAL FINANCE L</t>
  </si>
  <si>
    <t>MPHASIS</t>
  </si>
  <si>
    <t>MPHASIS LIMITED</t>
  </si>
  <si>
    <t>MPSLTD</t>
  </si>
  <si>
    <t>MPS LIMITED</t>
  </si>
  <si>
    <t>MRF</t>
  </si>
  <si>
    <t>MRF LTD</t>
  </si>
  <si>
    <t>MRPL</t>
  </si>
  <si>
    <t>MSPL</t>
  </si>
  <si>
    <t>MSP STEEL &amp; POWER LTD.</t>
  </si>
  <si>
    <t>MSTCLTD</t>
  </si>
  <si>
    <t>MSTC LIMITED</t>
  </si>
  <si>
    <t>MSUMI</t>
  </si>
  <si>
    <t>MOTHERSON SUMI WRNG IND L</t>
  </si>
  <si>
    <t>MTARTECH</t>
  </si>
  <si>
    <t>MTAR TECHNOLOGIES LIMITED</t>
  </si>
  <si>
    <t>MTNL</t>
  </si>
  <si>
    <t>MAHANAGAR TELEPHONE NIGAM</t>
  </si>
  <si>
    <t>MUFIN</t>
  </si>
  <si>
    <t>MUFIN GREEN FINANCE LTD</t>
  </si>
  <si>
    <t>MUFTI</t>
  </si>
  <si>
    <t>CREDO BRANDS MARKETING L</t>
  </si>
  <si>
    <t>MUKANDLTD</t>
  </si>
  <si>
    <t>MUKAND LTD.</t>
  </si>
  <si>
    <t>MUKKA</t>
  </si>
  <si>
    <t>MUKKA PROTEINS LIMITED</t>
  </si>
  <si>
    <t>MUKTAARTS</t>
  </si>
  <si>
    <t>MUKTA ARTS LIMITED</t>
  </si>
  <si>
    <t>MUNJALAU</t>
  </si>
  <si>
    <t>MUNJAL AUTO IND. LTD.</t>
  </si>
  <si>
    <t>MUNJALSHOW</t>
  </si>
  <si>
    <t>MUNJAL SHOWA LTD</t>
  </si>
  <si>
    <t>MURUDCERA</t>
  </si>
  <si>
    <t>MURUDESHWAR CERAMICS LTD</t>
  </si>
  <si>
    <t>MUTHOOTCAP</t>
  </si>
  <si>
    <t>MUTHOOT CAP SERV LTD</t>
  </si>
  <si>
    <t>MUTHOOTFIN</t>
  </si>
  <si>
    <t>MUTHOOT FINANCE LIMITED</t>
  </si>
  <si>
    <t>MUTHOOTMF</t>
  </si>
  <si>
    <t>MUTHOOT MICROFIN LIMITED</t>
  </si>
  <si>
    <t>MVGJL</t>
  </si>
  <si>
    <t>MANOJ VAIBHAV GEM N JEW L</t>
  </si>
  <si>
    <t>MWL</t>
  </si>
  <si>
    <t>MANGALAM WORLDWIDE LTD</t>
  </si>
  <si>
    <t>NACLIND</t>
  </si>
  <si>
    <t>NACL INDUSTRIES LIMITED</t>
  </si>
  <si>
    <t>NAGAFERT</t>
  </si>
  <si>
    <t>NAGARJUN FERT AND CHE LTD</t>
  </si>
  <si>
    <t>NAGREEKCAP</t>
  </si>
  <si>
    <t>NAGREEKA CAP &amp; INFR.LTD</t>
  </si>
  <si>
    <t>NAGREEKEXP</t>
  </si>
  <si>
    <t>NAGREEKA EXPORTS LTD.</t>
  </si>
  <si>
    <t>NAHARCAP</t>
  </si>
  <si>
    <t>NAHAR CAP &amp; FIN.</t>
  </si>
  <si>
    <t>NAHARINDUS</t>
  </si>
  <si>
    <t>NAHAR INDS ENT LTD</t>
  </si>
  <si>
    <t>NAHARPOLY</t>
  </si>
  <si>
    <t>NAHAR POLY FILMS LIMITED</t>
  </si>
  <si>
    <t>NAHARSPING</t>
  </si>
  <si>
    <t>NAHAR SPINNING MILLS LTD.</t>
  </si>
  <si>
    <t>NAM-INDIA</t>
  </si>
  <si>
    <t>NIPPON L I A M LTD</t>
  </si>
  <si>
    <t>NARMADA</t>
  </si>
  <si>
    <t>NARMADA AGROBASE LIMITED</t>
  </si>
  <si>
    <t>NATCAPSUQ</t>
  </si>
  <si>
    <t>NATURAL CAPSULES LIMITED</t>
  </si>
  <si>
    <t>NATCOPHARM</t>
  </si>
  <si>
    <t>NATCO PHARMA LTD.</t>
  </si>
  <si>
    <t>NATHBIOGEN</t>
  </si>
  <si>
    <t>NATH BIO-GENES (I) LTD</t>
  </si>
  <si>
    <t>NATIONALUM</t>
  </si>
  <si>
    <t>NATIONAL ALUMINIUM CO LTD</t>
  </si>
  <si>
    <t>NAVA</t>
  </si>
  <si>
    <t>NAVA LIMITED</t>
  </si>
  <si>
    <t>NAVINFLUOR</t>
  </si>
  <si>
    <t>NAVIN FLUORINE INT. LTD</t>
  </si>
  <si>
    <t>NAVKARCORP</t>
  </si>
  <si>
    <t>NAVKAR CORPORATION LTD.</t>
  </si>
  <si>
    <t>NAVKARURB</t>
  </si>
  <si>
    <t>NAVKAR URBANSTRUCTURE LTD</t>
  </si>
  <si>
    <t>NAVNETEDUL</t>
  </si>
  <si>
    <t>NAVNEET EDUCATION LTD</t>
  </si>
  <si>
    <t>NAZARA</t>
  </si>
  <si>
    <t>NAZARA TECHNOLOGIES LTD</t>
  </si>
  <si>
    <t>NBCC</t>
  </si>
  <si>
    <t>NBCC (INDIA) LIMITED</t>
  </si>
  <si>
    <t>NBIFIN</t>
  </si>
  <si>
    <t>N.B.I. IND. FIN. CO. LTD</t>
  </si>
  <si>
    <t>NCC</t>
  </si>
  <si>
    <t>NCC LIMITED</t>
  </si>
  <si>
    <t>NCLIND</t>
  </si>
  <si>
    <t>NCL INDUSTRIES LIMITED</t>
  </si>
  <si>
    <t>NDGL</t>
  </si>
  <si>
    <t>NAGA DHUNSERI GROUP LTD</t>
  </si>
  <si>
    <t>NDL</t>
  </si>
  <si>
    <t>NANDAN DENIM LIMITED</t>
  </si>
  <si>
    <t>NDLVENTURE</t>
  </si>
  <si>
    <t>NDL VENTURES LIMITED</t>
  </si>
  <si>
    <t>NDRAUTO</t>
  </si>
  <si>
    <t>NDR AUTO COMPONENTS LTD</t>
  </si>
  <si>
    <t>NDTV</t>
  </si>
  <si>
    <t>NDTV LTD</t>
  </si>
  <si>
    <t>NECCLTD</t>
  </si>
  <si>
    <t>NORTH EAST CARRY CORP LTD</t>
  </si>
  <si>
    <t>NECLIFE</t>
  </si>
  <si>
    <t>NECTAR LIFESCIENCES LTD.</t>
  </si>
  <si>
    <t>NELCAST</t>
  </si>
  <si>
    <t>NELCAST LIMITED</t>
  </si>
  <si>
    <t>NELCO</t>
  </si>
  <si>
    <t>NELCO LTD</t>
  </si>
  <si>
    <t>NEOGEN</t>
  </si>
  <si>
    <t>NEOGEN CHEMICALS LIMITED</t>
  </si>
  <si>
    <t>NEPHROPLUS</t>
  </si>
  <si>
    <t>NEPHROCARE HEALTH SERV L</t>
  </si>
  <si>
    <t>NESCO</t>
  </si>
  <si>
    <t>NESCO LTD.</t>
  </si>
  <si>
    <t>NETWEB</t>
  </si>
  <si>
    <t>NETWEB TECH INDIA LTD</t>
  </si>
  <si>
    <t>NETWORK18</t>
  </si>
  <si>
    <t>NETWORK18 MEDIA &amp; INV LTD</t>
  </si>
  <si>
    <t>NEULANDLAB</t>
  </si>
  <si>
    <t>NEULAND LAB LTD.</t>
  </si>
  <si>
    <t>NEWGEN</t>
  </si>
  <si>
    <t>NEWGEN SOFTWARE TECH LTD</t>
  </si>
  <si>
    <t>NEXTMEDIA</t>
  </si>
  <si>
    <t>NEXT MEDIAWORKS LIMITED</t>
  </si>
  <si>
    <t>NFL</t>
  </si>
  <si>
    <t>NATIONAL FERT. LTD</t>
  </si>
  <si>
    <t>NGIL</t>
  </si>
  <si>
    <t>NAKODA GROUP OF IND. LTD</t>
  </si>
  <si>
    <t>NGLFINE</t>
  </si>
  <si>
    <t>NGL FINE CHEM LIMITED</t>
  </si>
  <si>
    <t>NH</t>
  </si>
  <si>
    <t>NARAYANA HRUDAYALAYA LTD.</t>
  </si>
  <si>
    <t>NHPC</t>
  </si>
  <si>
    <t>NHPC LTD</t>
  </si>
  <si>
    <t>NIACL</t>
  </si>
  <si>
    <t>THE NEW INDIA ASSU CO LTD</t>
  </si>
  <si>
    <t>NIBE</t>
  </si>
  <si>
    <t>NIBE LIMITED</t>
  </si>
  <si>
    <t>NIBL</t>
  </si>
  <si>
    <t>NRB INDUS. BEARINGS LTD.</t>
  </si>
  <si>
    <t>NIITLTD</t>
  </si>
  <si>
    <t>NIIT LIMITED</t>
  </si>
  <si>
    <t>NIITMTS</t>
  </si>
  <si>
    <t>NIIT LEARNING SYSTEMS LTD</t>
  </si>
  <si>
    <t>NILAINFRA</t>
  </si>
  <si>
    <t>NILA INFRASTRUCTURES LTD</t>
  </si>
  <si>
    <t>NILASPACES</t>
  </si>
  <si>
    <t>NILA SPACES LIMITED</t>
  </si>
  <si>
    <t>NILKAMAL</t>
  </si>
  <si>
    <t>NILKAMAL LIMITED</t>
  </si>
  <si>
    <t>NINSYS</t>
  </si>
  <si>
    <t>NINTEC SYSTEMS LIMITED</t>
  </si>
  <si>
    <t>NIPPOBATRY</t>
  </si>
  <si>
    <t>INDO-NATIONAL LIMITED</t>
  </si>
  <si>
    <t>NIRAJ</t>
  </si>
  <si>
    <t>NIRAJ CEMENT STRUC LTD</t>
  </si>
  <si>
    <t>NITCO</t>
  </si>
  <si>
    <t>NITCO LIMITED</t>
  </si>
  <si>
    <t>NITINSPIN</t>
  </si>
  <si>
    <t>NITIN SPINNERS LIMITED</t>
  </si>
  <si>
    <t>NITIRAJ</t>
  </si>
  <si>
    <t>NITIRAJ ENGINEERS LTD</t>
  </si>
  <si>
    <t>NIVABUPA</t>
  </si>
  <si>
    <t>NIVA BUPA HEALTH INS CO L</t>
  </si>
  <si>
    <t>NKIND</t>
  </si>
  <si>
    <t>NK INDUSTRIES LTD</t>
  </si>
  <si>
    <t>NLCINDIA</t>
  </si>
  <si>
    <t>NLC INDIA LIMITED</t>
  </si>
  <si>
    <t>NMDC</t>
  </si>
  <si>
    <t>NMDC LTD.</t>
  </si>
  <si>
    <t>NOCIL</t>
  </si>
  <si>
    <t>NOCIL LIMITED</t>
  </si>
  <si>
    <t>NOIDATOLL</t>
  </si>
  <si>
    <t>NOIDA TOLL BRIDGE CO LTD</t>
  </si>
  <si>
    <t>NORTHARC</t>
  </si>
  <si>
    <t>NORTHERN ARC CAPITAL LTD</t>
  </si>
  <si>
    <t>NOVAAGRI</t>
  </si>
  <si>
    <t>NOVA AGRITECH LIMITED</t>
  </si>
  <si>
    <t>NPST</t>
  </si>
  <si>
    <t>NETWORK PEOPLE SRV TECH L</t>
  </si>
  <si>
    <t>NRAIL</t>
  </si>
  <si>
    <t>N R AGARWAL INDS LTD</t>
  </si>
  <si>
    <t>NRBBEARING</t>
  </si>
  <si>
    <t>NRB BEARING LIMITED</t>
  </si>
  <si>
    <t>NRL</t>
  </si>
  <si>
    <t>NUPUR RECYCLERS LIMITED</t>
  </si>
  <si>
    <t>NSIL</t>
  </si>
  <si>
    <t>NALWA SONS INVESTMENT LTD</t>
  </si>
  <si>
    <t>NSLNISP</t>
  </si>
  <si>
    <t>NMDC STEEL LIMITED</t>
  </si>
  <si>
    <t>NTPCGREEN</t>
  </si>
  <si>
    <t>NTPC GREEN ENERGY LIMITED</t>
  </si>
  <si>
    <t>NUCLEUS</t>
  </si>
  <si>
    <t>NUCLEUS SOFTWARE EXPORTS</t>
  </si>
  <si>
    <t>NURECA</t>
  </si>
  <si>
    <t>NURECA LIMITED</t>
  </si>
  <si>
    <t>NUVAMA</t>
  </si>
  <si>
    <t>NUVAMA WEALTH MANAGE LTD</t>
  </si>
  <si>
    <t>NUVOCO</t>
  </si>
  <si>
    <t>NUVOCO VISTAS CORP LTD</t>
  </si>
  <si>
    <t>NYKAA</t>
  </si>
  <si>
    <t>FSN E COMMERCE VENTURES</t>
  </si>
  <si>
    <t>OAL</t>
  </si>
  <si>
    <t>ORIENTAL AROMATICS LTD</t>
  </si>
  <si>
    <t>OBCL</t>
  </si>
  <si>
    <t>ORISSA BENGAL CARRIER LTD</t>
  </si>
  <si>
    <t>OBEROIRLTY</t>
  </si>
  <si>
    <t>OBEROI REALTY LIMITED</t>
  </si>
  <si>
    <t>OCCLLTD</t>
  </si>
  <si>
    <t>OCCL LIMITED</t>
  </si>
  <si>
    <t>ODIGMA</t>
  </si>
  <si>
    <t>ODIGMA CONSULTANCY SOL L</t>
  </si>
  <si>
    <t>OFSS</t>
  </si>
  <si>
    <t>ORACLE FIN SERV SOFT LTD.</t>
  </si>
  <si>
    <t>OIL</t>
  </si>
  <si>
    <t>OIL INDIA LTD</t>
  </si>
  <si>
    <t>OILCOUNTUB</t>
  </si>
  <si>
    <t>OIL COUNTRY TUBULAR LTD</t>
  </si>
  <si>
    <t>OLAELEC</t>
  </si>
  <si>
    <t>OLA ELECTRIC MOBILITY LTD</t>
  </si>
  <si>
    <t>OLECTRA</t>
  </si>
  <si>
    <t>OLECTRA GREENTECH LIMITED</t>
  </si>
  <si>
    <t>OMAXAUTO</t>
  </si>
  <si>
    <t>OMAX AUTOS LTD</t>
  </si>
  <si>
    <t>OMAXE</t>
  </si>
  <si>
    <t>OMAXE LIMITED</t>
  </si>
  <si>
    <t>OMFREIGHT</t>
  </si>
  <si>
    <t>OM FREIGHT FORWARDERS LTD</t>
  </si>
  <si>
    <t>OMINFRAL</t>
  </si>
  <si>
    <t>OM INFRA LIMITED</t>
  </si>
  <si>
    <t>OMNI</t>
  </si>
  <si>
    <t>OMNITECH ENGINEERING LTD</t>
  </si>
  <si>
    <t>ONELIFECAP</t>
  </si>
  <si>
    <t>ONELIFE CAP ADVISORS LTD</t>
  </si>
  <si>
    <t>ONEPOINT</t>
  </si>
  <si>
    <t>ONE POINT ONE SOL LTD</t>
  </si>
  <si>
    <t>ONESOURCE</t>
  </si>
  <si>
    <t>ONESOURCE SPECL PHARMA L</t>
  </si>
  <si>
    <t>ONMOBILE</t>
  </si>
  <si>
    <t>ONMOBILE GLOBAL LTD.</t>
  </si>
  <si>
    <t>ONWARDTEC</t>
  </si>
  <si>
    <t>ONWARD TECHNOLOGIES LTD</t>
  </si>
  <si>
    <t>OPTIEMUS</t>
  </si>
  <si>
    <t>OPTIEMUS INFRACOM LTD</t>
  </si>
  <si>
    <t>ORBTEXP</t>
  </si>
  <si>
    <t>ORBIT EXPORTS LIMITED</t>
  </si>
  <si>
    <t>ORCHASP</t>
  </si>
  <si>
    <t>ORCHASP LIMITED</t>
  </si>
  <si>
    <t>ORCHPHARMA</t>
  </si>
  <si>
    <t>ORCHID PHARMA LIMITED</t>
  </si>
  <si>
    <t>ORICONENT</t>
  </si>
  <si>
    <t>ORICON ENTERPRISES LTD</t>
  </si>
  <si>
    <t>ORIENTALTL</t>
  </si>
  <si>
    <t>ORIENTAL TRIMEX LTD</t>
  </si>
  <si>
    <t>ORIENTBELL</t>
  </si>
  <si>
    <t>ORIENT BELL LIMITED</t>
  </si>
  <si>
    <t>ORIENTCEM</t>
  </si>
  <si>
    <t>ORIENT CEMENT LTD.</t>
  </si>
  <si>
    <t>ORIENTCER</t>
  </si>
  <si>
    <t>ORIENT CERATECH LIMITED</t>
  </si>
  <si>
    <t>ORIENTELEC</t>
  </si>
  <si>
    <t>ORIENT ELECTRIC LIMITED</t>
  </si>
  <si>
    <t>ORIENTHOT</t>
  </si>
  <si>
    <t>ORIENT HOTELS LTD</t>
  </si>
  <si>
    <t>ORIENTLTD</t>
  </si>
  <si>
    <t>ORIENT PRESS LIMITED</t>
  </si>
  <si>
    <t>ORIENTPPR</t>
  </si>
  <si>
    <t>ORIENT PAPER AND INDS LTD</t>
  </si>
  <si>
    <t>ORIENTTECH</t>
  </si>
  <si>
    <t>ORIENT TECHNOLOGIES LTD</t>
  </si>
  <si>
    <t>ORISSAMINE</t>
  </si>
  <si>
    <t>ORISSA MIN DEV CO LTD</t>
  </si>
  <si>
    <t>ORKLAINDIA</t>
  </si>
  <si>
    <t>ORKLA INDIA LIMITED</t>
  </si>
  <si>
    <t>OSIAHYPER</t>
  </si>
  <si>
    <t>OSIA HYPER RETAIL LIMITED</t>
  </si>
  <si>
    <t>OSWALAGRO</t>
  </si>
  <si>
    <t>OSWAL AGRO MILLS LTD</t>
  </si>
  <si>
    <t>OSWALGREEN</t>
  </si>
  <si>
    <t>OSWAL GREENTECH LIMITED</t>
  </si>
  <si>
    <t>OSWALPUMPS</t>
  </si>
  <si>
    <t>OSWAL PUMPS LIMITED</t>
  </si>
  <si>
    <t>OSWALSEEDS</t>
  </si>
  <si>
    <t>SHREEOSWAL S AND CHE LTD</t>
  </si>
  <si>
    <t>PACEDIGITK</t>
  </si>
  <si>
    <t>PACE DIGITEK LIMITED</t>
  </si>
  <si>
    <t>PAGEIND</t>
  </si>
  <si>
    <t>PAGE INDUSTRIES LTD</t>
  </si>
  <si>
    <t>PAISALO</t>
  </si>
  <si>
    <t>PAISALO DIGITAL LIMITED</t>
  </si>
  <si>
    <t>PAKKA</t>
  </si>
  <si>
    <t>PAKKA LIMITED</t>
  </si>
  <si>
    <t>PALASHSECU</t>
  </si>
  <si>
    <t>PALASH SECURITIES LTD</t>
  </si>
  <si>
    <t>PALREDTEC</t>
  </si>
  <si>
    <t>PALRED TECHNOLOGIES LTD</t>
  </si>
  <si>
    <t>PANACEABIO</t>
  </si>
  <si>
    <t>PANACEA BIOTEC LTD</t>
  </si>
  <si>
    <t>PANAMAPET</t>
  </si>
  <si>
    <t>PANAMA PETROCHEM LTD</t>
  </si>
  <si>
    <t>PANSARI</t>
  </si>
  <si>
    <t>PANSARI DEVELOPERS LTD</t>
  </si>
  <si>
    <t>PAR</t>
  </si>
  <si>
    <t>PAR DRUGS AND CHEM LTD</t>
  </si>
  <si>
    <t>PARACABLES</t>
  </si>
  <si>
    <t>PARAMOUNT COMM LTD</t>
  </si>
  <si>
    <t>PARADEEP</t>
  </si>
  <si>
    <t>PARADEEP PHOSPHATES LTD</t>
  </si>
  <si>
    <t>PARAGMILK</t>
  </si>
  <si>
    <t>PARAG MILK FOODS LTD.</t>
  </si>
  <si>
    <t>PARAS</t>
  </si>
  <si>
    <t>PARAS DEF AND SPCE TECH L</t>
  </si>
  <si>
    <t>PARKHOSPS</t>
  </si>
  <si>
    <t>PARK MEDI WORLD LIMITED</t>
  </si>
  <si>
    <t>PARKHOTELS</t>
  </si>
  <si>
    <t>PARSVNATH</t>
  </si>
  <si>
    <t>PARSVNATH DEVELOPER LTD</t>
  </si>
  <si>
    <t>PASHUPATI</t>
  </si>
  <si>
    <t>PASHUPATI COTSPIN LIMITED</t>
  </si>
  <si>
    <t>PASUPTAC</t>
  </si>
  <si>
    <t>PASUPATI ACRYLON LIMITED</t>
  </si>
  <si>
    <t>PATANJALI</t>
  </si>
  <si>
    <t>PATANJALI FOODS LIMITED</t>
  </si>
  <si>
    <t>PATELENG</t>
  </si>
  <si>
    <t>PATEL ENGINEERING LTD.</t>
  </si>
  <si>
    <t>PATELRMART</t>
  </si>
  <si>
    <t>PATEL RETAIL LIMITED</t>
  </si>
  <si>
    <t>PATINTLOG</t>
  </si>
  <si>
    <t>PATEL INT. LOG. LTD</t>
  </si>
  <si>
    <t>PAUSHAKLTD</t>
  </si>
  <si>
    <t>PAUSHAK LIMITED</t>
  </si>
  <si>
    <t>PAVNAIND</t>
  </si>
  <si>
    <t>PAVNA INDUSTRIES LIMITED</t>
  </si>
  <si>
    <t>PAYTM</t>
  </si>
  <si>
    <t>ONE 97 COMMUNICATIONS LTD</t>
  </si>
  <si>
    <t>PCBL</t>
  </si>
  <si>
    <t>PCBL CHEMICAL LIMITED</t>
  </si>
  <si>
    <t>PCJEWELLER</t>
  </si>
  <si>
    <t>PC JEWELLER LTD</t>
  </si>
  <si>
    <t>PDMJEPAPER</t>
  </si>
  <si>
    <t>PUDUMJEE PAPER PRO. LTD</t>
  </si>
  <si>
    <t>PDSL</t>
  </si>
  <si>
    <t>PDS LIMITED</t>
  </si>
  <si>
    <t>PEARLPOLY</t>
  </si>
  <si>
    <t>PEARL POLYMERS LTD</t>
  </si>
  <si>
    <t>PENIND</t>
  </si>
  <si>
    <t>PENNAR INDUSTRIES LTD</t>
  </si>
  <si>
    <t>PENINLAND</t>
  </si>
  <si>
    <t>PENINSULA LAND LIMITED</t>
  </si>
  <si>
    <t>PERSISTENT</t>
  </si>
  <si>
    <t>PERSISTENT SYSTEMS LTD</t>
  </si>
  <si>
    <t>PETRONET</t>
  </si>
  <si>
    <t>PETRONET LNG LIMITED</t>
  </si>
  <si>
    <t>PFIZER</t>
  </si>
  <si>
    <t>PFIZER LTD</t>
  </si>
  <si>
    <t>PFOCUS</t>
  </si>
  <si>
    <t>PRIME FOCUS LIMITED</t>
  </si>
  <si>
    <t>PFS</t>
  </si>
  <si>
    <t>PTC INDIA FIN SERV LTD</t>
  </si>
  <si>
    <t>PGEL</t>
  </si>
  <si>
    <t>PG ELECTROPLAST LTD</t>
  </si>
  <si>
    <t>PGHH</t>
  </si>
  <si>
    <t>P&amp;G HYGIENE &amp; HEALTH CARE</t>
  </si>
  <si>
    <t>PGHL</t>
  </si>
  <si>
    <t>PROCTER &amp; GAMBLE HEALTH L</t>
  </si>
  <si>
    <t>PGIL</t>
  </si>
  <si>
    <t>PEARL GLOBAL IND LIMITED</t>
  </si>
  <si>
    <t>PHOENIXLTD</t>
  </si>
  <si>
    <t>THE PHOENIX MILLS LTD</t>
  </si>
  <si>
    <t>PICCADIL</t>
  </si>
  <si>
    <t>PICCADILY AGRO INDUSTRI L</t>
  </si>
  <si>
    <t>PIGL</t>
  </si>
  <si>
    <t>POWER INSTRUMENT (G) LTD</t>
  </si>
  <si>
    <t>PIIND</t>
  </si>
  <si>
    <t>PI INDUSTRIES LTD</t>
  </si>
  <si>
    <t>PILANIINVS</t>
  </si>
  <si>
    <t>PILANI INV &amp; IND COR LTD</t>
  </si>
  <si>
    <t>PILITA</t>
  </si>
  <si>
    <t>PIL ITALICA LIFESTYLE LTD</t>
  </si>
  <si>
    <t>PINELABS</t>
  </si>
  <si>
    <t>PINE LABS LIMITED</t>
  </si>
  <si>
    <t>PIONEEREMB</t>
  </si>
  <si>
    <t>PIONEER EMBROIDERIES LTD</t>
  </si>
  <si>
    <t>PIRAMALFIN</t>
  </si>
  <si>
    <t>PIRAMAL FINANCE LIMITED</t>
  </si>
  <si>
    <t>PITTIENG</t>
  </si>
  <si>
    <t>PITTI ENGINEERING LIMITED</t>
  </si>
  <si>
    <t>PIXTRANS</t>
  </si>
  <si>
    <t>PIX TRANSMISSIONS LIMITED</t>
  </si>
  <si>
    <t>PKTEA</t>
  </si>
  <si>
    <t>THE P K TEA PROD CO LTD</t>
  </si>
  <si>
    <t>PLASTIBLEN</t>
  </si>
  <si>
    <t>PLASTIBLENDS INDIA LTD</t>
  </si>
  <si>
    <t>PLATIND</t>
  </si>
  <si>
    <t>PLATINUM INDUSTRIES LTD</t>
  </si>
  <si>
    <t>PLAZACABLE</t>
  </si>
  <si>
    <t>PLAZA WIRES LIMITED</t>
  </si>
  <si>
    <t>PNBGILTS</t>
  </si>
  <si>
    <t>PNB GILTS LIMITED</t>
  </si>
  <si>
    <t>PNBHOUSING</t>
  </si>
  <si>
    <t>PNB HOUSING FIN LTD.</t>
  </si>
  <si>
    <t>PNC</t>
  </si>
  <si>
    <t>PRITISH NANDY COMMUNICATI</t>
  </si>
  <si>
    <t>PNCINFRA</t>
  </si>
  <si>
    <t>PNC INFRATECH LTD.</t>
  </si>
  <si>
    <t>PNGJL</t>
  </si>
  <si>
    <t>P N GADGIL JEWELLERS LTD</t>
  </si>
  <si>
    <t>PNGSREVA</t>
  </si>
  <si>
    <t>PNGS REVA DIAMOND JEWEL L</t>
  </si>
  <si>
    <t>POCL</t>
  </si>
  <si>
    <t>PONDY OXIDES &amp; CHEM LTD</t>
  </si>
  <si>
    <t>PODDARMENT</t>
  </si>
  <si>
    <t>PODDAR PIGMENTS LIMITED</t>
  </si>
  <si>
    <t>POKARNA</t>
  </si>
  <si>
    <t>POKARNA LIMITED</t>
  </si>
  <si>
    <t>POLICYBZR</t>
  </si>
  <si>
    <t>PB FINTECH LIMITED</t>
  </si>
  <si>
    <t>POLYCAB</t>
  </si>
  <si>
    <t>POLYCAB INDIA LIMITED</t>
  </si>
  <si>
    <t>POLYMED</t>
  </si>
  <si>
    <t>POLY MEDICURE LIMITED</t>
  </si>
  <si>
    <t>POLYPLEX</t>
  </si>
  <si>
    <t>POLYPLEX CORPORATION LTD</t>
  </si>
  <si>
    <t>PONNIERODE</t>
  </si>
  <si>
    <t>PONNIE SUGARS (ERODE) LTD</t>
  </si>
  <si>
    <t>POONAWALLA</t>
  </si>
  <si>
    <t>POONAWALLA FINCORP LTD</t>
  </si>
  <si>
    <t>POWERINDIA</t>
  </si>
  <si>
    <t>HITACHI ENERGY INDIA LTD</t>
  </si>
  <si>
    <t>POWERMECH</t>
  </si>
  <si>
    <t>POWER MECH PROJECTS LTD.</t>
  </si>
  <si>
    <t>PPAP</t>
  </si>
  <si>
    <t>PPAP AUTOMOTIVE LIMITED</t>
  </si>
  <si>
    <t>PPL</t>
  </si>
  <si>
    <t>PRAKASH PIPES LIMITED</t>
  </si>
  <si>
    <t>PPLPHARMA</t>
  </si>
  <si>
    <t>PIRAMAL PHARMA LIMITED</t>
  </si>
  <si>
    <t>PRABHA</t>
  </si>
  <si>
    <t>PRABHA ENERGY LIMITED</t>
  </si>
  <si>
    <t>PRAENG</t>
  </si>
  <si>
    <t>PRAJAY ENG. SYN. LTD.</t>
  </si>
  <si>
    <t>PRAJIND</t>
  </si>
  <si>
    <t>PRAJ INDUSTRIES LTD</t>
  </si>
  <si>
    <t>PRAKASH</t>
  </si>
  <si>
    <t>PRAKASH INDUSTRIES LTD</t>
  </si>
  <si>
    <t>PRAKASHSTL</t>
  </si>
  <si>
    <t>PRAKASH STEELAGE LTD</t>
  </si>
  <si>
    <t>PRAXIS</t>
  </si>
  <si>
    <t>PRAXIS HOME RETAIL LTD</t>
  </si>
  <si>
    <t>PRECAM</t>
  </si>
  <si>
    <t>PRECISION CAMSHAFTS LTD.</t>
  </si>
  <si>
    <t>PRECWIRE</t>
  </si>
  <si>
    <t>PRECISION WIRES INDIA LTD</t>
  </si>
  <si>
    <t>PREMEXPLN</t>
  </si>
  <si>
    <t>PREMIER EXPLOSIVES LTD</t>
  </si>
  <si>
    <t>PREMIERENE</t>
  </si>
  <si>
    <t>PREMIER ENERGIES LIMITED</t>
  </si>
  <si>
    <t>PREMIERPOL</t>
  </si>
  <si>
    <t>PREMIER POLYFILM LTD</t>
  </si>
  <si>
    <t>PRESTIGE</t>
  </si>
  <si>
    <t>PRESTIGE ESTATE LTD</t>
  </si>
  <si>
    <t>PRICOLLTD</t>
  </si>
  <si>
    <t>PRICOL LIMITED</t>
  </si>
  <si>
    <t>PRIMESECU</t>
  </si>
  <si>
    <t>PRIME SECURITIES LIMITED</t>
  </si>
  <si>
    <t>PRIMO</t>
  </si>
  <si>
    <t>PRIMO CHEMICALS LIMITED</t>
  </si>
  <si>
    <t>PRINCEPIPE</t>
  </si>
  <si>
    <t>PRINCE PIPES FITTINGS LTD</t>
  </si>
  <si>
    <t>PRITI</t>
  </si>
  <si>
    <t>PRITI INTERNATIONAL LTD</t>
  </si>
  <si>
    <t>PRITIKAUTO</t>
  </si>
  <si>
    <t>PRITIKA AUTO INDUS LTD</t>
  </si>
  <si>
    <t>PRIVISCL</t>
  </si>
  <si>
    <t>PRIVI SPECIALITY CHE LTD</t>
  </si>
  <si>
    <t>PROSTARM</t>
  </si>
  <si>
    <t>PROSTARM INFO SYSTEMS LTD</t>
  </si>
  <si>
    <t>PROTEAN</t>
  </si>
  <si>
    <t>PROTEAN EGOV TECHNO LTD</t>
  </si>
  <si>
    <t>PROZONER</t>
  </si>
  <si>
    <t>PROZONE REALTY LIMITED</t>
  </si>
  <si>
    <t>PRSMJOHNSN</t>
  </si>
  <si>
    <t>PRISM JOHNSON LIMITED</t>
  </si>
  <si>
    <t>PRUDENT</t>
  </si>
  <si>
    <t>PRUDENT CORP ADV SER LTD</t>
  </si>
  <si>
    <t>PRUDMOULI</t>
  </si>
  <si>
    <t>PRUDENTIAL SUGAR CORPORAT</t>
  </si>
  <si>
    <t>PSB</t>
  </si>
  <si>
    <t>PUNJAB &amp; SIND BANK</t>
  </si>
  <si>
    <t>PSPPROJECT</t>
  </si>
  <si>
    <t>PSP PROJECTS LIMITED</t>
  </si>
  <si>
    <t>PTC</t>
  </si>
  <si>
    <t>PTC INDIA LIMITED</t>
  </si>
  <si>
    <t>PTCIL</t>
  </si>
  <si>
    <t>PTC INDUSTRIES LIMITED</t>
  </si>
  <si>
    <t>PTL</t>
  </si>
  <si>
    <t>PTL ENTERPRISES LTD</t>
  </si>
  <si>
    <t>PUNJABCHEM</t>
  </si>
  <si>
    <t>PUNJAB CHEM &amp; CROP PROT L</t>
  </si>
  <si>
    <t>PURVA</t>
  </si>
  <si>
    <t>PURAVANKARA LIMITED</t>
  </si>
  <si>
    <t>PVP</t>
  </si>
  <si>
    <t>PVP VENTURES LIMITED</t>
  </si>
  <si>
    <t>PVRINOX</t>
  </si>
  <si>
    <t>PVR INOX LIMITED</t>
  </si>
  <si>
    <t>PVSL</t>
  </si>
  <si>
    <t>POPULAR VEHICLES N SER L</t>
  </si>
  <si>
    <t>PWL</t>
  </si>
  <si>
    <t>PHYSICSWALLAH LIMITED</t>
  </si>
  <si>
    <t>PYRAMID</t>
  </si>
  <si>
    <t>PYRAMID TECHNOPLAST LTD</t>
  </si>
  <si>
    <t>QPOWER</t>
  </si>
  <si>
    <t>QUALITY POWER ELEC EQUP L</t>
  </si>
  <si>
    <t>QUADFUTURE</t>
  </si>
  <si>
    <t>QUADRANT FUTURE TEK LTD</t>
  </si>
  <si>
    <t>QUESS</t>
  </si>
  <si>
    <t>QUESS CORP LIMITED</t>
  </si>
  <si>
    <t>QUICKHEAL</t>
  </si>
  <si>
    <t>QUICK HEAL TECH LTD</t>
  </si>
  <si>
    <t>RACE</t>
  </si>
  <si>
    <t>RACE ECO CHAIN LIMITED</t>
  </si>
  <si>
    <t>RACLGEAR</t>
  </si>
  <si>
    <t>RACL GEARTECH LIMITED</t>
  </si>
  <si>
    <t>RADAAN</t>
  </si>
  <si>
    <t>RADAAN MEDIAWORKS (I) LTD</t>
  </si>
  <si>
    <t>RADHIKAJWE</t>
  </si>
  <si>
    <t>RADHIKA JEWELTECH LIMITED</t>
  </si>
  <si>
    <t>RADIANTCMS</t>
  </si>
  <si>
    <t>RADIANT CASH MGMT SER LTD</t>
  </si>
  <si>
    <t>RADICO</t>
  </si>
  <si>
    <t>RADICO KHAITAN LTD</t>
  </si>
  <si>
    <t>RADIOCITY</t>
  </si>
  <si>
    <t>MUSIC BROADCAST LIMITED</t>
  </si>
  <si>
    <t>RAILTEL</t>
  </si>
  <si>
    <t>RAILTEL CORP OF IND LTD</t>
  </si>
  <si>
    <t>RAIN</t>
  </si>
  <si>
    <t>RAIN INDUSTRIES LIMITED</t>
  </si>
  <si>
    <t>RAINBOW</t>
  </si>
  <si>
    <t>RAINBOW CHILDRENS MED LTD</t>
  </si>
  <si>
    <t>RAJMET</t>
  </si>
  <si>
    <t>RAJNANDINI METAL LIMITED</t>
  </si>
  <si>
    <t>RAJOOENG</t>
  </si>
  <si>
    <t>RAJOO ENGINEERS LIMITED</t>
  </si>
  <si>
    <t>RAJRATAN</t>
  </si>
  <si>
    <t>RAJRATAN GLOBAL WIRE LTD</t>
  </si>
  <si>
    <t>RAJSREESUG</t>
  </si>
  <si>
    <t>RAJSHREE SUGAR &amp; CHEMICAL</t>
  </si>
  <si>
    <t>RAJTV</t>
  </si>
  <si>
    <t>RAJ TV NETWORK LTD</t>
  </si>
  <si>
    <t>RALLIS</t>
  </si>
  <si>
    <t>RALLIS INDIA LTD</t>
  </si>
  <si>
    <t>RAMANEWS</t>
  </si>
  <si>
    <t>SHREE RAMA NEWSPRINT LTD</t>
  </si>
  <si>
    <t>RAMAPHO</t>
  </si>
  <si>
    <t>RAMA PHOSPHATES LIMITED</t>
  </si>
  <si>
    <t>RAMASTEEL</t>
  </si>
  <si>
    <t>RAMA STEEL TUBES LIMITED</t>
  </si>
  <si>
    <t>RAMCOCEM</t>
  </si>
  <si>
    <t>THE RAMCO CEMENTS LIMITED</t>
  </si>
  <si>
    <t>RAMCOIND</t>
  </si>
  <si>
    <t>RAMCO INDUSTRIES LIMITED</t>
  </si>
  <si>
    <t>RAMCOSYS</t>
  </si>
  <si>
    <t>RAMCO SYSTEMS LTD.</t>
  </si>
  <si>
    <t>RAMKY</t>
  </si>
  <si>
    <t>RAMKY INFRA LTD</t>
  </si>
  <si>
    <t>RAMRAT</t>
  </si>
  <si>
    <t>RAM RATNA WIRES LIMITED</t>
  </si>
  <si>
    <t>RANASUG</t>
  </si>
  <si>
    <t>RANA SUGARS LTD.</t>
  </si>
  <si>
    <t>RANEHOLDIN</t>
  </si>
  <si>
    <t>RANE HOLDINGS LIMITED</t>
  </si>
  <si>
    <t>RATEGAIN</t>
  </si>
  <si>
    <t>RATEGAIN TRAVEL TECHN LTD</t>
  </si>
  <si>
    <t>RATNAMANI</t>
  </si>
  <si>
    <t>RATNAMANI MET &amp; TUB LTD.</t>
  </si>
  <si>
    <t>RATNAVEER</t>
  </si>
  <si>
    <t>RATNAVEER PRECISION ENG L</t>
  </si>
  <si>
    <t>RAYMOND</t>
  </si>
  <si>
    <t>RAYMOND LTD</t>
  </si>
  <si>
    <t>RAYMONDLSL</t>
  </si>
  <si>
    <t>RAYMOND LIFESTYLE LIMITED</t>
  </si>
  <si>
    <t>RAYMONDREL</t>
  </si>
  <si>
    <t>RAYMOND REALTY LIMITED</t>
  </si>
  <si>
    <t>RBA</t>
  </si>
  <si>
    <t>RESTAURANT BRAND ASIA LTD</t>
  </si>
  <si>
    <t>RBLBANK</t>
  </si>
  <si>
    <t>RBL BANK LIMITED</t>
  </si>
  <si>
    <t>RBZJEWEL</t>
  </si>
  <si>
    <t>RBZ JEWELLERS LIMITED</t>
  </si>
  <si>
    <t>RCF</t>
  </si>
  <si>
    <t>RASHTRIYA CHEMICALS &amp; FER</t>
  </si>
  <si>
    <t>REDINGTON</t>
  </si>
  <si>
    <t>REDINGTON LIMITED</t>
  </si>
  <si>
    <t>REDTAPE</t>
  </si>
  <si>
    <t>REDTAPE LIMITED</t>
  </si>
  <si>
    <t>REFEX</t>
  </si>
  <si>
    <t>REFEX INDUSTRIES LIMITED</t>
  </si>
  <si>
    <t>REGAAL</t>
  </si>
  <si>
    <t>REGAAL RESOURCES LIMITED</t>
  </si>
  <si>
    <t>REGENCERAM</t>
  </si>
  <si>
    <t>REGENCY CERAMICS LTD.</t>
  </si>
  <si>
    <t>RELAXO</t>
  </si>
  <si>
    <t>RELAXO FOOT LTD.</t>
  </si>
  <si>
    <t>RELCHEMQ</t>
  </si>
  <si>
    <t>RELIANCE CHEMOTEX IND LTD</t>
  </si>
  <si>
    <t>RELIABLE</t>
  </si>
  <si>
    <t>RELIABLE DATA SERVICE LTD</t>
  </si>
  <si>
    <t>RELIGARE</t>
  </si>
  <si>
    <t>RELIGARE ENTER. LTD.</t>
  </si>
  <si>
    <t>RELTD</t>
  </si>
  <si>
    <t>RAVINDRA ENERGY LIMITED</t>
  </si>
  <si>
    <t>REMSONSIND</t>
  </si>
  <si>
    <t>REMSONS INDUSTRIES LTD</t>
  </si>
  <si>
    <t>RENUKA</t>
  </si>
  <si>
    <t>SHREE RENUKA SUGARS LTD</t>
  </si>
  <si>
    <t>REPCOHOME</t>
  </si>
  <si>
    <t>REPCO HOME FINANCE LTD</t>
  </si>
  <si>
    <t>REPL</t>
  </si>
  <si>
    <t>RUDRABHISHEK ENTERP LTD</t>
  </si>
  <si>
    <t>REPRO</t>
  </si>
  <si>
    <t>REPRO INDIA LIMITED</t>
  </si>
  <si>
    <t>RESPONIND</t>
  </si>
  <si>
    <t>RESPONSIVE INDUSTRIES LTD</t>
  </si>
  <si>
    <t>RETAIL</t>
  </si>
  <si>
    <t>JHS SVENDGAARD RETAIL V L</t>
  </si>
  <si>
    <t>RGL</t>
  </si>
  <si>
    <t>RENAISSANCE GLOBAL LTD</t>
  </si>
  <si>
    <t>RHETAN</t>
  </si>
  <si>
    <t>RHETAN TMT LIMITED</t>
  </si>
  <si>
    <t>RHIM</t>
  </si>
  <si>
    <t>RHI MAGNESITA INDIA LTD</t>
  </si>
  <si>
    <t>RHL</t>
  </si>
  <si>
    <t>ROBUST HOTELS LIMITED</t>
  </si>
  <si>
    <t>RICOAUTO</t>
  </si>
  <si>
    <t>RICO AUTO INDUSTRIES LTD</t>
  </si>
  <si>
    <t>RIIL</t>
  </si>
  <si>
    <t>RELIANCE INDUSTRIAL INFRA</t>
  </si>
  <si>
    <t>RISHABH</t>
  </si>
  <si>
    <t>RISHABH INSTRUMENTS LTD</t>
  </si>
  <si>
    <t>RITCO</t>
  </si>
  <si>
    <t>RITCO LOGISTICS LIMITED</t>
  </si>
  <si>
    <t>RITES</t>
  </si>
  <si>
    <t>RITES LIMITED</t>
  </si>
  <si>
    <t>RKDL</t>
  </si>
  <si>
    <t>RAVI KUMAR DIST. LTD.</t>
  </si>
  <si>
    <t>RKEC</t>
  </si>
  <si>
    <t>RKEC PROJECTS LIMITED</t>
  </si>
  <si>
    <t>RKFORGE</t>
  </si>
  <si>
    <t>RAMKRISHNA FORGINGS LTD</t>
  </si>
  <si>
    <t>RKSWAMY</t>
  </si>
  <si>
    <t>R K SWAMY LIMITED</t>
  </si>
  <si>
    <t>RMDRIP</t>
  </si>
  <si>
    <t>R M DRIP &amp; SPRINK SYS LTD</t>
  </si>
  <si>
    <t>RML</t>
  </si>
  <si>
    <t>RANE (MADRAS) LIMITED</t>
  </si>
  <si>
    <t>ROHLTD</t>
  </si>
  <si>
    <t>ROYAL ORCHID HOTELS LTD</t>
  </si>
  <si>
    <t>ROLEXRINGS</t>
  </si>
  <si>
    <t>ROLEX RINGS LIMITED</t>
  </si>
  <si>
    <t>ROML</t>
  </si>
  <si>
    <t>RAJ OIL MILLS LIMITED</t>
  </si>
  <si>
    <t>ROSSARI</t>
  </si>
  <si>
    <t>ROSSARI BIOTECH LIMITED</t>
  </si>
  <si>
    <t>ROSSELLIND</t>
  </si>
  <si>
    <t>ROSSELL INDIA LIMITED</t>
  </si>
  <si>
    <t>ROSSTECH</t>
  </si>
  <si>
    <t>ROSSELL TECHSYS LIMITED</t>
  </si>
  <si>
    <t>ROTO</t>
  </si>
  <si>
    <t>ROTO PUMPS LIMITED</t>
  </si>
  <si>
    <t>ROUTE</t>
  </si>
  <si>
    <t>ROUTE MOBILE LIMITED</t>
  </si>
  <si>
    <t>RPEL</t>
  </si>
  <si>
    <t>RAGHAV PRODUCTIVITY ENH L</t>
  </si>
  <si>
    <t>RPGLIFE</t>
  </si>
  <si>
    <t>RPG LIFE SCIENCES LTD</t>
  </si>
  <si>
    <t>RPOWER</t>
  </si>
  <si>
    <t>RELIANCE POWER LTD.</t>
  </si>
  <si>
    <t>RPPINFRA</t>
  </si>
  <si>
    <t>R.P.P INFRA PROJECTS LTD</t>
  </si>
  <si>
    <t>RPPL</t>
  </si>
  <si>
    <t>RAJSHREE POLYPACK LTD</t>
  </si>
  <si>
    <t>RPSGVENT</t>
  </si>
  <si>
    <t>RPSG VENTURES LIMITED</t>
  </si>
  <si>
    <t>RPTECH</t>
  </si>
  <si>
    <t>RASHI PERIPHERALS LIMITED</t>
  </si>
  <si>
    <t>RRKABEL</t>
  </si>
  <si>
    <t>R R KABEL LIMITED</t>
  </si>
  <si>
    <t>RSL</t>
  </si>
  <si>
    <t>RAJPUTANA STAINLESS LTD</t>
  </si>
  <si>
    <t>RSSOFTWARE</t>
  </si>
  <si>
    <t>R. S. SOFTWARE (INDIA) LI</t>
  </si>
  <si>
    <t>RSWM</t>
  </si>
  <si>
    <t>RSWM LIMITED</t>
  </si>
  <si>
    <t>RSYSTEMS</t>
  </si>
  <si>
    <t>R SYS INTERNATIONAL LTD</t>
  </si>
  <si>
    <t>RTNINDIA</t>
  </si>
  <si>
    <t>RATTANINDIA ENT LIMITED</t>
  </si>
  <si>
    <t>RTNPOWER</t>
  </si>
  <si>
    <t>RATTANINDIA POWER LIMITED</t>
  </si>
  <si>
    <t>RUBFILA</t>
  </si>
  <si>
    <t>RUBFILA INTERNATIONAL LTD</t>
  </si>
  <si>
    <t>RUBICON</t>
  </si>
  <si>
    <t>RUBICON RESEARCH LIMITED</t>
  </si>
  <si>
    <t>RUBYMILLS</t>
  </si>
  <si>
    <t>THE RUBY MILLS LTD</t>
  </si>
  <si>
    <t>RUCHINFRA</t>
  </si>
  <si>
    <t>RUCHI INFRASTRUCTURE LTD</t>
  </si>
  <si>
    <t>RUCHIRA</t>
  </si>
  <si>
    <t>RUCHIRA PAPERS LIMITED</t>
  </si>
  <si>
    <t>RUDRA</t>
  </si>
  <si>
    <t>RUDRA GLOBAL INFRA PROD L</t>
  </si>
  <si>
    <t>RUPA</t>
  </si>
  <si>
    <t>RUPA &amp; COMPANY LTD</t>
  </si>
  <si>
    <t>RUSHIL</t>
  </si>
  <si>
    <t>RUSHIL DECOR LIMITED</t>
  </si>
  <si>
    <t>RUSTOMJEE</t>
  </si>
  <si>
    <t>KEYSTONE REALTORS LIMITED</t>
  </si>
  <si>
    <t>RVHL</t>
  </si>
  <si>
    <t>RAVINDER HEIGHTS LIMITED</t>
  </si>
  <si>
    <t>RVNL</t>
  </si>
  <si>
    <t>RAIL VIKAS NIGAM LIMITED</t>
  </si>
  <si>
    <t>RVTH</t>
  </si>
  <si>
    <t>REVATHI EQUIPMENT INDIA L</t>
  </si>
  <si>
    <t>SAATVIKGL</t>
  </si>
  <si>
    <t>SAATVIK GREEN ENERGY LTD</t>
  </si>
  <si>
    <t>SADBHIN</t>
  </si>
  <si>
    <t>SADBHAV INFRA PROJ LTD.</t>
  </si>
  <si>
    <t>SADHNANIQ</t>
  </si>
  <si>
    <t>SADHANA NITROCHEM LIMITED</t>
  </si>
  <si>
    <t>SAFARI</t>
  </si>
  <si>
    <t>SAFARI IND (INDIA) LTD</t>
  </si>
  <si>
    <t>SAGARDEEP</t>
  </si>
  <si>
    <t>SAGARDEEP ALLOYS LIMITED</t>
  </si>
  <si>
    <t>SAGCEM</t>
  </si>
  <si>
    <t>SAGAR CEMENTS LIMITED</t>
  </si>
  <si>
    <t>SAGILITY</t>
  </si>
  <si>
    <t>SAGILITY LIMITED</t>
  </si>
  <si>
    <t>SAHYADRI</t>
  </si>
  <si>
    <t>SAHYADRI INDUSTRIES LTD</t>
  </si>
  <si>
    <t>SAIL</t>
  </si>
  <si>
    <t>STEEL AUTHORITY OF INDIA</t>
  </si>
  <si>
    <t>SAILIFE</t>
  </si>
  <si>
    <t>SAI LIFE SCIENCES LIMITED</t>
  </si>
  <si>
    <t>SAKAR</t>
  </si>
  <si>
    <t>SAKAR HEALTHCARE LIMITED</t>
  </si>
  <si>
    <t>SAKHTISUG</t>
  </si>
  <si>
    <t>SAKTHI SUGARS LTD</t>
  </si>
  <si>
    <t>SAKSOFT</t>
  </si>
  <si>
    <t>SAKSOFT LIMITED</t>
  </si>
  <si>
    <t>SAKUMA</t>
  </si>
  <si>
    <t>SAKUMA EXPORTS LIMITED</t>
  </si>
  <si>
    <t>SALASAR</t>
  </si>
  <si>
    <t>SALASAR TECHNO ENGG. LTD.</t>
  </si>
  <si>
    <t>SALONA</t>
  </si>
  <si>
    <t>SALONA COTSPIN LTD.</t>
  </si>
  <si>
    <t>SALZERELEC</t>
  </si>
  <si>
    <t>SALZER ELECTRONICS LTD</t>
  </si>
  <si>
    <t>SAMBHAAV</t>
  </si>
  <si>
    <t>SAMBHAAV MEDIA LTD</t>
  </si>
  <si>
    <t>SAMBHV</t>
  </si>
  <si>
    <t>SAMBHV STEEL TUBES LTD</t>
  </si>
  <si>
    <t>SAMHI</t>
  </si>
  <si>
    <t>SAMHI HOTELS LIMITED</t>
  </si>
  <si>
    <t>SAMMAANCAP</t>
  </si>
  <si>
    <t>SAMMAAN CAPITAL LIMITED</t>
  </si>
  <si>
    <t>SAMPANN</t>
  </si>
  <si>
    <t>SAMPANN UTPADAN INDIA LTD</t>
  </si>
  <si>
    <t>SANATHAN</t>
  </si>
  <si>
    <t>SANATHAN TEXTILES LIMITED</t>
  </si>
  <si>
    <t>SANDESH</t>
  </si>
  <si>
    <t>SANDESH LTD</t>
  </si>
  <si>
    <t>SANDHAR</t>
  </si>
  <si>
    <t>SANDHAR TECHNOLOGIES LTD</t>
  </si>
  <si>
    <t>SANDUMA</t>
  </si>
  <si>
    <t>SANDUR MANG &amp; IRON ORES L</t>
  </si>
  <si>
    <t>SANGAMIND</t>
  </si>
  <si>
    <t>SANGAM (INDIA) LTD</t>
  </si>
  <si>
    <t>SANGHIIND</t>
  </si>
  <si>
    <t>SANGHI INDUSTRIES LTD</t>
  </si>
  <si>
    <t>SANGHVIMOV</t>
  </si>
  <si>
    <t>SANGHVI MOVERS LTD</t>
  </si>
  <si>
    <t>SANOFI</t>
  </si>
  <si>
    <t>SANOFI INDIA LIMITED</t>
  </si>
  <si>
    <t>SANOFICONR</t>
  </si>
  <si>
    <t>SANOFI CONS HEALTHC IND L</t>
  </si>
  <si>
    <t>SANSERA</t>
  </si>
  <si>
    <t>SANSERA ENGINEERING LTD</t>
  </si>
  <si>
    <t>SANSTAR</t>
  </si>
  <si>
    <t>SANSTAR LIMITED</t>
  </si>
  <si>
    <t>SAPPHIRE</t>
  </si>
  <si>
    <t>SAPPHIRE FOODS INDIA LTD</t>
  </si>
  <si>
    <t>SARDAEN</t>
  </si>
  <si>
    <t>SARDA ENERGY &amp; MIN LTD</t>
  </si>
  <si>
    <t>SAREGAMA</t>
  </si>
  <si>
    <t>SAREGAMA INDIA LIMITED</t>
  </si>
  <si>
    <t>SARLAPOLY</t>
  </si>
  <si>
    <t>SARLA PERF. FIBERS LTD</t>
  </si>
  <si>
    <t>SARVESHWAR</t>
  </si>
  <si>
    <t>SARVESHWAR FOODS LIMITED</t>
  </si>
  <si>
    <t>SASKEN</t>
  </si>
  <si>
    <t>SASKEN TECHNOLOGIES LTD</t>
  </si>
  <si>
    <t>SASTASUNDR</t>
  </si>
  <si>
    <t>SASTASUNDAR VENTURES LTD</t>
  </si>
  <si>
    <t>SATIA</t>
  </si>
  <si>
    <t>SATIA INDUSTRIES LIMITED</t>
  </si>
  <si>
    <t>SATIN</t>
  </si>
  <si>
    <t>SATIN CREDIT NET LTD</t>
  </si>
  <si>
    <t>SAURASHCEM</t>
  </si>
  <si>
    <t>SAURASHTRA CEMENT LIMITED</t>
  </si>
  <si>
    <t>SBC</t>
  </si>
  <si>
    <t>SBC EXPORTS LIMITED</t>
  </si>
  <si>
    <t>SBCL</t>
  </si>
  <si>
    <t>SHIVALIK BIMETAL CON. LTD</t>
  </si>
  <si>
    <t>SBFC</t>
  </si>
  <si>
    <t>SBFC FINANCE LIMITED</t>
  </si>
  <si>
    <t>SBGLP</t>
  </si>
  <si>
    <t>SURATWWALA BUS GROUP LTD</t>
  </si>
  <si>
    <t>SBICARD</t>
  </si>
  <si>
    <t>SBI CARDS &amp; PAY SER LTD</t>
  </si>
  <si>
    <t>SCHAEFFLER</t>
  </si>
  <si>
    <t>SCHAEFFLER INDIA LIMITED</t>
  </si>
  <si>
    <t>SCHAND</t>
  </si>
  <si>
    <t>S CHAND AND COMPANY LTD</t>
  </si>
  <si>
    <t>SCI</t>
  </si>
  <si>
    <t>SHIPPING CORP OF INDIA LT</t>
  </si>
  <si>
    <t>SCILAL</t>
  </si>
  <si>
    <t>SHIPPING CORP OF ILA LTD</t>
  </si>
  <si>
    <t>SCODATUBES</t>
  </si>
  <si>
    <t>SCODA TUBES LIMITED</t>
  </si>
  <si>
    <t>SDBL</t>
  </si>
  <si>
    <t>SOM DIST &amp; BREW LTD</t>
  </si>
  <si>
    <t>SEAMECLTD</t>
  </si>
  <si>
    <t>SEAMEC LIMITED</t>
  </si>
  <si>
    <t>SECMARK</t>
  </si>
  <si>
    <t>SECMARK CONSULTANCY LTD</t>
  </si>
  <si>
    <t>SECURKLOUD</t>
  </si>
  <si>
    <t>SECUREKLOUD TECH LIMITED</t>
  </si>
  <si>
    <t>SEDEMAC</t>
  </si>
  <si>
    <t>SEDEMAC MECHATRONICS LTD</t>
  </si>
  <si>
    <t>SEJALLTD</t>
  </si>
  <si>
    <t>SEJAL GLASS LIMITED</t>
  </si>
  <si>
    <t>SELMC</t>
  </si>
  <si>
    <t>SEL MANUFACTURING CO LTD</t>
  </si>
  <si>
    <t>SEMAC</t>
  </si>
  <si>
    <t>SEMAC CONSTRUCTION LTD</t>
  </si>
  <si>
    <t>SENCO</t>
  </si>
  <si>
    <t>SENCO GOLD LIMITED</t>
  </si>
  <si>
    <t>SENORES</t>
  </si>
  <si>
    <t>SENORES PHARMACEUTICALS L</t>
  </si>
  <si>
    <t>SEPC</t>
  </si>
  <si>
    <t>SEPC LIMITED</t>
  </si>
  <si>
    <t>SERVOTECH</t>
  </si>
  <si>
    <t>SERVOTECH REN POW SYS LTD</t>
  </si>
  <si>
    <t>SESHAPAPER</t>
  </si>
  <si>
    <t>SESHASAYEE PAPER &amp; BOARDS</t>
  </si>
  <si>
    <t>SETCO</t>
  </si>
  <si>
    <t>SETCO AUTOMOTIVE LTD</t>
  </si>
  <si>
    <t>SETL</t>
  </si>
  <si>
    <t>STANDARD ENGNG TCNLGY LTD</t>
  </si>
  <si>
    <t>SFL</t>
  </si>
  <si>
    <t>SHEELA FOAM LIMITED</t>
  </si>
  <si>
    <t>SGFIN</t>
  </si>
  <si>
    <t>SG FINSERVE LIMITED</t>
  </si>
  <si>
    <t>SGIL</t>
  </si>
  <si>
    <t>SYNERGY GREEN IND. LTD</t>
  </si>
  <si>
    <t>SGL</t>
  </si>
  <si>
    <t>STL GLOBAL LIMITED</t>
  </si>
  <si>
    <t>SGMART</t>
  </si>
  <si>
    <t>SG MART LIMITED</t>
  </si>
  <si>
    <t>SHADOWFAX</t>
  </si>
  <si>
    <t>SHADOWFAX TECHNOLOGIES L</t>
  </si>
  <si>
    <t>SHAH</t>
  </si>
  <si>
    <t>SHAH METACORP LIMITED</t>
  </si>
  <si>
    <t>SHAHALLOYS</t>
  </si>
  <si>
    <t>SHAH ALLOYS LIMITED</t>
  </si>
  <si>
    <t>SHAILY</t>
  </si>
  <si>
    <t>SHAILY ENG PLASTICS LTD</t>
  </si>
  <si>
    <t>SHAKTIPUMP</t>
  </si>
  <si>
    <t>SHAKTI PUMPS (I) LTD</t>
  </si>
  <si>
    <t>SHALBY</t>
  </si>
  <si>
    <t>SHALBY LIMITED</t>
  </si>
  <si>
    <t>SHALPAINTS</t>
  </si>
  <si>
    <t>SHALIM PAINTS LTD</t>
  </si>
  <si>
    <t>SHANTI</t>
  </si>
  <si>
    <t>SHANTI OVERSEAS INDIA LTD</t>
  </si>
  <si>
    <t>SHANTIGEAR</t>
  </si>
  <si>
    <t>SHANTHI GEARS LTD</t>
  </si>
  <si>
    <t>SHANTIGOLD</t>
  </si>
  <si>
    <t>SHANTI GOLD INTERNATION L</t>
  </si>
  <si>
    <t>SHARDACROP</t>
  </si>
  <si>
    <t>SHARDA CROPCHEM LTD.</t>
  </si>
  <si>
    <t>SHARDAMOTR</t>
  </si>
  <si>
    <t>SHARDA MOTOR INDS LTD</t>
  </si>
  <si>
    <t>SHAREINDIA</t>
  </si>
  <si>
    <t>SHARE IND. SECURITIES LTD</t>
  </si>
  <si>
    <t>SHEKHAWATI</t>
  </si>
  <si>
    <t>SHEKHAWATI INDUSTRIES LTD</t>
  </si>
  <si>
    <t>SHEMAROO</t>
  </si>
  <si>
    <t>SHEMAROO ENTER. LTD.</t>
  </si>
  <si>
    <t>SHILCTECH</t>
  </si>
  <si>
    <t>SHILCHAR TECHNOLOGIES LTD</t>
  </si>
  <si>
    <t>SHILPAMED</t>
  </si>
  <si>
    <t>SHILPA MEDICARE LTD</t>
  </si>
  <si>
    <t>SHIVALIK</t>
  </si>
  <si>
    <t>SHIVALIK RASAYAN LIMITED</t>
  </si>
  <si>
    <t>SHIVAMAUTO</t>
  </si>
  <si>
    <t>SHIVAM AUTO.LTD</t>
  </si>
  <si>
    <t>SHIVAMILLS</t>
  </si>
  <si>
    <t>SHIVA MILLS LIMITED</t>
  </si>
  <si>
    <t>SHIVATEX</t>
  </si>
  <si>
    <t>SHIVA TEXYARN LIMITED</t>
  </si>
  <si>
    <t>SHIVAUM</t>
  </si>
  <si>
    <t>SHIV AUM STEELS LIMITED</t>
  </si>
  <si>
    <t>SHK</t>
  </si>
  <si>
    <t>S H KELKAR AND CO. LTD.</t>
  </si>
  <si>
    <t>SHOPERSTOP</t>
  </si>
  <si>
    <t>SHOPPERS STOP LIMITED</t>
  </si>
  <si>
    <t>SHRADHA</t>
  </si>
  <si>
    <t>SHRADHA REALTY LIMITED</t>
  </si>
  <si>
    <t>SHREDIGCEM</t>
  </si>
  <si>
    <t>SHREE DIGVIJAY CEM CO LTD</t>
  </si>
  <si>
    <t>SHREEJISPG</t>
  </si>
  <si>
    <t>SHREEJI SHIPPING GLOBAL L</t>
  </si>
  <si>
    <t>SHREEPUSHK</t>
  </si>
  <si>
    <t>SHRE PUSH CHEM &amp; FERT LTD</t>
  </si>
  <si>
    <t>SHREERAMA</t>
  </si>
  <si>
    <t>SHREE RAMA MULTI TECH LTD</t>
  </si>
  <si>
    <t>SHREYANIND</t>
  </si>
  <si>
    <t>SHREYANS INDUSTRIES LTD</t>
  </si>
  <si>
    <t>SHRINGARMS</t>
  </si>
  <si>
    <t>SHRINGAR HOU OF MANGALS L</t>
  </si>
  <si>
    <t>SHRIPISTON</t>
  </si>
  <si>
    <t>SHRIRAM PIST. &amp; RING LTD</t>
  </si>
  <si>
    <t>SHRIRAMPPS</t>
  </si>
  <si>
    <t>SHRIRAM PROPERTIES LTD</t>
  </si>
  <si>
    <t>SHYAMCENT</t>
  </si>
  <si>
    <t>SHYAM CENTURY FERROUS LTD</t>
  </si>
  <si>
    <t>SHYAMMETL</t>
  </si>
  <si>
    <t>SHYAM METALICS AND ENGY L</t>
  </si>
  <si>
    <t>SHYAMTEL</t>
  </si>
  <si>
    <t>SHYAM TELECOM LIMITED</t>
  </si>
  <si>
    <t>SIGACHI</t>
  </si>
  <si>
    <t>SIGACHI INDUSTRIES LTD</t>
  </si>
  <si>
    <t>SIGIND</t>
  </si>
  <si>
    <t>SIGNET INDUSTRIES LIMITED</t>
  </si>
  <si>
    <t>SIGMA</t>
  </si>
  <si>
    <t>SIGMA SOLVE LIMITED</t>
  </si>
  <si>
    <t>SIGMAADV</t>
  </si>
  <si>
    <t>SIGMA ADVANCED SYSTEM LTD</t>
  </si>
  <si>
    <t>SIGNATURE</t>
  </si>
  <si>
    <t>SIGNATUREGLOBAL INDIA LTD</t>
  </si>
  <si>
    <t>SIGNPOST</t>
  </si>
  <si>
    <t>SIGNPOST INDIA LIMITED</t>
  </si>
  <si>
    <t>SIKKO</t>
  </si>
  <si>
    <t>SIKKO INDUSTRIES LIMITED</t>
  </si>
  <si>
    <t>SIL</t>
  </si>
  <si>
    <t>STANDARD INDUSTRIES LTD.</t>
  </si>
  <si>
    <t>SILGO</t>
  </si>
  <si>
    <t>SILGO RETAIL LIMITED</t>
  </si>
  <si>
    <t>SILINV</t>
  </si>
  <si>
    <t>SIL INVESTMENTS LIMITED</t>
  </si>
  <si>
    <t>SILLYMONKS</t>
  </si>
  <si>
    <t>SILLY MONKS ENTERTAIN LTD</t>
  </si>
  <si>
    <t>SILVERTUC</t>
  </si>
  <si>
    <t>SILVER TOUCH TECHNO LTD</t>
  </si>
  <si>
    <t>SIMPLEXINF</t>
  </si>
  <si>
    <t>SIMPLEX INFRASTRUCTURES L</t>
  </si>
  <si>
    <t>SINCLAIR</t>
  </si>
  <si>
    <t>SINCLAIRS HOTELS LIMITED</t>
  </si>
  <si>
    <t>SINDHUTRAD</t>
  </si>
  <si>
    <t>SINDHU TRADE LINKS LTD</t>
  </si>
  <si>
    <t>SINGERIND</t>
  </si>
  <si>
    <t>SINGER INDIA LIMITED</t>
  </si>
  <si>
    <t>SINTERCOM</t>
  </si>
  <si>
    <t>SINTERCOM INDIA LIMITED</t>
  </si>
  <si>
    <t>SIRCA</t>
  </si>
  <si>
    <t>SIRCA PAINT INDIA LIMITED</t>
  </si>
  <si>
    <t>SIS</t>
  </si>
  <si>
    <t>SIS LIMITED</t>
  </si>
  <si>
    <t>SIYSIL</t>
  </si>
  <si>
    <t>SIYARAM SILK MILLS LTD</t>
  </si>
  <si>
    <t>SJS</t>
  </si>
  <si>
    <t>SJS ENTERPRISES LIMITED</t>
  </si>
  <si>
    <t>SJVN</t>
  </si>
  <si>
    <t>SJVN LTD</t>
  </si>
  <si>
    <t>SKFINDIA</t>
  </si>
  <si>
    <t>SKF INDIA LTD</t>
  </si>
  <si>
    <t>SKFINDUS</t>
  </si>
  <si>
    <t>SKF IND (INDUSTRIAL) LTD</t>
  </si>
  <si>
    <t>SKIPPER</t>
  </si>
  <si>
    <t>SKIPPER LIMITED</t>
  </si>
  <si>
    <t>SKMEGGPROD</t>
  </si>
  <si>
    <t>SKM EGG PROD EXPORT(I) LT</t>
  </si>
  <si>
    <t>SKYGOLD</t>
  </si>
  <si>
    <t>SKY GOLD AND DIAMONDS LTD</t>
  </si>
  <si>
    <t>SMARTLINK</t>
  </si>
  <si>
    <t>SMARTLINK HOLDINGS LTD</t>
  </si>
  <si>
    <t>SMARTWORKS</t>
  </si>
  <si>
    <t>SMARTWORKS COWORKING SP L</t>
  </si>
  <si>
    <t>SMCGLOBAL</t>
  </si>
  <si>
    <t>SMC GLOBAL SECURITIES LTD</t>
  </si>
  <si>
    <t>SMLMAH</t>
  </si>
  <si>
    <t>SML MAHINDRA LIMITED</t>
  </si>
  <si>
    <t>SMLT</t>
  </si>
  <si>
    <t>SARTHAK METALS LIMITED</t>
  </si>
  <si>
    <t>SMSPHARMA</t>
  </si>
  <si>
    <t>SMS PHARMACEUTICALS LTD.</t>
  </si>
  <si>
    <t>SNOWMAN</t>
  </si>
  <si>
    <t>SNOWMAN LOGISTICS LTD.</t>
  </si>
  <si>
    <t>SOBHA</t>
  </si>
  <si>
    <t>SOBHA LIMITED</t>
  </si>
  <si>
    <t>SOFTTECH</t>
  </si>
  <si>
    <t>SOFTTECH ENGINEERS LTD</t>
  </si>
  <si>
    <t>SOLARA</t>
  </si>
  <si>
    <t>SOLARA ACTIVE PHA SCI LTD</t>
  </si>
  <si>
    <t>SOLARWORLD</t>
  </si>
  <si>
    <t>SOLARWORLD ENERGY SOL LTD</t>
  </si>
  <si>
    <t>SOLEX</t>
  </si>
  <si>
    <t>SOLEX ENERGY LIMITED</t>
  </si>
  <si>
    <t>SOMANYCERA</t>
  </si>
  <si>
    <t>SOMANY CERAMICS LIMITED</t>
  </si>
  <si>
    <t>SOMICONVEY</t>
  </si>
  <si>
    <t>SOMI CONVEYOR BELT. LTD.</t>
  </si>
  <si>
    <t>SONACOMS</t>
  </si>
  <si>
    <t>SONA BLW PRECISION FRGS L</t>
  </si>
  <si>
    <t>SONAMLTD</t>
  </si>
  <si>
    <t>SONAM LIMITED</t>
  </si>
  <si>
    <t>SONATSOFTW</t>
  </si>
  <si>
    <t>SONATA SOFTWARE LTD</t>
  </si>
  <si>
    <t>SOTL</t>
  </si>
  <si>
    <t>SAVITA OIL TECHNOLO. LTD</t>
  </si>
  <si>
    <t>SOUTHBANK</t>
  </si>
  <si>
    <t>THE SOUTH INDIAN BANK LTD</t>
  </si>
  <si>
    <t>SOUTHWEST</t>
  </si>
  <si>
    <t>SOUTH WEST PINNACLE LTD</t>
  </si>
  <si>
    <t>SPAL</t>
  </si>
  <si>
    <t>S. P. APPARELS LIMITED</t>
  </si>
  <si>
    <t>SPANDANA</t>
  </si>
  <si>
    <t>SPANDANA SPHOORTY FIN LTD</t>
  </si>
  <si>
    <t>SPARC</t>
  </si>
  <si>
    <t>SUN PHARMA ADV.RES.CO.LTD</t>
  </si>
  <si>
    <t>SPCENET</t>
  </si>
  <si>
    <t>SPACENET ENTERS IND LTD</t>
  </si>
  <si>
    <t>SPECIALITY</t>
  </si>
  <si>
    <t>SPECIALITY REST LTD</t>
  </si>
  <si>
    <t>SPECTRUM</t>
  </si>
  <si>
    <t>SPECTRUM ELECTRIC IND LTD</t>
  </si>
  <si>
    <t>SPENCERS</t>
  </si>
  <si>
    <t>SPENCER S RETAIL LIMITED</t>
  </si>
  <si>
    <t>SPIC</t>
  </si>
  <si>
    <t>SPIC LTD</t>
  </si>
  <si>
    <t>SPLIL</t>
  </si>
  <si>
    <t>SPL INDUSTRIES LIMITED</t>
  </si>
  <si>
    <t>SPLPETRO</t>
  </si>
  <si>
    <t>SUPREME PETROCHEM LIMITED</t>
  </si>
  <si>
    <t>SPMLINFRA</t>
  </si>
  <si>
    <t>SPML INFRA LIMITED</t>
  </si>
  <si>
    <t>SPORTKING</t>
  </si>
  <si>
    <t>SPORTKING INDIA LIMITED</t>
  </si>
  <si>
    <t>SRD</t>
  </si>
  <si>
    <t>SHANKAR LAL RAMPAL LTD</t>
  </si>
  <si>
    <t>SREEL</t>
  </si>
  <si>
    <t>SREELEATHERS LIMITED</t>
  </si>
  <si>
    <t>SRF</t>
  </si>
  <si>
    <t>SRF LTD</t>
  </si>
  <si>
    <t>SRGHFL</t>
  </si>
  <si>
    <t>SRG HOUSING FINANCE L</t>
  </si>
  <si>
    <t>SRHHYPOLTD</t>
  </si>
  <si>
    <t>SREE RAYALSEEMA HHP LTD.</t>
  </si>
  <si>
    <t>SRM</t>
  </si>
  <si>
    <t>SRM CONTRACTORS LIMITED</t>
  </si>
  <si>
    <t>SRTL</t>
  </si>
  <si>
    <t>SHREE RAM TWISTEX LIMITED</t>
  </si>
  <si>
    <t>SSDL</t>
  </si>
  <si>
    <t>SARASWATI SAREE DEPOT LTD</t>
  </si>
  <si>
    <t>SSWL</t>
  </si>
  <si>
    <t>STEEL STRIPS WHEELS LTD.</t>
  </si>
  <si>
    <t>STALLION</t>
  </si>
  <si>
    <t>STALLION IND FLUOROCHEM L</t>
  </si>
  <si>
    <t>STANLEY</t>
  </si>
  <si>
    <t>STANLEY LIFESTYLES LTD</t>
  </si>
  <si>
    <t>STAR</t>
  </si>
  <si>
    <t>STRIDES PHARMA SCI LTD</t>
  </si>
  <si>
    <t>STARCEMENT</t>
  </si>
  <si>
    <t>STAR CEMENT LIMITED</t>
  </si>
  <si>
    <t>STARHEALTH</t>
  </si>
  <si>
    <t>STAR HEALTH &amp; AL INS CO L</t>
  </si>
  <si>
    <t>STARPAPER</t>
  </si>
  <si>
    <t>STAR PAPER MILLS LTD</t>
  </si>
  <si>
    <t>STARTECK</t>
  </si>
  <si>
    <t>STARTECK FINANCE LIMITED</t>
  </si>
  <si>
    <t>STCINDIA</t>
  </si>
  <si>
    <t>THE STATE TRADING CORPN</t>
  </si>
  <si>
    <t>STEELCAS</t>
  </si>
  <si>
    <t>STEELCAST LIMITED</t>
  </si>
  <si>
    <t>STEELCITY</t>
  </si>
  <si>
    <t>STEEL CITY SECURITIES LTD</t>
  </si>
  <si>
    <t>STEELXIND</t>
  </si>
  <si>
    <t>STEEL EXCHANGE INDIA LTD</t>
  </si>
  <si>
    <t>STEL</t>
  </si>
  <si>
    <t>STEL HOLDINGS LIMITED</t>
  </si>
  <si>
    <t>STERTOOLS</t>
  </si>
  <si>
    <t>STERLING TOOLS LIMITED</t>
  </si>
  <si>
    <t>STLNETWORK</t>
  </si>
  <si>
    <t>STL NETWORKS LIMITED</t>
  </si>
  <si>
    <t>STLTECH</t>
  </si>
  <si>
    <t>STERLITE TECHNOLOGIES LTD</t>
  </si>
  <si>
    <t>STOVEKRAFT</t>
  </si>
  <si>
    <t>STOVE KRAFT LIMITED</t>
  </si>
  <si>
    <t>STUDDS</t>
  </si>
  <si>
    <t>STUDDS ACCESSORIES LTD</t>
  </si>
  <si>
    <t>STYL</t>
  </si>
  <si>
    <t>SESHAASAI TECHNOLOGIES L</t>
  </si>
  <si>
    <t>STYLAMIND</t>
  </si>
  <si>
    <t>STYLAM INDUSTRIES LIMITED</t>
  </si>
  <si>
    <t>STYLEBAAZA</t>
  </si>
  <si>
    <t>BAAZAR STYLE RETAIL LTD</t>
  </si>
  <si>
    <t>STYRENIX</t>
  </si>
  <si>
    <t>STYRENIX PERFORMANCE LTD</t>
  </si>
  <si>
    <t>SUBEXLTD</t>
  </si>
  <si>
    <t>SUBEX LTD</t>
  </si>
  <si>
    <t>SUBROS</t>
  </si>
  <si>
    <t>SUBROS LIMITED</t>
  </si>
  <si>
    <t>SUDARCOLOR</t>
  </si>
  <si>
    <t>SUDARSHAN COLORNT IND LTD</t>
  </si>
  <si>
    <t>SUDARSCHEM</t>
  </si>
  <si>
    <t>SUDARSHAN CHEMICAL INDS L</t>
  </si>
  <si>
    <t>SUDEEPPHRM</t>
  </si>
  <si>
    <t>SUDEEP PHARMA LIMITED</t>
  </si>
  <si>
    <t>SUKHJITS</t>
  </si>
  <si>
    <t>SUKHJIT STARCH &amp; CHEM LTD</t>
  </si>
  <si>
    <t>SULA</t>
  </si>
  <si>
    <t>SULA VINEYARDS LIMITED</t>
  </si>
  <si>
    <t>SUMEETINDS</t>
  </si>
  <si>
    <t>SUMEET IND LIMITED</t>
  </si>
  <si>
    <t>SUMICHEM</t>
  </si>
  <si>
    <t>SUMITOMO CHEM INDIA LTD</t>
  </si>
  <si>
    <t>SUMIT</t>
  </si>
  <si>
    <t>SUMIT WOODS LIMITED</t>
  </si>
  <si>
    <t>SUMMITSEC</t>
  </si>
  <si>
    <t>SUMMIT SECURITIES LTD</t>
  </si>
  <si>
    <t>SUNCLAY</t>
  </si>
  <si>
    <t>SUNDARAM CLAYTON LIMITED</t>
  </si>
  <si>
    <t>SUNDARAM</t>
  </si>
  <si>
    <t>SUNDARAM MULTI PAP LTD</t>
  </si>
  <si>
    <t>SUNDARMFIN</t>
  </si>
  <si>
    <t>SUNDARAM FINANCE LTD</t>
  </si>
  <si>
    <t>SUNDRMBRAK</t>
  </si>
  <si>
    <t>SUNDARAM BRAK LININGS LTD</t>
  </si>
  <si>
    <t>SUNDRMFAST</t>
  </si>
  <si>
    <t>SUNDRAM FASTENERS LTD</t>
  </si>
  <si>
    <t>SUNDROP</t>
  </si>
  <si>
    <t>SUNDROP BRANDS LIMITED</t>
  </si>
  <si>
    <t>SUNFLAG</t>
  </si>
  <si>
    <t>SUNFLAG IRON AND STEEL CO</t>
  </si>
  <si>
    <t>SUNTECK</t>
  </si>
  <si>
    <t>SUNTECK REALTY LIMITED</t>
  </si>
  <si>
    <t>SUNTV</t>
  </si>
  <si>
    <t>SUN TV NETWORK LIMITED</t>
  </si>
  <si>
    <t>SUPERHOUSE</t>
  </si>
  <si>
    <t>SUPERHOUSE LIMITED</t>
  </si>
  <si>
    <t>SUPERSPIN</t>
  </si>
  <si>
    <t>SUPER SPINNING MILLS LTD</t>
  </si>
  <si>
    <t>SUPRAJIT</t>
  </si>
  <si>
    <t>SUPRAJIT ENGINEERING LTD</t>
  </si>
  <si>
    <t>SUPREME</t>
  </si>
  <si>
    <t>SUPREME HOLDIN N HOSP I L</t>
  </si>
  <si>
    <t>SUPREMEIND</t>
  </si>
  <si>
    <t>SUPREME INDUSTRIES LTD</t>
  </si>
  <si>
    <t>SUPRIYA</t>
  </si>
  <si>
    <t>SUPRIYA LIFESCIENCE LTD</t>
  </si>
  <si>
    <t>SURAJEST</t>
  </si>
  <si>
    <t>SURAJ ESTATE DEVELOPERS L</t>
  </si>
  <si>
    <t>SURAJLTD</t>
  </si>
  <si>
    <t>SURAJ LIMITED</t>
  </si>
  <si>
    <t>SURAKSHA</t>
  </si>
  <si>
    <t>SURAKSHA DIAGNOSTIC LTD</t>
  </si>
  <si>
    <t>SURANASOL</t>
  </si>
  <si>
    <t>SURANA SOLAR LIMITED</t>
  </si>
  <si>
    <t>SURANAT&amp;P</t>
  </si>
  <si>
    <t>SURANA TELECOM AND POW LT</t>
  </si>
  <si>
    <t>SURYALAXMI</t>
  </si>
  <si>
    <t>SURYALAKSHMI COT MIL LTD</t>
  </si>
  <si>
    <t>SURYAROSNI</t>
  </si>
  <si>
    <t>SURYA ROSHNI LTD</t>
  </si>
  <si>
    <t>SURYODAY</t>
  </si>
  <si>
    <t>SURYODAY SMALL FIN BK LTD</t>
  </si>
  <si>
    <t>SUTLEJTEX</t>
  </si>
  <si>
    <t>SUTLEJ TEXT &amp; INDUS LTD</t>
  </si>
  <si>
    <t>SUVEN</t>
  </si>
  <si>
    <t>SUVEN LIFE SCIENCES LTD</t>
  </si>
  <si>
    <t>SUVIDHAA</t>
  </si>
  <si>
    <t>SUVIDHAA INFOSERVE LTD</t>
  </si>
  <si>
    <t>SUYOG</t>
  </si>
  <si>
    <t>SUYOG TELEMATICS LIMITED</t>
  </si>
  <si>
    <t>SUZLON</t>
  </si>
  <si>
    <t>SUZLON ENERGY LIMITED</t>
  </si>
  <si>
    <t>SVLL</t>
  </si>
  <si>
    <t>SHREE VASU LOGISTICS LTD</t>
  </si>
  <si>
    <t>SWANCORP</t>
  </si>
  <si>
    <t>SWAN CORP LIMITED</t>
  </si>
  <si>
    <t>SWARAJENG</t>
  </si>
  <si>
    <t>SWARAJ ENGINES LTD</t>
  </si>
  <si>
    <t>SWELECTES</t>
  </si>
  <si>
    <t>SWELECT ENERGY SYS LTD</t>
  </si>
  <si>
    <t>SWIGGY</t>
  </si>
  <si>
    <t>SWIGGY LIMITED</t>
  </si>
  <si>
    <t>SWSOLAR</t>
  </si>
  <si>
    <t>STRLNG &amp; WIL REN ENE LTD</t>
  </si>
  <si>
    <t>SYMPHONY</t>
  </si>
  <si>
    <t>SYMPHONY LIMITED</t>
  </si>
  <si>
    <t>SYNCOMF</t>
  </si>
  <si>
    <t>SYNCOM FORMU (I) LTD</t>
  </si>
  <si>
    <t>SYNGENE</t>
  </si>
  <si>
    <t>SYNGENE INTERNATIONAL LTD</t>
  </si>
  <si>
    <t>SYRMA</t>
  </si>
  <si>
    <t>SYRMA SGS TECHNOLOGY LTD</t>
  </si>
  <si>
    <t>SYSTMTXC</t>
  </si>
  <si>
    <t>SYSTEMATIX CORP SERVICE L</t>
  </si>
  <si>
    <t>TAINWALCHM</t>
  </si>
  <si>
    <t>TAINWALA CHEMICAL AND PLA</t>
  </si>
  <si>
    <t>TAJGVK</t>
  </si>
  <si>
    <t>TAJ GVK HOTELS &amp; RESORTS</t>
  </si>
  <si>
    <t>TALBROAUTO</t>
  </si>
  <si>
    <t>TALBROS AUTO. COMP. LTD</t>
  </si>
  <si>
    <t>TANLA</t>
  </si>
  <si>
    <t>TANLA PLATFORMS LIMITED</t>
  </si>
  <si>
    <t>TARACHAND</t>
  </si>
  <si>
    <t>TARA CHAND INFRA SOLN LTD</t>
  </si>
  <si>
    <t>TARAPUR</t>
  </si>
  <si>
    <t>TARAPUR TRANSFORMERS LTD</t>
  </si>
  <si>
    <t>TARC</t>
  </si>
  <si>
    <t>TARC LIMITED</t>
  </si>
  <si>
    <t>TARIL</t>
  </si>
  <si>
    <t>TRANS &amp; RECTI. LTD</t>
  </si>
  <si>
    <t>TARSONS</t>
  </si>
  <si>
    <t>TARSONS PRODUCTS LIMITED</t>
  </si>
  <si>
    <t>TASTYBITE</t>
  </si>
  <si>
    <t>TASTY BITE EATABLES LTD</t>
  </si>
  <si>
    <t>TATACAP</t>
  </si>
  <si>
    <t>TATA CAPITAL LIMITED</t>
  </si>
  <si>
    <t>TATACHEM</t>
  </si>
  <si>
    <t>TATA CHEMICALS LTD</t>
  </si>
  <si>
    <t>TATACOMM</t>
  </si>
  <si>
    <t>TATA COMMUNICATIONS LTD</t>
  </si>
  <si>
    <t>TATAELXSI</t>
  </si>
  <si>
    <t>TATA ELXSI LIMITED</t>
  </si>
  <si>
    <t>TATAINVEST</t>
  </si>
  <si>
    <t>TATA INVESTMENT CORP LTD</t>
  </si>
  <si>
    <t>TATATECH</t>
  </si>
  <si>
    <t>TATA TECHNOLOGIES LIMITED</t>
  </si>
  <si>
    <t>TATVA</t>
  </si>
  <si>
    <t>TATVA CHIN PHARM CHEM LTD</t>
  </si>
  <si>
    <t>TBOTEK</t>
  </si>
  <si>
    <t>TBO TEK LIMITED</t>
  </si>
  <si>
    <t>TBZ</t>
  </si>
  <si>
    <t>TRIB BHIMJI ZAVERI LTD</t>
  </si>
  <si>
    <t>TCC</t>
  </si>
  <si>
    <t>TCC CONCEPT LIMITED</t>
  </si>
  <si>
    <t>TCI</t>
  </si>
  <si>
    <t>TRANSPORT CORPN OF INDIA</t>
  </si>
  <si>
    <t>TCIEXP</t>
  </si>
  <si>
    <t>TCI EXPRESS LIMITED</t>
  </si>
  <si>
    <t>TCPLPACK</t>
  </si>
  <si>
    <t>TCPL PACKAGING LIMITED</t>
  </si>
  <si>
    <t>TDPOWERSYS</t>
  </si>
  <si>
    <t>TD POWER SYSTEMS LTD.</t>
  </si>
  <si>
    <t>TEAMGTY</t>
  </si>
  <si>
    <t>TEAM INDIA GUARANTY LTD</t>
  </si>
  <si>
    <t>TEAMLEASE</t>
  </si>
  <si>
    <t>TEAMLEASE SERVICES LTD.</t>
  </si>
  <si>
    <t>TECHNOE</t>
  </si>
  <si>
    <t>TECHNO ELEC &amp; ENG CO. LTD</t>
  </si>
  <si>
    <t>TECILCHEM</t>
  </si>
  <si>
    <t>TECIL CHEMICALS</t>
  </si>
  <si>
    <t>TEGA</t>
  </si>
  <si>
    <t>TEGA INDUSTRIES LIMITED</t>
  </si>
  <si>
    <t>TEJASNET</t>
  </si>
  <si>
    <t>TEJAS NETWORKS LIMITED</t>
  </si>
  <si>
    <t>TEMBO</t>
  </si>
  <si>
    <t>TEMBO GLOBAL IND LTD</t>
  </si>
  <si>
    <t>TENNIND</t>
  </si>
  <si>
    <t>TENNECO CLEAN AIR INDIA L</t>
  </si>
  <si>
    <t>TERASOFT</t>
  </si>
  <si>
    <t>TERA SOFTWARE LIMITED</t>
  </si>
  <si>
    <t>TEXINFRA</t>
  </si>
  <si>
    <t>TEXMACO INFRA &amp; HOLDG LTD</t>
  </si>
  <si>
    <t>TEXMOPIPES</t>
  </si>
  <si>
    <t>TEXMO PIPE &amp; PRODUCTS LTD</t>
  </si>
  <si>
    <t>TEXRAIL</t>
  </si>
  <si>
    <t>TEXMACO RAIL &amp; ENG. LTD.</t>
  </si>
  <si>
    <t>TFCILTD</t>
  </si>
  <si>
    <t>TOURISM FINANCE CORP. OF</t>
  </si>
  <si>
    <t>TFL</t>
  </si>
  <si>
    <t>TRANSWARRANTY FIN. LTD.</t>
  </si>
  <si>
    <t>TGBHOTELS</t>
  </si>
  <si>
    <t>TGB BANQUETS&amp;HOTELS LTD</t>
  </si>
  <si>
    <t>THANGAMAYL</t>
  </si>
  <si>
    <t>THANGAMAYIL JEWELLERY LTD</t>
  </si>
  <si>
    <t>THEINVEST</t>
  </si>
  <si>
    <t>THE INVEST TRUST OF IND L</t>
  </si>
  <si>
    <t>THEJO</t>
  </si>
  <si>
    <t>THEJO ENGINEERING LIMITED</t>
  </si>
  <si>
    <t>THELEELA</t>
  </si>
  <si>
    <t>LEELA PALACES HOTEL LTD</t>
  </si>
  <si>
    <t>THEMISMED</t>
  </si>
  <si>
    <t>THEMIS MEDICARE LTD.</t>
  </si>
  <si>
    <t>THERMAX</t>
  </si>
  <si>
    <t>THERMAX LTD</t>
  </si>
  <si>
    <t>THOMASCOOK</t>
  </si>
  <si>
    <t>THOMAS COOK (INDIA) LTD</t>
  </si>
  <si>
    <t>THOMASCOTT</t>
  </si>
  <si>
    <t>THOMAS SCOTT (INDIA) LTD</t>
  </si>
  <si>
    <t>THYROCARE</t>
  </si>
  <si>
    <t>THYROCARE TECH LTD</t>
  </si>
  <si>
    <t>TI</t>
  </si>
  <si>
    <t>TILAKNAGAR INDUSTRIES LTD</t>
  </si>
  <si>
    <t>TICL</t>
  </si>
  <si>
    <t>TWAMEV CONS AND INFRA LTD</t>
  </si>
  <si>
    <t>TIGERLOGS</t>
  </si>
  <si>
    <t>TIGER LOGISTICS (INDIA) L</t>
  </si>
  <si>
    <t>TIIL</t>
  </si>
  <si>
    <t>TECHNOCRAFT IND LTD</t>
  </si>
  <si>
    <t>TIINDIA</t>
  </si>
  <si>
    <t>TUBE INVEST OF INDIA LTD</t>
  </si>
  <si>
    <t>TIL</t>
  </si>
  <si>
    <t>TIL LTD</t>
  </si>
  <si>
    <t>TIMETECHNO</t>
  </si>
  <si>
    <t>TIME TECHNOPLAST LTD.</t>
  </si>
  <si>
    <t>TIMKEN</t>
  </si>
  <si>
    <t>TIMKEN INDIA LTD.</t>
  </si>
  <si>
    <t>TINNARUBR</t>
  </si>
  <si>
    <t>TINNA RUBBER AND INFR LTD</t>
  </si>
  <si>
    <t>TIPSFILMS</t>
  </si>
  <si>
    <t>TIPS FILMS LIMITED</t>
  </si>
  <si>
    <t>TIPSMUSIC</t>
  </si>
  <si>
    <t>TIPS MUSIC LIMITED</t>
  </si>
  <si>
    <t>TIRUMALCHM</t>
  </si>
  <si>
    <t>THIRUMALAI CHEMICALS LTD</t>
  </si>
  <si>
    <t>TIRUPATIFL</t>
  </si>
  <si>
    <t>TIRUPATI FORGE LIMITED</t>
  </si>
  <si>
    <t>TITAGARH</t>
  </si>
  <si>
    <t>TITAGARH RAIL SYSTEMS LTD</t>
  </si>
  <si>
    <t>TMB</t>
  </si>
  <si>
    <t>TAMILNAD MERCA BANK LTD</t>
  </si>
  <si>
    <t>TMCV</t>
  </si>
  <si>
    <t>TATA MOTORS LIMITED</t>
  </si>
  <si>
    <t>TNPETRO</t>
  </si>
  <si>
    <t>TAMILNADU PETROPRODUCTS L</t>
  </si>
  <si>
    <t>TNPL</t>
  </si>
  <si>
    <t>TAMILNADU NEWSPRT &amp; PAPER</t>
  </si>
  <si>
    <t>TNTELE</t>
  </si>
  <si>
    <t>TAMILNADU TELECOMMUNICATI</t>
  </si>
  <si>
    <t>TOKYOPLAST</t>
  </si>
  <si>
    <t>TOKYO PLAST INTL LTD</t>
  </si>
  <si>
    <t>TOLINS</t>
  </si>
  <si>
    <t>TOLINS TYRES LIMITED</t>
  </si>
  <si>
    <t>TORNTPOWER</t>
  </si>
  <si>
    <t>TORRENT POWER LTD</t>
  </si>
  <si>
    <t>TOTAL</t>
  </si>
  <si>
    <t>TOTAL TRANSPORT SYS LTD</t>
  </si>
  <si>
    <t>TOUCHWOOD</t>
  </si>
  <si>
    <t>TOUCHWOOD ENTERTAIN LTD.</t>
  </si>
  <si>
    <t>TPHQ</t>
  </si>
  <si>
    <t>TEAMO PRODUCTIONS HQ LTD</t>
  </si>
  <si>
    <t>TPLPLASTEH</t>
  </si>
  <si>
    <t>TPL PLASTECH LIMITED</t>
  </si>
  <si>
    <t>TRACXN</t>
  </si>
  <si>
    <t>TRACXN TECHNOLOGIES LTD</t>
  </si>
  <si>
    <t>TRANSRAILL</t>
  </si>
  <si>
    <t>TRANSRAIL LIGHTING LTD</t>
  </si>
  <si>
    <t>TRANSWORLD</t>
  </si>
  <si>
    <t>TRANSWORLD SHIP LINES LTD</t>
  </si>
  <si>
    <t>TRAVELFOOD</t>
  </si>
  <si>
    <t>TRAVEL FOOD SERVICES LTD</t>
  </si>
  <si>
    <t>TREJHARA</t>
  </si>
  <si>
    <t>TREJHARA SOLUTIONS LTD</t>
  </si>
  <si>
    <t>TREL</t>
  </si>
  <si>
    <t>TRANSINDIA REAL ESTATE L</t>
  </si>
  <si>
    <t>TRF</t>
  </si>
  <si>
    <t>TRF LIMITED</t>
  </si>
  <si>
    <t>TRIDENT</t>
  </si>
  <si>
    <t>TRIDENT LIMITED</t>
  </si>
  <si>
    <t>TRIGYN</t>
  </si>
  <si>
    <t>TRIGYN TECHNOLOGIES LTD</t>
  </si>
  <si>
    <t>TRITURBINE</t>
  </si>
  <si>
    <t>TRIVENI TURBINE LIMITED</t>
  </si>
  <si>
    <t>TRIVENI</t>
  </si>
  <si>
    <t>TRIVENI ENGG. &amp; INDS. LTD</t>
  </si>
  <si>
    <t>TRU</t>
  </si>
  <si>
    <t>TRUCAP FINANCE LIMITED</t>
  </si>
  <si>
    <t>TRUALT</t>
  </si>
  <si>
    <t>TRUALT BIOENERGY LIMITED</t>
  </si>
  <si>
    <t>TSFINV</t>
  </si>
  <si>
    <t>TSF INVESTMENTS LIMITED</t>
  </si>
  <si>
    <t>TTKHLTCARE</t>
  </si>
  <si>
    <t>TTK HEALTHCARE LIMITED</t>
  </si>
  <si>
    <t>TTKPRESTIG</t>
  </si>
  <si>
    <t>TTK PRESTIGE LTD</t>
  </si>
  <si>
    <t>TTML</t>
  </si>
  <si>
    <t>TATA TELESERV(MAHARASTRA)</t>
  </si>
  <si>
    <t>TVSELECT</t>
  </si>
  <si>
    <t>TVS ELECTRONICS LTD</t>
  </si>
  <si>
    <t>TVSHLTD</t>
  </si>
  <si>
    <t>TVS HOLDINGS LIMITED</t>
  </si>
  <si>
    <t>TVSSRICHAK</t>
  </si>
  <si>
    <t>TVS SRICHAKRA LIMITED</t>
  </si>
  <si>
    <t>TVTODAY</t>
  </si>
  <si>
    <t>TV TODAY NETWORK LTD</t>
  </si>
  <si>
    <t>TVVISION</t>
  </si>
  <si>
    <t>TV VISION LIMITED</t>
  </si>
  <si>
    <t>UBL</t>
  </si>
  <si>
    <t>UNITED BREWERIES LTD</t>
  </si>
  <si>
    <t>UCAL</t>
  </si>
  <si>
    <t>UCAL LIMITED</t>
  </si>
  <si>
    <t>UCOBANK</t>
  </si>
  <si>
    <t>UCO BANK</t>
  </si>
  <si>
    <t>UDS</t>
  </si>
  <si>
    <t>UPDATER SERVICES LIMITED</t>
  </si>
  <si>
    <t>UEL</t>
  </si>
  <si>
    <t>UJAAS ENERGY LIMITED</t>
  </si>
  <si>
    <t>UFBL</t>
  </si>
  <si>
    <t>UNITED FOODBRANDS LIMITED</t>
  </si>
  <si>
    <t>UFLEX</t>
  </si>
  <si>
    <t>UFLEX LIMITED</t>
  </si>
  <si>
    <t>UFO</t>
  </si>
  <si>
    <t>UFO MOVIEZ INDIA LTD.</t>
  </si>
  <si>
    <t>UGARSUGAR</t>
  </si>
  <si>
    <t>THE UGAR SUGAR WORKS LTD</t>
  </si>
  <si>
    <t>UGROCAP</t>
  </si>
  <si>
    <t>UGRO CAPITAL LIMITED</t>
  </si>
  <si>
    <t>UJJIVANSFB</t>
  </si>
  <si>
    <t>UJJIVAN SMALL FINANC BANK</t>
  </si>
  <si>
    <t>UMAEXPORTS</t>
  </si>
  <si>
    <t>UMA EXPORTS LIMITED</t>
  </si>
  <si>
    <t>UMIYA-MRO</t>
  </si>
  <si>
    <t>UMIYA BUILDCON LIMITED</t>
  </si>
  <si>
    <t>UNICHEMLAB</t>
  </si>
  <si>
    <t>UNICHEM LABORATORIES LTD</t>
  </si>
  <si>
    <t>UNIDT</t>
  </si>
  <si>
    <t>UNITED DRILLING TOOLS LTD</t>
  </si>
  <si>
    <t>UNIECOM</t>
  </si>
  <si>
    <t>UNICOMMERCE ESOLUTIONS L</t>
  </si>
  <si>
    <t>UNIENTER</t>
  </si>
  <si>
    <t>UNIPHOS ENTERPRISES LTD</t>
  </si>
  <si>
    <t>UNIINFO</t>
  </si>
  <si>
    <t>UNIINFO TELECOM SERVI LTD</t>
  </si>
  <si>
    <t>UNIMECH</t>
  </si>
  <si>
    <t>UNIMECH AEROSPACE N MFG L</t>
  </si>
  <si>
    <t>UNIONBANK</t>
  </si>
  <si>
    <t>UNION BANK OF INDIA</t>
  </si>
  <si>
    <t>UNIPARTS</t>
  </si>
  <si>
    <t>UNIPARTS INDIA LIMITED</t>
  </si>
  <si>
    <t>UNITECH</t>
  </si>
  <si>
    <t>UNITECH LTD</t>
  </si>
  <si>
    <t>UNITEDPOLY</t>
  </si>
  <si>
    <t>UNITED POLYFAB GUJ. LTD.</t>
  </si>
  <si>
    <t>UNITEDTEA</t>
  </si>
  <si>
    <t>UNITED NILGIRI TEA LTD</t>
  </si>
  <si>
    <t>UNIVASTU</t>
  </si>
  <si>
    <t>UNIVASTU INDIA LIMITED</t>
  </si>
  <si>
    <t>UNIVCABLES</t>
  </si>
  <si>
    <t>UNIVERSAL CABLES LTD</t>
  </si>
  <si>
    <t>UNOMINDA</t>
  </si>
  <si>
    <t>UNO MINDA LIMITED</t>
  </si>
  <si>
    <t>UPL</t>
  </si>
  <si>
    <t>UPL LIMITED</t>
  </si>
  <si>
    <t>URAVIDEF</t>
  </si>
  <si>
    <t>URAVI DEFENCE &amp;TECH LTD</t>
  </si>
  <si>
    <t>URBANCO</t>
  </si>
  <si>
    <t>URBAN COMPANY LIMITED</t>
  </si>
  <si>
    <t>URJA</t>
  </si>
  <si>
    <t>URJA GLOBAL LIMITED</t>
  </si>
  <si>
    <t>USHAMART</t>
  </si>
  <si>
    <t>USHA MARTIN LTD.</t>
  </si>
  <si>
    <t>UTIAMC</t>
  </si>
  <si>
    <t>UTI ASSET MNGMT CO LTD</t>
  </si>
  <si>
    <t>UTKARSHBNK</t>
  </si>
  <si>
    <t>UTKARSH SMALL FIN BANK L</t>
  </si>
  <si>
    <t>UTLSOLAR</t>
  </si>
  <si>
    <t>FUJIYAMA POWER SYSTEMS L</t>
  </si>
  <si>
    <t>UTTAMSUGAR</t>
  </si>
  <si>
    <t>UTTAM SUGAR MILLS LTD.</t>
  </si>
  <si>
    <t>UYFINCORP</t>
  </si>
  <si>
    <t>U. Y. FINCORP LIMITED</t>
  </si>
  <si>
    <t>V2RETAIL</t>
  </si>
  <si>
    <t>V2 RETAIL LIMITED</t>
  </si>
  <si>
    <t>VADILALIND</t>
  </si>
  <si>
    <t>VADILAL INDUSTRIES LTD</t>
  </si>
  <si>
    <t>VAIBHAVGBL</t>
  </si>
  <si>
    <t>VAIBHAV GLOBAL LIMITED</t>
  </si>
  <si>
    <t>VAISHALI</t>
  </si>
  <si>
    <t>VAISHALI PHARMA LIMITED</t>
  </si>
  <si>
    <t>VAKRANGEE</t>
  </si>
  <si>
    <t>VAKRANGEE LIMITED</t>
  </si>
  <si>
    <t>VALIANTLAB</t>
  </si>
  <si>
    <t>VALIANT LABORATORIES LTD</t>
  </si>
  <si>
    <t>VALIANTORG</t>
  </si>
  <si>
    <t>VALIANT ORGANICS LIMITED</t>
  </si>
  <si>
    <t>VARDHACRLC</t>
  </si>
  <si>
    <t>VARDHAMAN ACRYLICS LTD</t>
  </si>
  <si>
    <t>VARROC</t>
  </si>
  <si>
    <t>VARROC ENGINEERING LTD.</t>
  </si>
  <si>
    <t>VASCONEQ</t>
  </si>
  <si>
    <t>VASCON ENGINEERS LTD</t>
  </si>
  <si>
    <t>VASWANI</t>
  </si>
  <si>
    <t>VASWANI IND LTD</t>
  </si>
  <si>
    <t>VCL</t>
  </si>
  <si>
    <t>VAXTEX COTFAB LIMITED</t>
  </si>
  <si>
    <t>VEEDOL</t>
  </si>
  <si>
    <t>VEEDOL CORPORATION LTD</t>
  </si>
  <si>
    <t>VENKEYS</t>
  </si>
  <si>
    <t>VENKY S (INDIA) LIMITED</t>
  </si>
  <si>
    <t>VENTIVE</t>
  </si>
  <si>
    <t>VENTIVE HOSPITALITY LTD</t>
  </si>
  <si>
    <t>VENUSPIPES</t>
  </si>
  <si>
    <t>VENUS PIPES &amp; TUBES LTD</t>
  </si>
  <si>
    <t>VENUSREM</t>
  </si>
  <si>
    <t>VENUS REMEDIES LIMITED</t>
  </si>
  <si>
    <t>VERANDA</t>
  </si>
  <si>
    <t>VERANDA LEARNING SOL LTD</t>
  </si>
  <si>
    <t>VERTOZ</t>
  </si>
  <si>
    <t>VERTOZ LIMITED</t>
  </si>
  <si>
    <t>VESUVIUS</t>
  </si>
  <si>
    <t>VESUVIUS INDIA LTD</t>
  </si>
  <si>
    <t>VETO</t>
  </si>
  <si>
    <t>VETO SWITCHGEAR CABLE LTD</t>
  </si>
  <si>
    <t>VGL</t>
  </si>
  <si>
    <t>VARVEE GLOBAL LIMITED</t>
  </si>
  <si>
    <t>VGUARD</t>
  </si>
  <si>
    <t>V-GUARD IND LTD.</t>
  </si>
  <si>
    <t>VHL</t>
  </si>
  <si>
    <t>VARDHMAN HOLDINGS LIMITED</t>
  </si>
  <si>
    <t>VIDHIING</t>
  </si>
  <si>
    <t>VIDHI SPCLTY F INGRDNTS L</t>
  </si>
  <si>
    <t>VIDYAWIRES</t>
  </si>
  <si>
    <t>VIDYA WIRES LIMITED</t>
  </si>
  <si>
    <t>VIJAYA</t>
  </si>
  <si>
    <t>VIJAYA DIAGNOSTIC CEN LTD</t>
  </si>
  <si>
    <t>VIKASECO</t>
  </si>
  <si>
    <t>VIKAS ECOTECH LIMITED</t>
  </si>
  <si>
    <t>VIKASLIFE</t>
  </si>
  <si>
    <t>VIKAS LIFECARE LIMITED</t>
  </si>
  <si>
    <t>VIKRAMSOLR</t>
  </si>
  <si>
    <t>VIKRAM SOLAR LIMITED</t>
  </si>
  <si>
    <t>VIKRAN</t>
  </si>
  <si>
    <t>VIKRAN ENGINEERING LTD</t>
  </si>
  <si>
    <t>VIMTALABS</t>
  </si>
  <si>
    <t>VIMTA LABS LIMITED</t>
  </si>
  <si>
    <t>VINATIORGA</t>
  </si>
  <si>
    <t>VINATI ORGANICS LTD</t>
  </si>
  <si>
    <t>VINCOFE</t>
  </si>
  <si>
    <t>VINTAGE COFFEE N BVRGS L</t>
  </si>
  <si>
    <t>VINDHYATEL</t>
  </si>
  <si>
    <t>VINDHYA TELELINKS LTD</t>
  </si>
  <si>
    <t>VINEETLAB</t>
  </si>
  <si>
    <t>VINEET LABORATORIES LTD</t>
  </si>
  <si>
    <t>VINNY</t>
  </si>
  <si>
    <t>VINNY OVERSEAS LIMITED</t>
  </si>
  <si>
    <t>VINYLINDIA</t>
  </si>
  <si>
    <t>VINYL CHEMICALS (I) LTD.</t>
  </si>
  <si>
    <t>VIPCLOTHNG</t>
  </si>
  <si>
    <t>VIP CLOTHING LIMITED</t>
  </si>
  <si>
    <t>VIPIND</t>
  </si>
  <si>
    <t>VIP INDUSTRIES LTD</t>
  </si>
  <si>
    <t>VIRINCHI</t>
  </si>
  <si>
    <t>VIRINCHI LIMITED</t>
  </si>
  <si>
    <t>VISAKAIND</t>
  </si>
  <si>
    <t>VISAKA INDUSTRIES LIMITED</t>
  </si>
  <si>
    <t>VISASTEEL</t>
  </si>
  <si>
    <t>VISA STEEL LIMITED</t>
  </si>
  <si>
    <t>VISHNU</t>
  </si>
  <si>
    <t>VISHNU CHEMICALS LIMITED</t>
  </si>
  <si>
    <t>VISHWARAJ</t>
  </si>
  <si>
    <t>VISHWARAJ SUGAR IND LTD</t>
  </si>
  <si>
    <t>VITAL</t>
  </si>
  <si>
    <t>VITAL CHEMTECH LIMITED</t>
  </si>
  <si>
    <t>VIVIDHA</t>
  </si>
  <si>
    <t>VISAGAR POLYTEX LTD</t>
  </si>
  <si>
    <t>VIVIMEDLAB</t>
  </si>
  <si>
    <t>VIVIMED LABS LIMITED</t>
  </si>
  <si>
    <t>VIYASH</t>
  </si>
  <si>
    <t>VIYASH SCIENTIFIC LIMITED</t>
  </si>
  <si>
    <t>VLEGOV</t>
  </si>
  <si>
    <t>VL E GOV AND IT SOL LTD</t>
  </si>
  <si>
    <t>VLSFINANCE</t>
  </si>
  <si>
    <t>VLS FINANCE LTD</t>
  </si>
  <si>
    <t>VMART</t>
  </si>
  <si>
    <t>VMART RETAIL LTD</t>
  </si>
  <si>
    <t>VMM</t>
  </si>
  <si>
    <t>VISHAL MEGA MART LIMITED</t>
  </si>
  <si>
    <t>VMSTMT</t>
  </si>
  <si>
    <t>VMS TMT LIMITED</t>
  </si>
  <si>
    <t>VOLTAMP</t>
  </si>
  <si>
    <t>VOLTAMP TRANSFORMERS LTD</t>
  </si>
  <si>
    <t>VOLTAS</t>
  </si>
  <si>
    <t>VOLTAS LTD</t>
  </si>
  <si>
    <t>VPRPL</t>
  </si>
  <si>
    <t>VISHNU PRAKASH R PUNGLI L</t>
  </si>
  <si>
    <t>VRAJ</t>
  </si>
  <si>
    <t>VRAJ IRON AND STEEL LTD</t>
  </si>
  <si>
    <t>VRLLOG</t>
  </si>
  <si>
    <t>VRL LOGISTICS LIMITED</t>
  </si>
  <si>
    <t>VSSL</t>
  </si>
  <si>
    <t>VARDHMAN SPC STEEL LTD</t>
  </si>
  <si>
    <t>VSTIND</t>
  </si>
  <si>
    <t>VST INDUSTRIES LTD</t>
  </si>
  <si>
    <t>VSTL</t>
  </si>
  <si>
    <t>VIBHOR STEEL TUBES LTD</t>
  </si>
  <si>
    <t>VSTTILLERS</t>
  </si>
  <si>
    <t>VST TILLERS TRACTORS LTD</t>
  </si>
  <si>
    <t>VTL</t>
  </si>
  <si>
    <t>VARDHMAN TEXTILES LIMITED</t>
  </si>
  <si>
    <t>WAAREEENER</t>
  </si>
  <si>
    <t>WAAREE ENERGIES LIMITED</t>
  </si>
  <si>
    <t>WAAREERTL</t>
  </si>
  <si>
    <t>WAAREE RENEWABLE TECH LTD</t>
  </si>
  <si>
    <t>WABAG</t>
  </si>
  <si>
    <t>VA TECH WABAG LTD</t>
  </si>
  <si>
    <t>WAKEFIT</t>
  </si>
  <si>
    <t>WAKEFIT INNOVATIONS LTD</t>
  </si>
  <si>
    <t>WALCHANNAG</t>
  </si>
  <si>
    <t>WALCHANDNAGAR INDUSTRIES</t>
  </si>
  <si>
    <t>WCIL</t>
  </si>
  <si>
    <t>WESTERN CARRIERS (IND) L</t>
  </si>
  <si>
    <t>WEALTH</t>
  </si>
  <si>
    <t>WEALTH FRST PORT. MG. LTD</t>
  </si>
  <si>
    <t>WEBELSOLAR</t>
  </si>
  <si>
    <t>WEBSOL ENERGY SYSTEM LTD</t>
  </si>
  <si>
    <t>WEIZMANIND</t>
  </si>
  <si>
    <t>WEIZMANN LTD</t>
  </si>
  <si>
    <t>WEL</t>
  </si>
  <si>
    <t>WONDER ELECTRICALS LTD</t>
  </si>
  <si>
    <t>WELCORP</t>
  </si>
  <si>
    <t>WELSPUN CORP LIMITED</t>
  </si>
  <si>
    <t>WELENT</t>
  </si>
  <si>
    <t>WELSPUN ENTERPRISES LTD.</t>
  </si>
  <si>
    <t>WELINV</t>
  </si>
  <si>
    <t>WELSPUN INV &amp; COMM LTD</t>
  </si>
  <si>
    <t>WELSPUNLIV</t>
  </si>
  <si>
    <t>WELSPUN LIVING LIMITED</t>
  </si>
  <si>
    <t>WENDT</t>
  </si>
  <si>
    <t>WENDT (INDIA) LIMITED</t>
  </si>
  <si>
    <t>WESTLIFE</t>
  </si>
  <si>
    <t>WESTLIFE FOODWORLD LTD</t>
  </si>
  <si>
    <t>WEWIN</t>
  </si>
  <si>
    <t>WE WIN LIMITED</t>
  </si>
  <si>
    <t>WEWORK</t>
  </si>
  <si>
    <t>WEWORK INDIA MANAGEMENT L</t>
  </si>
  <si>
    <t>WHEELS</t>
  </si>
  <si>
    <t>WHEELS INDIA LTD</t>
  </si>
  <si>
    <t>WHIRLPOOL</t>
  </si>
  <si>
    <t>WHIRLPOOL OF INDIA LTD</t>
  </si>
  <si>
    <t>WILLAMAGOR</t>
  </si>
  <si>
    <t>WILLIAMSON MAGOR</t>
  </si>
  <si>
    <t>WINDLAS</t>
  </si>
  <si>
    <t>WINDLAS BIOTECH LIMITED</t>
  </si>
  <si>
    <t>WINDMACHIN</t>
  </si>
  <si>
    <t>WINDSOR MACHINES LIMITED</t>
  </si>
  <si>
    <t>WIPL</t>
  </si>
  <si>
    <t>THE WESTERN INDIA PLY LTD</t>
  </si>
  <si>
    <t>WOCKPHARMA</t>
  </si>
  <si>
    <t>WOCKHARDT LIMITED</t>
  </si>
  <si>
    <t>WONDERLA</t>
  </si>
  <si>
    <t>WONDERLA HOLIDAYS LTD.</t>
  </si>
  <si>
    <t>WORTHPERI</t>
  </si>
  <si>
    <t>WORTH PERIPHERALS LIMITED</t>
  </si>
  <si>
    <t>WSI</t>
  </si>
  <si>
    <t>W.S.INDUSTRIES (I) LTD.</t>
  </si>
  <si>
    <t>WSTCSTPAPR</t>
  </si>
  <si>
    <t>WEST COAST PAPER MILLS LT</t>
  </si>
  <si>
    <t>XCHANGING</t>
  </si>
  <si>
    <t>XCHANGING SOLUTIONS LTD</t>
  </si>
  <si>
    <t>XELPMOC</t>
  </si>
  <si>
    <t>XELPMOC DESIGN &amp; TECH LTD</t>
  </si>
  <si>
    <t>XPROINDIA</t>
  </si>
  <si>
    <t>XPRO INDIA LIMITED</t>
  </si>
  <si>
    <t>XTGLOBAL</t>
  </si>
  <si>
    <t>XTGLOBAL INFOTECH LIMITED</t>
  </si>
  <si>
    <t>YASHO</t>
  </si>
  <si>
    <t>YASHO INDUSTRIES LIMITED</t>
  </si>
  <si>
    <t>YATHARTH</t>
  </si>
  <si>
    <t>YATHARTH HOSP &amp; TRA C S L</t>
  </si>
  <si>
    <t>YATRA</t>
  </si>
  <si>
    <t>YATRA ONLINE LIMITED</t>
  </si>
  <si>
    <t>YESBANK</t>
  </si>
  <si>
    <t>YES BANK LIMITED</t>
  </si>
  <si>
    <t>YUKEN</t>
  </si>
  <si>
    <t>YUKEN INDIA LIMITED</t>
  </si>
  <si>
    <t>ZAGGLE</t>
  </si>
  <si>
    <t>ZAGGLE PREPA OCEAN SER L</t>
  </si>
  <si>
    <t>ZEEL</t>
  </si>
  <si>
    <t>ZEE ENTERTAINMENT ENT LTD</t>
  </si>
  <si>
    <t>ZEELEARN</t>
  </si>
  <si>
    <t>ZEE LEARN LIMITED</t>
  </si>
  <si>
    <t>ZENITHEXPO</t>
  </si>
  <si>
    <t>ZENITH EXPORTS LTD</t>
  </si>
  <si>
    <t>ZENITHSTL</t>
  </si>
  <si>
    <t>ZENITH STEEL PIP IND LTD</t>
  </si>
  <si>
    <t>ZENSARTECH</t>
  </si>
  <si>
    <t>ZENSAR TECHNOLOGIES  LTD</t>
  </si>
  <si>
    <t>ZENTEC</t>
  </si>
  <si>
    <t>ZEN TECHNOLOGIES LIMITED</t>
  </si>
  <si>
    <t>ZFCVINDIA</t>
  </si>
  <si>
    <t>ZF COM VE CTR SYS IND LTD</t>
  </si>
  <si>
    <t>ZIMLAB</t>
  </si>
  <si>
    <t>ZIM LABORATORIES LIMITED</t>
  </si>
  <si>
    <t>ZODIAC</t>
  </si>
  <si>
    <t>ZODIAC ENERGY LIMITED</t>
  </si>
  <si>
    <t>ZODIACLOTH</t>
  </si>
  <si>
    <t>ZODIAC CLOTHING CO. LTD.</t>
  </si>
  <si>
    <t>ZOTA</t>
  </si>
  <si>
    <t>ZOTA HEALTH CARE LIMITED</t>
  </si>
  <si>
    <t>ZUARI</t>
  </si>
  <si>
    <t>ZUARI AGRO CHEMICALS LTD</t>
  </si>
  <si>
    <t>ZUARIIND</t>
  </si>
  <si>
    <t>ZUARI INDUSTRIES LIMITED</t>
  </si>
  <si>
    <t>ZYDUSWELL</t>
  </si>
  <si>
    <t>ZYDUS WELLNESS LIMITED</t>
  </si>
  <si>
    <t>Daily Return</t>
  </si>
  <si>
    <t>Price Range</t>
  </si>
  <si>
    <t>Movement</t>
  </si>
  <si>
    <t>Cap Category</t>
  </si>
  <si>
    <t>Volume Category</t>
  </si>
  <si>
    <t>Row Labels</t>
  </si>
  <si>
    <t>Count of SYMBOL</t>
  </si>
  <si>
    <t>Gain</t>
  </si>
  <si>
    <t>Loss</t>
  </si>
  <si>
    <t>Large Cap</t>
  </si>
  <si>
    <t>Mid Cap</t>
  </si>
  <si>
    <t>Small Cap</t>
  </si>
  <si>
    <t>High Volume</t>
  </si>
  <si>
    <t>Low Volume</t>
  </si>
  <si>
    <t>Sum of NET_TRDQTY</t>
  </si>
  <si>
    <t xml:space="preserve"> Price Range</t>
  </si>
  <si>
    <t>Stoks</t>
  </si>
  <si>
    <t xml:space="preserve"> Daily Return in %</t>
  </si>
  <si>
    <t>Sum of Daily Return</t>
  </si>
  <si>
    <t>Average of Daily Return</t>
  </si>
  <si>
    <t>Max of NET_TRDQTY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</si>
</sst>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Cr&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5" formatCode="#,##0,&quot; L&quot;"/>
    </dxf>
    <dxf>
      <numFmt numFmtId="164" formatCode="#,##0,,&quot; Cr&quot;"/>
    </dxf>
    <dxf>
      <numFmt numFmtId="2" formatCode="0.00"/>
    </dxf>
    <dxf>
      <numFmt numFmtId="2" formatCode="0.00"/>
    </dxf>
    <dxf>
      <numFmt numFmtId="2" formatCode="0.00"/>
    </dxf>
    <dxf>
      <numFmt numFmtId="2" formatCode="0.00"/>
    </dxf>
    <dxf>
      <numFmt numFmtId="165" formatCode="#,##0,&quot; L&quot;"/>
    </dxf>
    <dxf>
      <numFmt numFmtId="164" formatCode="#,##0,,&quot; Cr&quot;"/>
    </dxf>
    <dxf>
      <numFmt numFmtId="2" formatCode="0.00"/>
    </dxf>
    <dxf>
      <numFmt numFmtId="2" formatCode="0.00"/>
    </dxf>
    <dxf>
      <numFmt numFmtId="165" formatCode="#,##0,&quot; L&quot;"/>
    </dxf>
    <dxf>
      <numFmt numFmtId="164" formatCode="#,##0,,&quot; Cr&quot;"/>
    </dxf>
    <dxf>
      <numFmt numFmtId="2" formatCode="0.00"/>
    </dxf>
    <dxf>
      <numFmt numFmtId="2" formatCode="0.00"/>
    </dxf>
    <dxf>
      <numFmt numFmtId="165" formatCode="#,##0,&quot; L&quot;"/>
    </dxf>
    <dxf>
      <numFmt numFmtId="164" formatCode="#,##0,,&quot; Cr&quot;"/>
    </dxf>
    <dxf>
      <numFmt numFmtId="2" formatCode="0.00"/>
    </dxf>
    <dxf>
      <numFmt numFmtId="2" formatCode="0.00"/>
    </dxf>
    <dxf>
      <numFmt numFmtId="165" formatCode="#,##0,&quot; L&quot;"/>
    </dxf>
    <dxf>
      <numFmt numFmtId="164" formatCode="#,##0,,&quot; Cr&quot;"/>
    </dxf>
    <dxf>
      <numFmt numFmtId="2" formatCode="0.00"/>
    </dxf>
    <dxf>
      <numFmt numFmtId="2" formatCode="0.00"/>
    </dxf>
    <dxf>
      <numFmt numFmtId="165" formatCode="#,##0,&quot; L&quot;"/>
    </dxf>
    <dxf>
      <numFmt numFmtId="164" formatCode="#,##0,,&quot; Cr&quot;"/>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4" formatCode="#,##0,,&quot; Cr&quot;"/>
    </dxf>
    <dxf>
      <numFmt numFmtId="165" formatCode="#,##0,&quot; L&quot;"/>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Market Sentiment</a:t>
            </a:r>
            <a:endParaRPr lang="en-US" sz="1600"/>
          </a:p>
        </c:rich>
      </c:tx>
      <c:layout>
        <c:manualLayout>
          <c:xMode val="edge"/>
          <c:yMode val="edge"/>
          <c:x val="5.0035236081747723E-2"/>
          <c:y val="5.73300573300573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5081338068147959"/>
              <c:y val="0.1044482338529542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850762527233116"/>
                  <c:h val="0.16715806715806716"/>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3866096308578949"/>
              <c:y val="-8.00133772847659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67528370420168"/>
                  <c:h val="0.15711542113151067"/>
                </c:manualLayout>
              </c15:layout>
            </c:ext>
          </c:extLst>
        </c:dLbl>
      </c:pivotFmt>
    </c:pivotFmts>
    <c:plotArea>
      <c:layout>
        <c:manualLayout>
          <c:layoutTarget val="inner"/>
          <c:xMode val="edge"/>
          <c:yMode val="edge"/>
          <c:x val="0.17435811701655071"/>
          <c:y val="0.31953444946494147"/>
          <c:w val="0.40854519410563883"/>
          <c:h val="0.61432348597702935"/>
        </c:manualLayout>
      </c:layout>
      <c:pieChart>
        <c:varyColors val="1"/>
        <c:ser>
          <c:idx val="0"/>
          <c:order val="0"/>
          <c:tx>
            <c:strRef>
              <c:f>Pivots!$B$3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DC58-4F10-81BE-D0FB2269A1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C58-4F10-81BE-D0FB2269A1CD}"/>
              </c:ext>
            </c:extLst>
          </c:dPt>
          <c:dLbls>
            <c:dLbl>
              <c:idx val="0"/>
              <c:layout>
                <c:manualLayout>
                  <c:x val="0.15081338068147959"/>
                  <c:y val="0.1044482338529542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850762527233116"/>
                      <c:h val="0.16715806715806716"/>
                    </c:manualLayout>
                  </c15:layout>
                </c:ext>
                <c:ext xmlns:c16="http://schemas.microsoft.com/office/drawing/2014/chart" uri="{C3380CC4-5D6E-409C-BE32-E72D297353CC}">
                  <c16:uniqueId val="{00000002-DC58-4F10-81BE-D0FB2269A1CD}"/>
                </c:ext>
              </c:extLst>
            </c:dLbl>
            <c:dLbl>
              <c:idx val="1"/>
              <c:layout>
                <c:manualLayout>
                  <c:x val="0.3866096308578949"/>
                  <c:y val="-8.00133772847659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67528370420168"/>
                      <c:h val="0.15711542113151067"/>
                    </c:manualLayout>
                  </c15:layout>
                </c:ext>
                <c:ext xmlns:c16="http://schemas.microsoft.com/office/drawing/2014/chart" uri="{C3380CC4-5D6E-409C-BE32-E72D297353CC}">
                  <c16:uniqueId val="{00000003-DC58-4F10-81BE-D0FB2269A1C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Pivots!$A$4:$A$5</c:f>
              <c:strCache>
                <c:ptCount val="2"/>
                <c:pt idx="0">
                  <c:v>Gain</c:v>
                </c:pt>
                <c:pt idx="1">
                  <c:v>Loss</c:v>
                </c:pt>
              </c:strCache>
            </c:strRef>
          </c:cat>
          <c:val>
            <c:numRef>
              <c:f>Pivots!$B$4:$B$5</c:f>
              <c:numCache>
                <c:formatCode>General</c:formatCode>
                <c:ptCount val="2"/>
                <c:pt idx="0">
                  <c:v>183</c:v>
                </c:pt>
                <c:pt idx="1">
                  <c:v>1939</c:v>
                </c:pt>
              </c:numCache>
            </c:numRef>
          </c:val>
          <c:extLst>
            <c:ext xmlns:c16="http://schemas.microsoft.com/office/drawing/2014/chart" uri="{C3380CC4-5D6E-409C-BE32-E72D297353CC}">
              <c16:uniqueId val="{00000000-DC58-4F10-81BE-D0FB2269A1C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659587027310498"/>
          <c:y val="0.4933401821103941"/>
          <c:w val="0.15954719414559115"/>
          <c:h val="0.2272746619203311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Avg Return by Cap Category</a:t>
            </a:r>
            <a:endParaRPr lang="en-US" sz="1600" b="1" i="0" u="none" strike="noStrike" kern="1200" baseline="0">
              <a:solidFill>
                <a:sysClr val="windowText" lastClr="000000">
                  <a:lumMod val="75000"/>
                  <a:lumOff val="25000"/>
                </a:sysClr>
              </a:solidFill>
            </a:endParaRPr>
          </a:p>
        </c:rich>
      </c:tx>
      <c:layout>
        <c:manualLayout>
          <c:xMode val="edge"/>
          <c:yMode val="edge"/>
          <c:x val="0.11630000000000001"/>
          <c:y val="2.965599051008303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Pivots!$A$12:$A$14</c:f>
              <c:strCache>
                <c:ptCount val="3"/>
                <c:pt idx="0">
                  <c:v>Large Cap</c:v>
                </c:pt>
                <c:pt idx="1">
                  <c:v>Mid Cap</c:v>
                </c:pt>
                <c:pt idx="2">
                  <c:v>Small Cap</c:v>
                </c:pt>
              </c:strCache>
            </c:strRef>
          </c:cat>
          <c:val>
            <c:numRef>
              <c:f>Pivots!$B$12:$B$14</c:f>
              <c:numCache>
                <c:formatCode>0.00</c:formatCode>
                <c:ptCount val="3"/>
                <c:pt idx="0">
                  <c:v>-3.6251792274372083</c:v>
                </c:pt>
                <c:pt idx="1">
                  <c:v>-4.1089468855539799</c:v>
                </c:pt>
                <c:pt idx="2">
                  <c:v>-4.5295418086921977</c:v>
                </c:pt>
              </c:numCache>
            </c:numRef>
          </c:val>
          <c:extLst>
            <c:ext xmlns:c16="http://schemas.microsoft.com/office/drawing/2014/chart" uri="{C3380CC4-5D6E-409C-BE32-E72D297353CC}">
              <c16:uniqueId val="{00000000-0B7E-499D-A3C0-D253688A614A}"/>
            </c:ext>
          </c:extLst>
        </c:ser>
        <c:dLbls>
          <c:dLblPos val="inEnd"/>
          <c:showLegendKey val="0"/>
          <c:showVal val="1"/>
          <c:showCatName val="0"/>
          <c:showSerName val="0"/>
          <c:showPercent val="0"/>
          <c:showBubbleSize val="0"/>
        </c:dLbls>
        <c:gapWidth val="65"/>
        <c:axId val="2054342336"/>
        <c:axId val="2054339456"/>
      </c:barChart>
      <c:catAx>
        <c:axId val="2054342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Cap</a:t>
                </a:r>
                <a:r>
                  <a:rPr lang="en-IN" baseline="0"/>
                  <a:t> Category</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out"/>
        <c:minorTickMark val="none"/>
        <c:tickLblPos val="nextTo"/>
        <c:spPr>
          <a:solidFill>
            <a:schemeClr val="bg1"/>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4339456"/>
        <c:crosses val="autoZero"/>
        <c:auto val="1"/>
        <c:lblAlgn val="ctr"/>
        <c:lblOffset val="100"/>
        <c:noMultiLvlLbl val="0"/>
      </c:catAx>
      <c:valAx>
        <c:axId val="20543394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baseline="0"/>
                  <a:t>Daily   Return In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5434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Volume Distribution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0.1088435374149659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546D-4114-8B6F-B70F15C51E94}"/>
              </c:ext>
            </c:extLst>
          </c:dPt>
          <c:dLbls>
            <c:dLbl>
              <c:idx val="1"/>
              <c:layout>
                <c:manualLayout>
                  <c:x val="0.1088435374149659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6D-4114-8B6F-B70F15C51E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Pivots!$A$21:$A$22</c:f>
              <c:strCache>
                <c:ptCount val="2"/>
                <c:pt idx="0">
                  <c:v>High Volume</c:v>
                </c:pt>
                <c:pt idx="1">
                  <c:v>Low Volume</c:v>
                </c:pt>
              </c:strCache>
            </c:strRef>
          </c:cat>
          <c:val>
            <c:numRef>
              <c:f>Pivots!$B$21:$B$22</c:f>
              <c:numCache>
                <c:formatCode>General</c:formatCode>
                <c:ptCount val="2"/>
                <c:pt idx="0">
                  <c:v>4386505757</c:v>
                </c:pt>
                <c:pt idx="1">
                  <c:v>354839060</c:v>
                </c:pt>
              </c:numCache>
            </c:numRef>
          </c:val>
          <c:extLst>
            <c:ext xmlns:c16="http://schemas.microsoft.com/office/drawing/2014/chart" uri="{C3380CC4-5D6E-409C-BE32-E72D297353CC}">
              <c16:uniqueId val="{00000000-546D-4114-8B6F-B70F15C51E94}"/>
            </c:ext>
          </c:extLst>
        </c:ser>
        <c:dLbls>
          <c:dLblPos val="ctr"/>
          <c:showLegendKey val="0"/>
          <c:showVal val="1"/>
          <c:showCatName val="0"/>
          <c:showSerName val="0"/>
          <c:showPercent val="0"/>
          <c:showBubbleSize val="0"/>
        </c:dLbls>
        <c:gapWidth val="150"/>
        <c:overlap val="100"/>
        <c:axId val="1973949040"/>
        <c:axId val="1973952880"/>
      </c:barChart>
      <c:catAx>
        <c:axId val="197394904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Volume</a:t>
                </a:r>
                <a:r>
                  <a:rPr lang="en-IN" baseline="0"/>
                  <a:t> Category</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3952880"/>
        <c:crosses val="autoZero"/>
        <c:auto val="1"/>
        <c:lblAlgn val="ctr"/>
        <c:lblOffset val="100"/>
        <c:noMultiLvlLbl val="0"/>
      </c:catAx>
      <c:valAx>
        <c:axId val="197395288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Volume</a:t>
                </a:r>
                <a:r>
                  <a:rPr lang="en-IN" baseline="0"/>
                  <a:t> Distribution</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crossAx val="19739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Volatility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Pivots!$A$29:$A$38</c:f>
              <c:strCache>
                <c:ptCount val="10"/>
                <c:pt idx="0">
                  <c:v>MRF</c:v>
                </c:pt>
                <c:pt idx="1">
                  <c:v>BOSCHLTD</c:v>
                </c:pt>
                <c:pt idx="2">
                  <c:v>JSWHL</c:v>
                </c:pt>
                <c:pt idx="3">
                  <c:v>LMW</c:v>
                </c:pt>
                <c:pt idx="4">
                  <c:v>ABBOTINDIA</c:v>
                </c:pt>
                <c:pt idx="5">
                  <c:v>HONAUT</c:v>
                </c:pt>
                <c:pt idx="6">
                  <c:v>FORCEMOT</c:v>
                </c:pt>
                <c:pt idx="7">
                  <c:v>3MINDIA</c:v>
                </c:pt>
                <c:pt idx="8">
                  <c:v>POWERINDIA</c:v>
                </c:pt>
                <c:pt idx="9">
                  <c:v>SHREECEM</c:v>
                </c:pt>
              </c:strCache>
            </c:strRef>
          </c:cat>
          <c:val>
            <c:numRef>
              <c:f>Pivots!$B$29:$B$38</c:f>
              <c:numCache>
                <c:formatCode>General</c:formatCode>
                <c:ptCount val="10"/>
                <c:pt idx="0">
                  <c:v>4060</c:v>
                </c:pt>
                <c:pt idx="1">
                  <c:v>1300</c:v>
                </c:pt>
                <c:pt idx="2">
                  <c:v>1264</c:v>
                </c:pt>
                <c:pt idx="3">
                  <c:v>1201</c:v>
                </c:pt>
                <c:pt idx="4">
                  <c:v>1150</c:v>
                </c:pt>
                <c:pt idx="5">
                  <c:v>1085</c:v>
                </c:pt>
                <c:pt idx="6">
                  <c:v>1060</c:v>
                </c:pt>
                <c:pt idx="7">
                  <c:v>1035</c:v>
                </c:pt>
                <c:pt idx="8">
                  <c:v>1000</c:v>
                </c:pt>
                <c:pt idx="9">
                  <c:v>945</c:v>
                </c:pt>
              </c:numCache>
            </c:numRef>
          </c:val>
          <c:extLst>
            <c:ext xmlns:c16="http://schemas.microsoft.com/office/drawing/2014/chart" uri="{C3380CC4-5D6E-409C-BE32-E72D297353CC}">
              <c16:uniqueId val="{00000000-2559-4CFE-8BFB-D0BDF871CAFB}"/>
            </c:ext>
          </c:extLst>
        </c:ser>
        <c:dLbls>
          <c:dLblPos val="inEnd"/>
          <c:showLegendKey val="0"/>
          <c:showVal val="1"/>
          <c:showCatName val="0"/>
          <c:showSerName val="0"/>
          <c:showPercent val="0"/>
          <c:showBubbleSize val="0"/>
        </c:dLbls>
        <c:gapWidth val="65"/>
        <c:axId val="1645717792"/>
        <c:axId val="1645720672"/>
      </c:barChart>
      <c:catAx>
        <c:axId val="1645717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Stocks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5720672"/>
        <c:crosses val="autoZero"/>
        <c:auto val="1"/>
        <c:lblAlgn val="ctr"/>
        <c:lblOffset val="100"/>
        <c:noMultiLvlLbl val="0"/>
      </c:catAx>
      <c:valAx>
        <c:axId val="16457206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Difference</a:t>
                </a:r>
                <a:r>
                  <a:rPr lang="en-IN" baseline="0"/>
                  <a:t> High-Low</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crossAx val="164571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[Excel_dashboard.xlsx]Pivots!PivotTable1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Market Sentiment</a:t>
            </a:r>
            <a:endParaRPr lang="en-US" sz="1600"/>
          </a:p>
        </c:rich>
      </c:tx>
      <c:layout>
        <c:manualLayout>
          <c:xMode val="edge"/>
          <c:yMode val="edge"/>
          <c:x val="5.0035236081747723E-2"/>
          <c:y val="5.73300573300573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5081338068147959"/>
              <c:y val="0.1044482338529542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850762527233116"/>
                  <c:h val="0.16715806715806716"/>
                </c:manualLayout>
              </c15:layout>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0.3866096308578949"/>
              <c:y val="-8.00133772847659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67528370420168"/>
                  <c:h val="0.15711542113151067"/>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5081338068147959"/>
              <c:y val="0.1044482338529542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850762527233116"/>
                  <c:h val="0.16715806715806716"/>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3866096308578949"/>
              <c:y val="-8.00133772847659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67528370420168"/>
                  <c:h val="0.15711542113151067"/>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5081338068147959"/>
              <c:y val="0.1044482338529542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850762527233116"/>
                  <c:h val="0.16715806715806716"/>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3866096308578949"/>
              <c:y val="-8.00133772847659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67528370420168"/>
                  <c:h val="0.15711542113151067"/>
                </c:manualLayout>
              </c15:layout>
            </c:ext>
          </c:extLst>
        </c:dLbl>
      </c:pivotFmt>
    </c:pivotFmts>
    <c:plotArea>
      <c:layout>
        <c:manualLayout>
          <c:layoutTarget val="inner"/>
          <c:xMode val="edge"/>
          <c:yMode val="edge"/>
          <c:x val="0.17435811701655071"/>
          <c:y val="0.31953444946494147"/>
          <c:w val="0.40854519410563883"/>
          <c:h val="0.61432348597702935"/>
        </c:manualLayout>
      </c:layout>
      <c:pieChart>
        <c:varyColors val="1"/>
        <c:ser>
          <c:idx val="0"/>
          <c:order val="0"/>
          <c:tx>
            <c:strRef>
              <c:f>Pivots!$B$3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0B3-4A9D-BC30-E4DC20B81D3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0B3-4A9D-BC30-E4DC20B81D30}"/>
              </c:ext>
            </c:extLst>
          </c:dPt>
          <c:dLbls>
            <c:dLbl>
              <c:idx val="0"/>
              <c:layout>
                <c:manualLayout>
                  <c:x val="0.15081338068147959"/>
                  <c:y val="0.1044482338529542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850762527233116"/>
                      <c:h val="0.16715806715806716"/>
                    </c:manualLayout>
                  </c15:layout>
                </c:ext>
                <c:ext xmlns:c16="http://schemas.microsoft.com/office/drawing/2014/chart" uri="{C3380CC4-5D6E-409C-BE32-E72D297353CC}">
                  <c16:uniqueId val="{00000001-10B3-4A9D-BC30-E4DC20B81D30}"/>
                </c:ext>
              </c:extLst>
            </c:dLbl>
            <c:dLbl>
              <c:idx val="1"/>
              <c:layout>
                <c:manualLayout>
                  <c:x val="0.3866096308578949"/>
                  <c:y val="-8.00133772847659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67528370420168"/>
                      <c:h val="0.15711542113151067"/>
                    </c:manualLayout>
                  </c15:layout>
                </c:ext>
                <c:ext xmlns:c16="http://schemas.microsoft.com/office/drawing/2014/chart" uri="{C3380CC4-5D6E-409C-BE32-E72D297353CC}">
                  <c16:uniqueId val="{00000003-10B3-4A9D-BC30-E4DC20B81D3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Pivots!$A$4:$A$5</c:f>
              <c:strCache>
                <c:ptCount val="2"/>
                <c:pt idx="0">
                  <c:v>Gain</c:v>
                </c:pt>
                <c:pt idx="1">
                  <c:v>Loss</c:v>
                </c:pt>
              </c:strCache>
            </c:strRef>
          </c:cat>
          <c:val>
            <c:numRef>
              <c:f>Pivots!$B$4:$B$5</c:f>
              <c:numCache>
                <c:formatCode>General</c:formatCode>
                <c:ptCount val="2"/>
                <c:pt idx="0">
                  <c:v>183</c:v>
                </c:pt>
                <c:pt idx="1">
                  <c:v>1939</c:v>
                </c:pt>
              </c:numCache>
            </c:numRef>
          </c:val>
          <c:extLst>
            <c:ext xmlns:c16="http://schemas.microsoft.com/office/drawing/2014/chart" uri="{C3380CC4-5D6E-409C-BE32-E72D297353CC}">
              <c16:uniqueId val="{00000004-10B3-4A9D-BC30-E4DC20B81D3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659587027310498"/>
          <c:y val="0.4933401821103941"/>
          <c:w val="0.15954719414559115"/>
          <c:h val="0.2272746619203311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[Excel_dashboard.xlsx]Pivots!PivotTable2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Avg Return by Cap Category</a:t>
            </a:r>
            <a:endParaRPr lang="en-US" sz="1600" b="1" i="0" u="none" strike="noStrike" kern="1200" baseline="0">
              <a:solidFill>
                <a:sysClr val="windowText" lastClr="000000">
                  <a:lumMod val="75000"/>
                  <a:lumOff val="25000"/>
                </a:sysClr>
              </a:solidFill>
            </a:endParaRPr>
          </a:p>
        </c:rich>
      </c:tx>
      <c:layout>
        <c:manualLayout>
          <c:xMode val="edge"/>
          <c:yMode val="edge"/>
          <c:x val="0.11630000000000001"/>
          <c:y val="2.965599051008303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Pivots!$A$12:$A$14</c:f>
              <c:strCache>
                <c:ptCount val="3"/>
                <c:pt idx="0">
                  <c:v>Large Cap</c:v>
                </c:pt>
                <c:pt idx="1">
                  <c:v>Mid Cap</c:v>
                </c:pt>
                <c:pt idx="2">
                  <c:v>Small Cap</c:v>
                </c:pt>
              </c:strCache>
            </c:strRef>
          </c:cat>
          <c:val>
            <c:numRef>
              <c:f>Pivots!$B$12:$B$14</c:f>
              <c:numCache>
                <c:formatCode>0.00</c:formatCode>
                <c:ptCount val="3"/>
                <c:pt idx="0">
                  <c:v>-3.6251792274372083</c:v>
                </c:pt>
                <c:pt idx="1">
                  <c:v>-4.1089468855539799</c:v>
                </c:pt>
                <c:pt idx="2">
                  <c:v>-4.5295418086921977</c:v>
                </c:pt>
              </c:numCache>
            </c:numRef>
          </c:val>
          <c:extLst>
            <c:ext xmlns:c16="http://schemas.microsoft.com/office/drawing/2014/chart" uri="{C3380CC4-5D6E-409C-BE32-E72D297353CC}">
              <c16:uniqueId val="{00000001-E686-48FE-B413-17FABB349322}"/>
            </c:ext>
          </c:extLst>
        </c:ser>
        <c:dLbls>
          <c:dLblPos val="inEnd"/>
          <c:showLegendKey val="0"/>
          <c:showVal val="1"/>
          <c:showCatName val="0"/>
          <c:showSerName val="0"/>
          <c:showPercent val="0"/>
          <c:showBubbleSize val="0"/>
        </c:dLbls>
        <c:gapWidth val="65"/>
        <c:axId val="2054342336"/>
        <c:axId val="2054339456"/>
      </c:barChart>
      <c:catAx>
        <c:axId val="2054342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Cap</a:t>
                </a:r>
                <a:r>
                  <a:rPr lang="en-IN" baseline="0"/>
                  <a:t> Category</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out"/>
        <c:minorTickMark val="none"/>
        <c:tickLblPos val="nextTo"/>
        <c:spPr>
          <a:solidFill>
            <a:schemeClr val="bg1"/>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4339456"/>
        <c:crosses val="autoZero"/>
        <c:auto val="1"/>
        <c:lblAlgn val="ctr"/>
        <c:lblOffset val="100"/>
        <c:noMultiLvlLbl val="0"/>
      </c:catAx>
      <c:valAx>
        <c:axId val="20543394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baseline="0"/>
                  <a:t>Daily   Return In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5434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[Excel_dashboard.xlsx]Pivots!PivotTable3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Volume Distribution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0.1088435374149659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0.1088435374149659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0.1088435374149659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A061-4993-9355-E98D4EEEB4E1}"/>
              </c:ext>
            </c:extLst>
          </c:dPt>
          <c:dLbls>
            <c:dLbl>
              <c:idx val="1"/>
              <c:layout>
                <c:manualLayout>
                  <c:x val="0.1088435374149659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61-4993-9355-E98D4EEEB4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Pivots!$A$21:$A$22</c:f>
              <c:strCache>
                <c:ptCount val="2"/>
                <c:pt idx="0">
                  <c:v>High Volume</c:v>
                </c:pt>
                <c:pt idx="1">
                  <c:v>Low Volume</c:v>
                </c:pt>
              </c:strCache>
            </c:strRef>
          </c:cat>
          <c:val>
            <c:numRef>
              <c:f>Pivots!$B$21:$B$22</c:f>
              <c:numCache>
                <c:formatCode>General</c:formatCode>
                <c:ptCount val="2"/>
                <c:pt idx="0">
                  <c:v>4386505757</c:v>
                </c:pt>
                <c:pt idx="1">
                  <c:v>354839060</c:v>
                </c:pt>
              </c:numCache>
            </c:numRef>
          </c:val>
          <c:extLst>
            <c:ext xmlns:c16="http://schemas.microsoft.com/office/drawing/2014/chart" uri="{C3380CC4-5D6E-409C-BE32-E72D297353CC}">
              <c16:uniqueId val="{00000001-A061-4993-9355-E98D4EEEB4E1}"/>
            </c:ext>
          </c:extLst>
        </c:ser>
        <c:dLbls>
          <c:dLblPos val="ctr"/>
          <c:showLegendKey val="0"/>
          <c:showVal val="1"/>
          <c:showCatName val="0"/>
          <c:showSerName val="0"/>
          <c:showPercent val="0"/>
          <c:showBubbleSize val="0"/>
        </c:dLbls>
        <c:gapWidth val="150"/>
        <c:overlap val="100"/>
        <c:axId val="1973949040"/>
        <c:axId val="1973952880"/>
      </c:barChart>
      <c:catAx>
        <c:axId val="197394904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Volume</a:t>
                </a:r>
                <a:r>
                  <a:rPr lang="en-IN" baseline="0"/>
                  <a:t> Category</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3952880"/>
        <c:crosses val="autoZero"/>
        <c:auto val="1"/>
        <c:lblAlgn val="ctr"/>
        <c:lblOffset val="100"/>
        <c:noMultiLvlLbl val="0"/>
      </c:catAx>
      <c:valAx>
        <c:axId val="197395288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Volume</a:t>
                </a:r>
                <a:r>
                  <a:rPr lang="en-IN" baseline="0"/>
                  <a:t> Distribution</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crossAx val="19739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[Excel_dashboard.xlsx]Pivots!PivotTable4</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Volatility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Pivots!$A$29:$A$38</c:f>
              <c:strCache>
                <c:ptCount val="10"/>
                <c:pt idx="0">
                  <c:v>MRF</c:v>
                </c:pt>
                <c:pt idx="1">
                  <c:v>BOSCHLTD</c:v>
                </c:pt>
                <c:pt idx="2">
                  <c:v>JSWHL</c:v>
                </c:pt>
                <c:pt idx="3">
                  <c:v>LMW</c:v>
                </c:pt>
                <c:pt idx="4">
                  <c:v>ABBOTINDIA</c:v>
                </c:pt>
                <c:pt idx="5">
                  <c:v>HONAUT</c:v>
                </c:pt>
                <c:pt idx="6">
                  <c:v>FORCEMOT</c:v>
                </c:pt>
                <c:pt idx="7">
                  <c:v>3MINDIA</c:v>
                </c:pt>
                <c:pt idx="8">
                  <c:v>POWERINDIA</c:v>
                </c:pt>
                <c:pt idx="9">
                  <c:v>SHREECEM</c:v>
                </c:pt>
              </c:strCache>
            </c:strRef>
          </c:cat>
          <c:val>
            <c:numRef>
              <c:f>Pivots!$B$29:$B$38</c:f>
              <c:numCache>
                <c:formatCode>General</c:formatCode>
                <c:ptCount val="10"/>
                <c:pt idx="0">
                  <c:v>4060</c:v>
                </c:pt>
                <c:pt idx="1">
                  <c:v>1300</c:v>
                </c:pt>
                <c:pt idx="2">
                  <c:v>1264</c:v>
                </c:pt>
                <c:pt idx="3">
                  <c:v>1201</c:v>
                </c:pt>
                <c:pt idx="4">
                  <c:v>1150</c:v>
                </c:pt>
                <c:pt idx="5">
                  <c:v>1085</c:v>
                </c:pt>
                <c:pt idx="6">
                  <c:v>1060</c:v>
                </c:pt>
                <c:pt idx="7">
                  <c:v>1035</c:v>
                </c:pt>
                <c:pt idx="8">
                  <c:v>1000</c:v>
                </c:pt>
                <c:pt idx="9">
                  <c:v>945</c:v>
                </c:pt>
              </c:numCache>
            </c:numRef>
          </c:val>
          <c:extLst>
            <c:ext xmlns:c16="http://schemas.microsoft.com/office/drawing/2014/chart" uri="{C3380CC4-5D6E-409C-BE32-E72D297353CC}">
              <c16:uniqueId val="{00000000-FA9C-41E2-A29D-0B64CB7FE47B}"/>
            </c:ext>
          </c:extLst>
        </c:ser>
        <c:dLbls>
          <c:dLblPos val="inEnd"/>
          <c:showLegendKey val="0"/>
          <c:showVal val="1"/>
          <c:showCatName val="0"/>
          <c:showSerName val="0"/>
          <c:showPercent val="0"/>
          <c:showBubbleSize val="0"/>
        </c:dLbls>
        <c:gapWidth val="65"/>
        <c:axId val="1645717792"/>
        <c:axId val="1645720672"/>
      </c:barChart>
      <c:catAx>
        <c:axId val="1645717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Stocks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5720672"/>
        <c:crosses val="autoZero"/>
        <c:auto val="1"/>
        <c:lblAlgn val="ctr"/>
        <c:lblOffset val="100"/>
        <c:noMultiLvlLbl val="0"/>
      </c:catAx>
      <c:valAx>
        <c:axId val="16457206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Difference</a:t>
                </a:r>
                <a:r>
                  <a:rPr lang="en-IN" baseline="0"/>
                  <a:t> High-Low</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crossAx val="164571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10887</xdr:colOff>
      <xdr:row>0</xdr:row>
      <xdr:rowOff>171509</xdr:rowOff>
    </xdr:from>
    <xdr:to>
      <xdr:col>11</xdr:col>
      <xdr:colOff>43543</xdr:colOff>
      <xdr:row>10</xdr:row>
      <xdr:rowOff>154925</xdr:rowOff>
    </xdr:to>
    <xdr:graphicFrame macro="">
      <xdr:nvGraphicFramePr>
        <xdr:cNvPr id="2" name="Chart 1">
          <a:extLst>
            <a:ext uri="{FF2B5EF4-FFF2-40B4-BE49-F238E27FC236}">
              <a16:creationId xmlns:a16="http://schemas.microsoft.com/office/drawing/2014/main" id="{F0FC841C-497F-194E-31D7-18B29C053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11</xdr:row>
      <xdr:rowOff>114300</xdr:rowOff>
    </xdr:from>
    <xdr:to>
      <xdr:col>11</xdr:col>
      <xdr:colOff>152400</xdr:colOff>
      <xdr:row>22</xdr:row>
      <xdr:rowOff>160020</xdr:rowOff>
    </xdr:to>
    <xdr:graphicFrame macro="">
      <xdr:nvGraphicFramePr>
        <xdr:cNvPr id="3" name="Chart 2">
          <a:extLst>
            <a:ext uri="{FF2B5EF4-FFF2-40B4-BE49-F238E27FC236}">
              <a16:creationId xmlns:a16="http://schemas.microsoft.com/office/drawing/2014/main" id="{D81768EA-A66F-6255-D20B-68704AB08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23</xdr:row>
      <xdr:rowOff>137160</xdr:rowOff>
    </xdr:from>
    <xdr:to>
      <xdr:col>11</xdr:col>
      <xdr:colOff>83820</xdr:colOff>
      <xdr:row>34</xdr:row>
      <xdr:rowOff>38100</xdr:rowOff>
    </xdr:to>
    <xdr:graphicFrame macro="">
      <xdr:nvGraphicFramePr>
        <xdr:cNvPr id="4" name="Chart 3">
          <a:extLst>
            <a:ext uri="{FF2B5EF4-FFF2-40B4-BE49-F238E27FC236}">
              <a16:creationId xmlns:a16="http://schemas.microsoft.com/office/drawing/2014/main" id="{316FB69C-FD58-5FCB-D9B3-8ADCC0679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27709</xdr:colOff>
      <xdr:row>34</xdr:row>
      <xdr:rowOff>168700</xdr:rowOff>
    </xdr:from>
    <xdr:to>
      <xdr:col>11</xdr:col>
      <xdr:colOff>69273</xdr:colOff>
      <xdr:row>48</xdr:row>
      <xdr:rowOff>41564</xdr:rowOff>
    </xdr:to>
    <xdr:graphicFrame macro="">
      <xdr:nvGraphicFramePr>
        <xdr:cNvPr id="5" name="Chart 4">
          <a:extLst>
            <a:ext uri="{FF2B5EF4-FFF2-40B4-BE49-F238E27FC236}">
              <a16:creationId xmlns:a16="http://schemas.microsoft.com/office/drawing/2014/main" id="{52DFA3DC-CA3D-590B-6EF0-DF1507EB1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15239</xdr:colOff>
      <xdr:row>1</xdr:row>
      <xdr:rowOff>4947</xdr:rowOff>
    </xdr:from>
    <xdr:to>
      <xdr:col>22</xdr:col>
      <xdr:colOff>32656</xdr:colOff>
      <xdr:row>39</xdr:row>
      <xdr:rowOff>174171</xdr:rowOff>
    </xdr:to>
    <xdr:sp macro="" textlink="">
      <xdr:nvSpPr>
        <xdr:cNvPr id="2" name="Rectangle 1">
          <a:extLst>
            <a:ext uri="{FF2B5EF4-FFF2-40B4-BE49-F238E27FC236}">
              <a16:creationId xmlns:a16="http://schemas.microsoft.com/office/drawing/2014/main" id="{46C3087B-12F4-3162-4520-4FDB0D4C901B}"/>
            </a:ext>
          </a:extLst>
        </xdr:cNvPr>
        <xdr:cNvSpPr/>
      </xdr:nvSpPr>
      <xdr:spPr>
        <a:xfrm>
          <a:off x="624839" y="185056"/>
          <a:ext cx="12819017" cy="701337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10886</xdr:colOff>
      <xdr:row>1</xdr:row>
      <xdr:rowOff>54430</xdr:rowOff>
    </xdr:from>
    <xdr:to>
      <xdr:col>5</xdr:col>
      <xdr:colOff>346364</xdr:colOff>
      <xdr:row>6</xdr:row>
      <xdr:rowOff>72240</xdr:rowOff>
    </xdr:to>
    <xdr:pic>
      <xdr:nvPicPr>
        <xdr:cNvPr id="4" name="Picture 3">
          <a:extLst>
            <a:ext uri="{FF2B5EF4-FFF2-40B4-BE49-F238E27FC236}">
              <a16:creationId xmlns:a16="http://schemas.microsoft.com/office/drawing/2014/main" id="{25953B6F-D75A-1D6B-A238-835FF2104D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486" y="234539"/>
          <a:ext cx="2773878" cy="918356"/>
        </a:xfrm>
        <a:prstGeom prst="rect">
          <a:avLst/>
        </a:prstGeom>
      </xdr:spPr>
    </xdr:pic>
    <xdr:clientData/>
  </xdr:twoCellAnchor>
  <xdr:twoCellAnchor>
    <xdr:from>
      <xdr:col>6</xdr:col>
      <xdr:colOff>207818</xdr:colOff>
      <xdr:row>1</xdr:row>
      <xdr:rowOff>96982</xdr:rowOff>
    </xdr:from>
    <xdr:to>
      <xdr:col>11</xdr:col>
      <xdr:colOff>217714</xdr:colOff>
      <xdr:row>6</xdr:row>
      <xdr:rowOff>83127</xdr:rowOff>
    </xdr:to>
    <xdr:sp macro="" textlink="">
      <xdr:nvSpPr>
        <xdr:cNvPr id="5" name="Rectangle: Top Corners Rounded 4">
          <a:extLst>
            <a:ext uri="{FF2B5EF4-FFF2-40B4-BE49-F238E27FC236}">
              <a16:creationId xmlns:a16="http://schemas.microsoft.com/office/drawing/2014/main" id="{3EDBAAD1-5573-C6D4-6C40-C6D057A806DB}"/>
            </a:ext>
          </a:extLst>
        </xdr:cNvPr>
        <xdr:cNvSpPr/>
      </xdr:nvSpPr>
      <xdr:spPr>
        <a:xfrm>
          <a:off x="3865418" y="282039"/>
          <a:ext cx="3057896" cy="911431"/>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0">
              <a:solidFill>
                <a:schemeClr val="tx1"/>
              </a:solidFill>
              <a:latin typeface="Segoe UI" panose="020B0502040204020203" pitchFamily="34" charset="0"/>
              <a:cs typeface="Segoe UI" panose="020B0502040204020203" pitchFamily="34" charset="0"/>
            </a:rPr>
            <a:t>Avg</a:t>
          </a:r>
          <a:r>
            <a:rPr lang="en-IN" sz="1800" b="0" baseline="0">
              <a:solidFill>
                <a:schemeClr val="tx1"/>
              </a:solidFill>
              <a:latin typeface="Segoe UI" panose="020B0502040204020203" pitchFamily="34" charset="0"/>
              <a:cs typeface="Segoe UI" panose="020B0502040204020203" pitchFamily="34" charset="0"/>
            </a:rPr>
            <a:t> Daily Return</a:t>
          </a:r>
        </a:p>
      </xdr:txBody>
    </xdr:sp>
    <xdr:clientData/>
  </xdr:twoCellAnchor>
  <xdr:twoCellAnchor>
    <xdr:from>
      <xdr:col>11</xdr:col>
      <xdr:colOff>304800</xdr:colOff>
      <xdr:row>1</xdr:row>
      <xdr:rowOff>110837</xdr:rowOff>
    </xdr:from>
    <xdr:to>
      <xdr:col>16</xdr:col>
      <xdr:colOff>381000</xdr:colOff>
      <xdr:row>6</xdr:row>
      <xdr:rowOff>96982</xdr:rowOff>
    </xdr:to>
    <xdr:sp macro="" textlink="">
      <xdr:nvSpPr>
        <xdr:cNvPr id="9" name="Rectangle: Top Corners Rounded 8">
          <a:extLst>
            <a:ext uri="{FF2B5EF4-FFF2-40B4-BE49-F238E27FC236}">
              <a16:creationId xmlns:a16="http://schemas.microsoft.com/office/drawing/2014/main" id="{B8FF03F4-33B8-44C6-8FF1-A0A3EBDE7369}"/>
            </a:ext>
          </a:extLst>
        </xdr:cNvPr>
        <xdr:cNvSpPr/>
      </xdr:nvSpPr>
      <xdr:spPr>
        <a:xfrm>
          <a:off x="7010400" y="295894"/>
          <a:ext cx="3124200" cy="911431"/>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ysClr val="windowText" lastClr="000000"/>
              </a:solidFill>
              <a:latin typeface="Segoe UI" panose="020B0502040204020203" pitchFamily="34" charset="0"/>
              <a:cs typeface="Segoe UI" panose="020B0502040204020203" pitchFamily="34" charset="0"/>
            </a:rPr>
            <a:t>Best Stock Of the Day</a:t>
          </a:r>
        </a:p>
      </xdr:txBody>
    </xdr:sp>
    <xdr:clientData/>
  </xdr:twoCellAnchor>
  <xdr:twoCellAnchor>
    <xdr:from>
      <xdr:col>16</xdr:col>
      <xdr:colOff>484909</xdr:colOff>
      <xdr:row>1</xdr:row>
      <xdr:rowOff>83128</xdr:rowOff>
    </xdr:from>
    <xdr:to>
      <xdr:col>21</xdr:col>
      <xdr:colOff>424543</xdr:colOff>
      <xdr:row>6</xdr:row>
      <xdr:rowOff>97971</xdr:rowOff>
    </xdr:to>
    <xdr:sp macro="" textlink="">
      <xdr:nvSpPr>
        <xdr:cNvPr id="10" name="Rectangle: Top Corners Rounded 9">
          <a:extLst>
            <a:ext uri="{FF2B5EF4-FFF2-40B4-BE49-F238E27FC236}">
              <a16:creationId xmlns:a16="http://schemas.microsoft.com/office/drawing/2014/main" id="{F49BED6B-53A6-49B3-BF7C-C116398F4717}"/>
            </a:ext>
          </a:extLst>
        </xdr:cNvPr>
        <xdr:cNvSpPr/>
      </xdr:nvSpPr>
      <xdr:spPr>
        <a:xfrm>
          <a:off x="10238509" y="263237"/>
          <a:ext cx="2987634" cy="915389"/>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tx1"/>
              </a:solidFill>
              <a:latin typeface="Segoe UI" panose="020B0502040204020203" pitchFamily="34" charset="0"/>
              <a:cs typeface="Segoe UI" panose="020B0502040204020203" pitchFamily="34" charset="0"/>
            </a:rPr>
            <a:t>Most Traded Stock </a:t>
          </a:r>
        </a:p>
      </xdr:txBody>
    </xdr:sp>
    <xdr:clientData/>
  </xdr:twoCellAnchor>
  <xdr:twoCellAnchor>
    <xdr:from>
      <xdr:col>1</xdr:col>
      <xdr:colOff>96982</xdr:colOff>
      <xdr:row>7</xdr:row>
      <xdr:rowOff>27709</xdr:rowOff>
    </xdr:from>
    <xdr:to>
      <xdr:col>4</xdr:col>
      <xdr:colOff>554181</xdr:colOff>
      <xdr:row>39</xdr:row>
      <xdr:rowOff>110836</xdr:rowOff>
    </xdr:to>
    <xdr:sp macro="" textlink="">
      <xdr:nvSpPr>
        <xdr:cNvPr id="11" name="Rectangle 10">
          <a:extLst>
            <a:ext uri="{FF2B5EF4-FFF2-40B4-BE49-F238E27FC236}">
              <a16:creationId xmlns:a16="http://schemas.microsoft.com/office/drawing/2014/main" id="{6D2E6F27-B589-699A-48F5-6BC26F764A88}"/>
            </a:ext>
          </a:extLst>
        </xdr:cNvPr>
        <xdr:cNvSpPr/>
      </xdr:nvSpPr>
      <xdr:spPr>
        <a:xfrm>
          <a:off x="706582" y="1288473"/>
          <a:ext cx="2285999" cy="58466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52449</xdr:colOff>
      <xdr:row>7</xdr:row>
      <xdr:rowOff>55418</xdr:rowOff>
    </xdr:from>
    <xdr:to>
      <xdr:col>13</xdr:col>
      <xdr:colOff>83127</xdr:colOff>
      <xdr:row>21</xdr:row>
      <xdr:rowOff>96982</xdr:rowOff>
    </xdr:to>
    <xdr:graphicFrame macro="">
      <xdr:nvGraphicFramePr>
        <xdr:cNvPr id="12" name="Chart 11">
          <a:extLst>
            <a:ext uri="{FF2B5EF4-FFF2-40B4-BE49-F238E27FC236}">
              <a16:creationId xmlns:a16="http://schemas.microsoft.com/office/drawing/2014/main" id="{B4C414A3-65A3-4A88-A642-721200F9F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235527</xdr:colOff>
      <xdr:row>7</xdr:row>
      <xdr:rowOff>13854</xdr:rowOff>
    </xdr:from>
    <xdr:to>
      <xdr:col>21</xdr:col>
      <xdr:colOff>471055</xdr:colOff>
      <xdr:row>21</xdr:row>
      <xdr:rowOff>110836</xdr:rowOff>
    </xdr:to>
    <xdr:graphicFrame macro="">
      <xdr:nvGraphicFramePr>
        <xdr:cNvPr id="13" name="Chart 12">
          <a:extLst>
            <a:ext uri="{FF2B5EF4-FFF2-40B4-BE49-F238E27FC236}">
              <a16:creationId xmlns:a16="http://schemas.microsoft.com/office/drawing/2014/main" id="{97918E44-A60B-4F76-8CA9-02F7B7473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49184</xdr:colOff>
      <xdr:row>22</xdr:row>
      <xdr:rowOff>10184</xdr:rowOff>
    </xdr:from>
    <xdr:to>
      <xdr:col>13</xdr:col>
      <xdr:colOff>41564</xdr:colOff>
      <xdr:row>39</xdr:row>
      <xdr:rowOff>27709</xdr:rowOff>
    </xdr:to>
    <xdr:graphicFrame macro="">
      <xdr:nvGraphicFramePr>
        <xdr:cNvPr id="14" name="Chart 13">
          <a:extLst>
            <a:ext uri="{FF2B5EF4-FFF2-40B4-BE49-F238E27FC236}">
              <a16:creationId xmlns:a16="http://schemas.microsoft.com/office/drawing/2014/main" id="{9136890D-B5E1-44DC-82F4-290C3619A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166253</xdr:colOff>
      <xdr:row>22</xdr:row>
      <xdr:rowOff>40735</xdr:rowOff>
    </xdr:from>
    <xdr:to>
      <xdr:col>21</xdr:col>
      <xdr:colOff>484908</xdr:colOff>
      <xdr:row>39</xdr:row>
      <xdr:rowOff>55418</xdr:rowOff>
    </xdr:to>
    <xdr:graphicFrame macro="">
      <xdr:nvGraphicFramePr>
        <xdr:cNvPr id="15" name="Chart 14">
          <a:extLst>
            <a:ext uri="{FF2B5EF4-FFF2-40B4-BE49-F238E27FC236}">
              <a16:creationId xmlns:a16="http://schemas.microsoft.com/office/drawing/2014/main" id="{83101479-A7B4-4CA3-9E06-F621A482F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206829</xdr:colOff>
      <xdr:row>3</xdr:row>
      <xdr:rowOff>152400</xdr:rowOff>
    </xdr:from>
    <xdr:ext cx="3062844" cy="484910"/>
    <xdr:sp macro="" textlink="Pivots!B48">
      <xdr:nvSpPr>
        <xdr:cNvPr id="3" name="TextBox 2">
          <a:extLst>
            <a:ext uri="{FF2B5EF4-FFF2-40B4-BE49-F238E27FC236}">
              <a16:creationId xmlns:a16="http://schemas.microsoft.com/office/drawing/2014/main" id="{A30FAAB4-CE82-716C-9A3E-ED1B759886B4}"/>
            </a:ext>
          </a:extLst>
        </xdr:cNvPr>
        <xdr:cNvSpPr txBox="1"/>
      </xdr:nvSpPr>
      <xdr:spPr>
        <a:xfrm>
          <a:off x="3864429" y="692727"/>
          <a:ext cx="3062844" cy="48491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8900AD2-FD83-4F56-A8C3-DD10F51A00DC}" type="TxLink">
            <a:rPr lang="en-US" sz="2800" b="1" i="0" u="none" strike="noStrike">
              <a:solidFill>
                <a:srgbClr val="FF0000"/>
              </a:solidFill>
              <a:latin typeface="Segoe UI" panose="020B0502040204020203" pitchFamily="34" charset="0"/>
              <a:ea typeface="Calibri"/>
              <a:cs typeface="Segoe UI" panose="020B0502040204020203" pitchFamily="34" charset="0"/>
            </a:rPr>
            <a:t>-4.32%</a:t>
          </a:fld>
          <a:endParaRPr lang="en-IN" sz="6000" b="1">
            <a:solidFill>
              <a:srgbClr val="FF0000"/>
            </a:solidFill>
            <a:latin typeface="Segoe UI" panose="020B0502040204020203" pitchFamily="34" charset="0"/>
            <a:cs typeface="Segoe UI" panose="020B0502040204020203" pitchFamily="34" charset="0"/>
          </a:endParaRPr>
        </a:p>
      </xdr:txBody>
    </xdr:sp>
    <xdr:clientData/>
  </xdr:oneCellAnchor>
  <xdr:oneCellAnchor>
    <xdr:from>
      <xdr:col>11</xdr:col>
      <xdr:colOff>489857</xdr:colOff>
      <xdr:row>3</xdr:row>
      <xdr:rowOff>130631</xdr:rowOff>
    </xdr:from>
    <xdr:ext cx="1197430" cy="478970"/>
    <xdr:sp macro="" textlink="Pivots!A44">
      <xdr:nvSpPr>
        <xdr:cNvPr id="6" name="TextBox 5">
          <a:extLst>
            <a:ext uri="{FF2B5EF4-FFF2-40B4-BE49-F238E27FC236}">
              <a16:creationId xmlns:a16="http://schemas.microsoft.com/office/drawing/2014/main" id="{80E8C16D-D90E-476B-8775-3601EB9B94DF}"/>
            </a:ext>
          </a:extLst>
        </xdr:cNvPr>
        <xdr:cNvSpPr txBox="1"/>
      </xdr:nvSpPr>
      <xdr:spPr>
        <a:xfrm>
          <a:off x="7195457" y="685802"/>
          <a:ext cx="1197430" cy="47897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0DD3694-B551-4B2C-A098-1D8BF9EBFDE5}" type="TxLink">
            <a:rPr lang="en-US" sz="2800" b="1" i="0" u="none" strike="noStrike">
              <a:solidFill>
                <a:schemeClr val="accent6"/>
              </a:solidFill>
              <a:latin typeface="Calibri"/>
              <a:ea typeface="Calibri"/>
              <a:cs typeface="Calibri"/>
            </a:rPr>
            <a:pPr algn="ctr"/>
            <a:t>HGM</a:t>
          </a:fld>
          <a:endParaRPr lang="en-IN" sz="4400" b="1">
            <a:solidFill>
              <a:schemeClr val="accent6"/>
            </a:solidFill>
          </a:endParaRPr>
        </a:p>
      </xdr:txBody>
    </xdr:sp>
    <xdr:clientData/>
  </xdr:oneCellAnchor>
  <xdr:oneCellAnchor>
    <xdr:from>
      <xdr:col>13</xdr:col>
      <xdr:colOff>533401</xdr:colOff>
      <xdr:row>3</xdr:row>
      <xdr:rowOff>130630</xdr:rowOff>
    </xdr:from>
    <xdr:ext cx="1426027" cy="478971"/>
    <xdr:sp macro="" textlink="Pivots!B44">
      <xdr:nvSpPr>
        <xdr:cNvPr id="7" name="TextBox 6">
          <a:extLst>
            <a:ext uri="{FF2B5EF4-FFF2-40B4-BE49-F238E27FC236}">
              <a16:creationId xmlns:a16="http://schemas.microsoft.com/office/drawing/2014/main" id="{D13777BD-A5A8-4697-8C49-4711178FD156}"/>
            </a:ext>
          </a:extLst>
        </xdr:cNvPr>
        <xdr:cNvSpPr txBox="1"/>
      </xdr:nvSpPr>
      <xdr:spPr>
        <a:xfrm>
          <a:off x="8458201" y="685801"/>
          <a:ext cx="1426027" cy="478971"/>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A86F915-B714-4DE0-9F94-D4365D9E0CF7}" type="TxLink">
            <a:rPr lang="en-US" sz="2800" b="1" i="0" u="none" strike="noStrike">
              <a:solidFill>
                <a:srgbClr val="000000"/>
              </a:solidFill>
              <a:latin typeface="Calibri"/>
              <a:ea typeface="Calibri"/>
              <a:cs typeface="Calibri"/>
            </a:rPr>
            <a:pPr algn="ctr"/>
            <a:t>19.99%</a:t>
          </a:fld>
          <a:endParaRPr lang="en-IN" sz="4400" b="1"/>
        </a:p>
      </xdr:txBody>
    </xdr:sp>
    <xdr:clientData/>
  </xdr:oneCellAnchor>
  <xdr:oneCellAnchor>
    <xdr:from>
      <xdr:col>17</xdr:col>
      <xdr:colOff>113879</xdr:colOff>
      <xdr:row>3</xdr:row>
      <xdr:rowOff>132305</xdr:rowOff>
    </xdr:from>
    <xdr:ext cx="1066801" cy="483157"/>
    <xdr:sp macro="" textlink="Pivots!A55">
      <xdr:nvSpPr>
        <xdr:cNvPr id="8" name="TextBox 7">
          <a:extLst>
            <a:ext uri="{FF2B5EF4-FFF2-40B4-BE49-F238E27FC236}">
              <a16:creationId xmlns:a16="http://schemas.microsoft.com/office/drawing/2014/main" id="{110D1B0E-22DE-4EE3-9126-4CCC3CBD708A}"/>
            </a:ext>
          </a:extLst>
        </xdr:cNvPr>
        <xdr:cNvSpPr txBox="1"/>
      </xdr:nvSpPr>
      <xdr:spPr>
        <a:xfrm>
          <a:off x="10477079" y="677428"/>
          <a:ext cx="1066801" cy="483157"/>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73B6728-1F8E-4323-8F58-2F992A3E0D72}" type="TxLink">
            <a:rPr lang="en-US" sz="2800" b="1" i="0" u="none" strike="noStrike">
              <a:solidFill>
                <a:srgbClr val="000000"/>
              </a:solidFill>
              <a:latin typeface="Calibri"/>
              <a:ea typeface="Calibri"/>
              <a:cs typeface="Calibri"/>
            </a:rPr>
            <a:t>IDEA</a:t>
          </a:fld>
          <a:endParaRPr lang="en-US" sz="2800" b="1"/>
        </a:p>
      </xdr:txBody>
    </xdr:sp>
    <xdr:clientData/>
  </xdr:oneCellAnchor>
  <xdr:oneCellAnchor>
    <xdr:from>
      <xdr:col>19</xdr:col>
      <xdr:colOff>21770</xdr:colOff>
      <xdr:row>3</xdr:row>
      <xdr:rowOff>132304</xdr:rowOff>
    </xdr:from>
    <xdr:ext cx="1415143" cy="483158"/>
    <xdr:sp macro="" textlink="Pivots!B55">
      <xdr:nvSpPr>
        <xdr:cNvPr id="16" name="TextBox 15">
          <a:extLst>
            <a:ext uri="{FF2B5EF4-FFF2-40B4-BE49-F238E27FC236}">
              <a16:creationId xmlns:a16="http://schemas.microsoft.com/office/drawing/2014/main" id="{F43C540C-6F3C-41F7-A2CE-F87BEA6044A9}"/>
            </a:ext>
          </a:extLst>
        </xdr:cNvPr>
        <xdr:cNvSpPr txBox="1"/>
      </xdr:nvSpPr>
      <xdr:spPr>
        <a:xfrm>
          <a:off x="11604170" y="677427"/>
          <a:ext cx="1415143" cy="483158"/>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C37E2D0-B383-4D30-A2E1-1E1BB661FAD0}" type="TxLink">
            <a:rPr lang="en-US" sz="2800" b="0" i="0" u="none" strike="noStrike">
              <a:solidFill>
                <a:schemeClr val="accent1"/>
              </a:solidFill>
              <a:latin typeface="Calibri"/>
              <a:ea typeface="Calibri"/>
              <a:cs typeface="Calibri"/>
            </a:rPr>
            <a:t>665 Cr</a:t>
          </a:fld>
          <a:endParaRPr lang="en-IN" sz="6000" b="1" i="0" u="none" strike="noStrike">
            <a:solidFill>
              <a:schemeClr val="accent1"/>
            </a:solidFill>
            <a:latin typeface="Calibri"/>
            <a:ea typeface="Calibri"/>
            <a:cs typeface="Calibri"/>
          </a:endParaRPr>
        </a:p>
      </xdr:txBody>
    </xdr:sp>
    <xdr:clientData/>
  </xdr:oneCellAnchor>
  <xdr:twoCellAnchor editAs="oneCell">
    <xdr:from>
      <xdr:col>1</xdr:col>
      <xdr:colOff>147551</xdr:colOff>
      <xdr:row>7</xdr:row>
      <xdr:rowOff>137159</xdr:rowOff>
    </xdr:from>
    <xdr:to>
      <xdr:col>4</xdr:col>
      <xdr:colOff>471055</xdr:colOff>
      <xdr:row>15</xdr:row>
      <xdr:rowOff>13854</xdr:rowOff>
    </xdr:to>
    <mc:AlternateContent xmlns:mc="http://schemas.openxmlformats.org/markup-compatibility/2006">
      <mc:Choice xmlns:a14="http://schemas.microsoft.com/office/drawing/2010/main" Requires="a14">
        <xdr:graphicFrame macro="">
          <xdr:nvGraphicFramePr>
            <xdr:cNvPr id="17" name="Movement">
              <a:extLst>
                <a:ext uri="{FF2B5EF4-FFF2-40B4-BE49-F238E27FC236}">
                  <a16:creationId xmlns:a16="http://schemas.microsoft.com/office/drawing/2014/main" id="{1778E176-A90E-D45D-FE75-CCA1D9FA659A}"/>
                </a:ext>
              </a:extLst>
            </xdr:cNvPr>
            <xdr:cNvGraphicFramePr/>
          </xdr:nvGraphicFramePr>
          <xdr:xfrm>
            <a:off x="0" y="0"/>
            <a:ext cx="0" cy="0"/>
          </xdr:xfrm>
          <a:graphic>
            <a:graphicData uri="http://schemas.microsoft.com/office/drawing/2010/slicer">
              <sle:slicer xmlns:sle="http://schemas.microsoft.com/office/drawing/2010/slicer" name="Movement"/>
            </a:graphicData>
          </a:graphic>
        </xdr:graphicFrame>
      </mc:Choice>
      <mc:Fallback>
        <xdr:sp macro="" textlink="">
          <xdr:nvSpPr>
            <xdr:cNvPr id="0" name=""/>
            <xdr:cNvSpPr>
              <a:spLocks noTextEdit="1"/>
            </xdr:cNvSpPr>
          </xdr:nvSpPr>
          <xdr:spPr>
            <a:xfrm>
              <a:off x="757151" y="1397923"/>
              <a:ext cx="2152304" cy="1317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133697</xdr:colOff>
      <xdr:row>16</xdr:row>
      <xdr:rowOff>81745</xdr:rowOff>
    </xdr:from>
    <xdr:to>
      <xdr:col>4</xdr:col>
      <xdr:colOff>457201</xdr:colOff>
      <xdr:row>26</xdr:row>
      <xdr:rowOff>110837</xdr:rowOff>
    </xdr:to>
    <mc:AlternateContent xmlns:mc="http://schemas.openxmlformats.org/markup-compatibility/2006">
      <mc:Choice xmlns:a14="http://schemas.microsoft.com/office/drawing/2010/main" Requires="a14">
        <xdr:graphicFrame macro="">
          <xdr:nvGraphicFramePr>
            <xdr:cNvPr id="18" name="Cap Category">
              <a:extLst>
                <a:ext uri="{FF2B5EF4-FFF2-40B4-BE49-F238E27FC236}">
                  <a16:creationId xmlns:a16="http://schemas.microsoft.com/office/drawing/2014/main" id="{D6C1EF1C-BA8F-0055-45DD-43D021F842EB}"/>
                </a:ext>
              </a:extLst>
            </xdr:cNvPr>
            <xdr:cNvGraphicFramePr/>
          </xdr:nvGraphicFramePr>
          <xdr:xfrm>
            <a:off x="0" y="0"/>
            <a:ext cx="0" cy="0"/>
          </xdr:xfrm>
          <a:graphic>
            <a:graphicData uri="http://schemas.microsoft.com/office/drawing/2010/slicer">
              <sle:slicer xmlns:sle="http://schemas.microsoft.com/office/drawing/2010/slicer" name="Cap Category"/>
            </a:graphicData>
          </a:graphic>
        </xdr:graphicFrame>
      </mc:Choice>
      <mc:Fallback>
        <xdr:sp macro="" textlink="">
          <xdr:nvSpPr>
            <xdr:cNvPr id="0" name=""/>
            <xdr:cNvSpPr>
              <a:spLocks noTextEdit="1"/>
            </xdr:cNvSpPr>
          </xdr:nvSpPr>
          <xdr:spPr>
            <a:xfrm>
              <a:off x="743297" y="2963490"/>
              <a:ext cx="2152304" cy="1830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175259</xdr:colOff>
      <xdr:row>28</xdr:row>
      <xdr:rowOff>69272</xdr:rowOff>
    </xdr:from>
    <xdr:to>
      <xdr:col>4</xdr:col>
      <xdr:colOff>498762</xdr:colOff>
      <xdr:row>38</xdr:row>
      <xdr:rowOff>83128</xdr:rowOff>
    </xdr:to>
    <mc:AlternateContent xmlns:mc="http://schemas.openxmlformats.org/markup-compatibility/2006">
      <mc:Choice xmlns:a14="http://schemas.microsoft.com/office/drawing/2010/main" Requires="a14">
        <xdr:graphicFrame macro="">
          <xdr:nvGraphicFramePr>
            <xdr:cNvPr id="19" name="Volume Category">
              <a:extLst>
                <a:ext uri="{FF2B5EF4-FFF2-40B4-BE49-F238E27FC236}">
                  <a16:creationId xmlns:a16="http://schemas.microsoft.com/office/drawing/2014/main" id="{C8020F79-6995-1C00-1598-74E97FEB7853}"/>
                </a:ext>
              </a:extLst>
            </xdr:cNvPr>
            <xdr:cNvGraphicFramePr/>
          </xdr:nvGraphicFramePr>
          <xdr:xfrm>
            <a:off x="0" y="0"/>
            <a:ext cx="0" cy="0"/>
          </xdr:xfrm>
          <a:graphic>
            <a:graphicData uri="http://schemas.microsoft.com/office/drawing/2010/slicer">
              <sle:slicer xmlns:sle="http://schemas.microsoft.com/office/drawing/2010/slicer" name="Volume Category"/>
            </a:graphicData>
          </a:graphic>
        </xdr:graphicFrame>
      </mc:Choice>
      <mc:Fallback>
        <xdr:sp macro="" textlink="">
          <xdr:nvSpPr>
            <xdr:cNvPr id="0" name=""/>
            <xdr:cNvSpPr>
              <a:spLocks noTextEdit="1"/>
            </xdr:cNvSpPr>
          </xdr:nvSpPr>
          <xdr:spPr>
            <a:xfrm>
              <a:off x="784859" y="5112327"/>
              <a:ext cx="2152303" cy="1814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KIT04" refreshedDate="46118.726426273148" createdVersion="8" refreshedVersion="8" minRefreshableVersion="3" recordCount="2122" xr:uid="{5E13A14C-2DB7-4403-BCBC-BF924BE41CFC}">
  <cacheSource type="worksheet">
    <worksheetSource name="Table1"/>
  </cacheSource>
  <cacheFields count="16">
    <cacheField name="SYMBOL" numFmtId="0">
      <sharedItems count="2122">
        <s v="ADANIENT"/>
        <s v="ADANIPORTS"/>
        <s v="APOLLOHOSP"/>
        <s v="ASIANPAINT"/>
        <s v="AXISBANK"/>
        <s v="BAJAJ-AUTO"/>
        <s v="BAJAJFINSV"/>
        <s v="BAJFINANCE"/>
        <s v="BEL"/>
        <s v="BHARTIARTL"/>
        <s v="CIPLA"/>
        <s v="COALINDIA"/>
        <s v="DRREDDY"/>
        <s v="EICHERMOT"/>
        <s v="ETERNAL"/>
        <s v="GRASIM"/>
        <s v="HCLTECH"/>
        <s v="HDFCBANK"/>
        <s v="HDFCLIFE"/>
        <s v="HINDALCO"/>
        <s v="HINDUNILVR"/>
        <s v="ICICIBANK"/>
        <s v="INDIGO"/>
        <s v="INFY"/>
        <s v="ITC"/>
        <s v="JIOFIN"/>
        <s v="JSWSTEEL"/>
        <s v="KOTAKBANK"/>
        <s v="LT"/>
        <s v="M&amp;M"/>
        <s v="MARUTI"/>
        <s v="MAXHEALTH"/>
        <s v="NESTLEIND"/>
        <s v="NTPC"/>
        <s v="ONGC"/>
        <s v="POWERGRID"/>
        <s v="RELIANCE"/>
        <s v="SBILIFE"/>
        <s v="SBIN"/>
        <s v="SHRIRAMFIN"/>
        <s v="SUNPHARMA"/>
        <s v="TATACONSUM"/>
        <s v="TATASTEEL"/>
        <s v="TCS"/>
        <s v="TECHM"/>
        <s v="TITAN"/>
        <s v="TMPV"/>
        <s v="TRENT"/>
        <s v="ULTRACEMCO"/>
        <s v="WIPRO"/>
        <s v="ABB"/>
        <s v="ADANIENSOL"/>
        <s v="ADANIGREEN"/>
        <s v="ADANIPOWER"/>
        <s v="AMBUJACEM"/>
        <s v="BAJAJHFL"/>
        <s v="BAJAJHLDNG"/>
        <s v="BANKBARODA"/>
        <s v="BOSCHLTD"/>
        <s v="BPCL"/>
        <s v="BRITANNIA"/>
        <s v="CANBK"/>
        <s v="CGPOWER"/>
        <s v="CHOLAFIN"/>
        <s v="DIVISLAB"/>
        <s v="DLF"/>
        <s v="DMART"/>
        <s v="ENRIN"/>
        <s v="GAIL"/>
        <s v="GODREJCP"/>
        <s v="HAL"/>
        <s v="HAVELLS"/>
        <s v="HINDZINC"/>
        <s v="HYUNDAI"/>
        <s v="ICICIGI"/>
        <s v="INDHOTEL"/>
        <s v="IOC"/>
        <s v="IRFC"/>
        <s v="JINDALSTEL"/>
        <s v="JSWENERGY"/>
        <s v="LICI"/>
        <s v="LODHA"/>
        <s v="LTM"/>
        <s v="MAZDOCK"/>
        <s v="MOTHERSON"/>
        <s v="NAUKRI"/>
        <s v="PFC"/>
        <s v="PIDILITIND"/>
        <s v="PNB"/>
        <s v="RECLTD"/>
        <s v="SHREECEM"/>
        <s v="SIEMENS"/>
        <s v="SOLARINDS"/>
        <s v="TATAPOWER"/>
        <s v="TORNTPHARM"/>
        <s v="TVSMOTOR"/>
        <s v="UNITDSPR"/>
        <s v="VBL"/>
        <s v="VEDL"/>
        <s v="ZYDUSLIFE"/>
        <s v="20MICRONS"/>
        <s v="21STCENMGM"/>
        <s v="360ONE"/>
        <s v="3IINFOLTD"/>
        <s v="3MINDIA"/>
        <s v="3PLAND"/>
        <s v="5PAISA"/>
        <s v="63MOONS"/>
        <s v="AAATECH"/>
        <s v="AADHARHFC"/>
        <s v="AAREYDRUGS"/>
        <s v="AARNAV"/>
        <s v="AARON"/>
        <s v="AARTECH"/>
        <s v="AARTIDRUGS"/>
        <s v="AARTIIND"/>
        <s v="AARTIPHARM"/>
        <s v="AARTISURF"/>
        <s v="AARVI"/>
        <s v="AAVAS"/>
        <s v="ABBOTINDIA"/>
        <s v="ABCAPITAL"/>
        <s v="ABCOTS"/>
        <s v="ABDL"/>
        <s v="ABFRL"/>
        <s v="ABINFRA"/>
        <s v="ABLBL"/>
        <s v="ABREL"/>
        <s v="ABSLAMC"/>
        <s v="ACC"/>
        <s v="ACCELYA"/>
        <s v="ACCURACY"/>
        <s v="ACE"/>
        <s v="ACEINTEG"/>
        <s v="ACI"/>
        <s v="ACL"/>
        <s v="ACMESOLAR"/>
        <s v="ACUTAAS"/>
        <s v="ADFFOODS"/>
        <s v="ADL"/>
        <s v="ADOR"/>
        <s v="ADROITINFO"/>
        <s v="ADSL"/>
        <s v="ADVAIT"/>
        <s v="ADVANCE"/>
        <s v="ADVANIHOTR"/>
        <s v="ADVENTHTL"/>
        <s v="ADVENZYMES"/>
        <s v="AEGISLOG"/>
        <s v="AEGISVOPAK"/>
        <s v="AEPL"/>
        <s v="AEQUS"/>
        <s v="AEROENTER"/>
        <s v="AEROFLEX"/>
        <s v="AERONEU"/>
        <s v="AETHER"/>
        <s v="AFCONS"/>
        <s v="AFFLE"/>
        <s v="AFFORDABLE"/>
        <s v="AFSL"/>
        <s v="AGARIND"/>
        <s v="AGARWALEYE"/>
        <s v="AGI"/>
        <s v="AGIIL"/>
        <s v="AGRITECH"/>
        <s v="AGROPHOS"/>
        <s v="AHCL"/>
        <s v="AHLADA"/>
        <s v="AHLEAST"/>
        <s v="AHLUCONT"/>
        <s v="AIAENG"/>
        <s v="AIIL"/>
        <s v="AIRAN"/>
        <s v="AIROLAM"/>
        <s v="AJANTPHARM"/>
        <s v="AJAXENGG"/>
        <s v="AJMERA"/>
        <s v="AJOONI"/>
        <s v="AKASH"/>
        <s v="AKG"/>
        <s v="AKI"/>
        <s v="AKSHAR"/>
        <s v="AKSHARCHEM"/>
        <s v="AKSHOPTFBR"/>
        <s v="AKUMS"/>
        <s v="AKZOINDIA"/>
        <s v="ALANKIT"/>
        <s v="ALBERTDAVD"/>
        <s v="ALEMBICLTD"/>
        <s v="ALGOQUANT"/>
        <s v="ALICON"/>
        <s v="ALIVUS"/>
        <s v="ALKALI"/>
        <s v="ALKEM"/>
        <s v="ALKYLAMINE"/>
        <s v="ALLCARGO"/>
        <s v="ALLDIGI"/>
        <s v="ALLTIME"/>
        <s v="ALMONDZ"/>
        <s v="ALOKINDS"/>
        <s v="ALPA"/>
        <s v="ALPHAGEO"/>
        <s v="AMAGI"/>
        <s v="AMANTA"/>
        <s v="AMBER"/>
        <s v="AMBICAAGAR"/>
        <s v="AMBIKCO"/>
        <s v="AMDIND"/>
        <s v="AMJLAND"/>
        <s v="AMNPLST"/>
        <s v="AMRUTANJAN"/>
        <s v="ANANDRATHI"/>
        <s v="ANANTRAJ"/>
        <s v="ANDHRAPAP"/>
        <s v="ANDHRSUGAR"/>
        <s v="ANGELONE"/>
        <s v="ANIKINDS"/>
        <s v="ANMOL"/>
        <s v="ANTELOPUS"/>
        <s v="ANTGRAPHIC"/>
        <s v="ANTHEM"/>
        <s v="ANUHPHR"/>
        <s v="ANUP"/>
        <s v="ANURAS"/>
        <s v="APARINDS"/>
        <s v="APCL"/>
        <s v="APCOTEXIND"/>
        <s v="APEX"/>
        <s v="APLAPOLLO"/>
        <s v="APLLTD"/>
        <s v="APOLLO"/>
        <s v="APOLLOPIPE"/>
        <s v="APOLLOTYRE"/>
        <s v="APOLSINHOT"/>
        <s v="APTECHT"/>
        <s v="APTUS"/>
        <s v="AQYLON"/>
        <s v="ARCHIDPLY"/>
        <s v="ARCHIES"/>
        <s v="ARE&amp;M"/>
        <s v="ARENTERP"/>
        <s v="ARFIN"/>
        <s v="ARIES"/>
        <s v="ARIHANTCAP"/>
        <s v="ARIHANTSUP"/>
        <s v="ARIS"/>
        <s v="ARKADE"/>
        <s v="ARMANFIN"/>
        <s v="AROGRANITE"/>
        <s v="ARROWGREEN"/>
        <s v="ARSSBL"/>
        <s v="ARTEMISMED"/>
        <s v="ARTNIRMAN"/>
        <s v="ARVIND"/>
        <s v="ARVINDFASN"/>
        <s v="ARVSMART"/>
        <s v="ASAHIINDIA"/>
        <s v="ASAHISONG"/>
        <s v="ASAL"/>
        <s v="ASALCBR"/>
        <s v="ASHAPURMIN"/>
        <s v="ASHIANA"/>
        <s v="ASHIMASYN"/>
        <s v="ASHOKA"/>
        <s v="ASHOKAMET"/>
        <s v="ASHOKLEY"/>
        <s v="ASIANENE"/>
        <s v="ASIANHOTNR"/>
        <s v="ASIANTILES"/>
        <s v="ASKAUTOLTD"/>
        <s v="ASMS"/>
        <s v="ASPINWALL"/>
        <s v="ASTEC"/>
        <s v="ASTERDM"/>
        <s v="ASTRAL"/>
        <s v="ASTRAMICRO"/>
        <s v="ASTRAZEN"/>
        <s v="ASTRON"/>
        <s v="ATALREAL"/>
        <s v="ATAM"/>
        <s v="ATGL"/>
        <s v="ATHERENERG"/>
        <s v="ATL"/>
        <s v="ATLANTAA"/>
        <s v="ATLANTAELE"/>
        <s v="ATLASCYCLE"/>
        <s v="ATUL"/>
        <s v="ATULAUTO"/>
        <s v="AUBANK"/>
        <s v="AURIGROW"/>
        <s v="AURIONPRO"/>
        <s v="AUROPHARMA"/>
        <s v="AURUM"/>
        <s v="AUTOAXLES"/>
        <s v="AUTOIND"/>
        <s v="AVADHSUGAR"/>
        <s v="AVALON"/>
        <s v="AVANTEL"/>
        <s v="AVANTIFEED"/>
        <s v="AVG"/>
        <s v="AVL"/>
        <s v="AVONMORE"/>
        <s v="AVROIND"/>
        <s v="AVTNPL"/>
        <s v="AWFIS"/>
        <s v="AWHCL"/>
        <s v="AWL"/>
        <s v="AXISCADES"/>
        <s v="AYE"/>
        <s v="AYMSYNTEX"/>
        <s v="AZAD"/>
        <s v="BAFNAPH"/>
        <s v="BAGFILMS"/>
        <s v="BAIDFIN"/>
        <s v="BAJAJCON"/>
        <s v="BAJAJELEC"/>
        <s v="BAJAJHCARE"/>
        <s v="BAJAJHIND"/>
        <s v="BAJAJINDEF"/>
        <s v="BAJEL"/>
        <s v="BALAJEE"/>
        <s v="BALAJITELE"/>
        <s v="BALAMINES"/>
        <s v="BALAXI"/>
        <s v="BALKRISHNA"/>
        <s v="BALKRISIND"/>
        <s v="BALMLAWRIE"/>
        <s v="BALPHARMA"/>
        <s v="BALRAMCHIN"/>
        <s v="BALUFORGE"/>
        <s v="BANARBEADS"/>
        <s v="BANARISUG"/>
        <s v="BANCOINDIA"/>
        <s v="BANDHANBNK"/>
        <s v="BANG"/>
        <s v="BANKA"/>
        <s v="BANKINDIA"/>
        <s v="BANSALWIRE"/>
        <s v="BANSWRAS"/>
        <s v="BASF"/>
        <s v="BASML"/>
        <s v="BATAINDIA"/>
        <s v="BAYERCROP"/>
        <s v="BBL"/>
        <s v="BBOX"/>
        <s v="BBTC"/>
        <s v="BBTCL"/>
        <s v="BCLIND"/>
        <s v="BCONCEPTS"/>
        <s v="BDL"/>
        <s v="BEARDSELL"/>
        <s v="BECTORFOOD"/>
        <s v="BELLACASA"/>
        <s v="BELRISE"/>
        <s v="BEML"/>
        <s v="BEPL"/>
        <s v="BERGEPAINT"/>
        <s v="BETA"/>
        <s v="BFINVEST"/>
        <s v="BHAGCHEM"/>
        <s v="BHAGERIA"/>
        <s v="BHAGYANGR"/>
        <s v="BHANDARI"/>
        <s v="BHARATCOAL"/>
        <s v="BHARATFORG"/>
        <s v="BHARATGEAR"/>
        <s v="BHARATRAS"/>
        <s v="BHARATSE"/>
        <s v="BHARATWIRE"/>
        <s v="BHARTIHEXA"/>
        <s v="BHEL"/>
        <s v="BIGBLOC"/>
        <s v="BIKAJI"/>
        <s v="BIL"/>
        <s v="BIOCON"/>
        <s v="BIOFILCHEM"/>
        <s v="BIRLACABLE"/>
        <s v="BIRLACORPN"/>
        <s v="BIRLAMONEY"/>
        <s v="BIRLANU"/>
        <s v="BLACKBUCK"/>
        <s v="BLAL"/>
        <s v="BLISSGVS"/>
        <s v="BLKASHYAP"/>
        <s v="BLS"/>
        <s v="BLSE"/>
        <s v="BLUECOAST"/>
        <s v="BLUEDART"/>
        <s v="BLUEJET"/>
        <s v="BLUESTARCO"/>
        <s v="BLUESTONE"/>
        <s v="BLUSPRING"/>
        <s v="BMWVENTLTD"/>
        <s v="BODALCHEM"/>
        <s v="BOMDYEING"/>
        <s v="BOROLTD"/>
        <s v="BORORENEW"/>
        <s v="BOROSCI"/>
        <s v="BOSCH-HCIL"/>
        <s v="BPL"/>
        <s v="BRIGADE"/>
        <s v="BRIGHOTEL"/>
        <s v="BRNL"/>
        <s v="BROOKS"/>
        <s v="BSE"/>
        <s v="BSHSL"/>
        <s v="BSL"/>
        <s v="BSOFT"/>
        <s v="BTML"/>
        <s v="BUILDPRO"/>
        <s v="BUTTERFLY"/>
        <s v="BVCL"/>
        <s v="BYKE"/>
        <s v="CALSOFT"/>
        <s v="CAMLINFINE"/>
        <s v="CAMPUS"/>
        <s v="CAMS"/>
        <s v="CANFINHOME"/>
        <s v="CANHLIFE"/>
        <s v="CANTABIL"/>
        <s v="CAPACITE"/>
        <s v="CAPILLARY"/>
        <s v="CAPITALSFB"/>
        <s v="CAPLIPOINT"/>
        <s v="CARBORUNIV"/>
        <s v="CARERATING"/>
        <s v="CARRARO"/>
        <s v="CARTRADE"/>
        <s v="CARYSIL"/>
        <s v="CASTROLIND"/>
        <s v="CCAVENUE"/>
        <s v="CCCL"/>
        <s v="CCHHL"/>
        <s v="CCL"/>
        <s v="CDSL"/>
        <s v="CEATLTD"/>
        <s v="CEIGALL"/>
        <s v="CEINSYS"/>
        <s v="CELEBRITY"/>
        <s v="CELLO"/>
        <s v="CEMPRO"/>
        <s v="CENTENKA"/>
        <s v="CENTEXT"/>
        <s v="CENTRALBK"/>
        <s v="CENTRUM"/>
        <s v="CENTUM"/>
        <s v="CENTURYPLY"/>
        <s v="CERA"/>
        <s v="CESC"/>
        <s v="CEWATER"/>
        <s v="CGCL"/>
        <s v="CHALET"/>
        <s v="CHAMBLFERT"/>
        <s v="CHEMBOND"/>
        <s v="CHEMBONDCH"/>
        <s v="CHEMCON"/>
        <s v="CHEMFAB"/>
        <s v="CHEMPLASTS"/>
        <s v="CHENNPETRO"/>
        <s v="CHEVIOT"/>
        <s v="CHOICEIN"/>
        <s v="CHOLAHLDNG"/>
        <s v="CIEINDIA"/>
        <s v="CIFL"/>
        <s v="CIGNITITEC"/>
        <s v="CINELINE"/>
        <s v="CINEVISTA"/>
        <s v="CLEAN"/>
        <s v="CLEANMAX"/>
        <s v="CLSEL"/>
        <s v="CMSINFO"/>
        <s v="CNL"/>
        <s v="COASTCORP"/>
        <s v="COCHINSHIP"/>
        <s v="COFFEEDAY"/>
        <s v="COFORGE"/>
        <s v="COHANCE"/>
        <s v="COLPAL"/>
        <s v="COMPUSOFT"/>
        <s v="COMSYN"/>
        <s v="CONCOR"/>
        <s v="CONCORDBIO"/>
        <s v="CONFIPET"/>
        <s v="CONTROLPR"/>
        <s v="CORALFINAC"/>
        <s v="CORDSCABLE"/>
        <s v="COROMANDEL"/>
        <s v="CORONA"/>
        <s v="COSMOFIRST"/>
        <s v="COUNCODOS"/>
        <s v="CPCAP"/>
        <s v="CPEDU"/>
        <s v="CPPLUS"/>
        <s v="CRAFTSMAN"/>
        <s v="CRAMC"/>
        <s v="CREATIVEYE"/>
        <s v="CREDITACC"/>
        <s v="CREST"/>
        <s v="CRISIL"/>
        <s v="CRIZAC"/>
        <s v="CROMPTON"/>
        <s v="CROWN"/>
        <s v="CSBBANK"/>
        <s v="CSLFINANCE"/>
        <s v="CTE"/>
        <s v="CUB"/>
        <s v="CUBEXTUB"/>
        <s v="CUMMINSIND"/>
        <s v="CUPID"/>
        <s v="CYBERMEDIA"/>
        <s v="CYBERTECH"/>
        <s v="CYIENT"/>
        <s v="CYIENTDLM"/>
        <s v="DABUR"/>
        <s v="DALBHARAT"/>
        <s v="DALMIASUG"/>
        <s v="DAMCAPITAL"/>
        <s v="DAMODARIND"/>
        <s v="DANGEE"/>
        <s v="DATAMATICS"/>
        <s v="DATAPATTNS"/>
        <s v="DAVANGERE"/>
        <s v="DBCORP"/>
        <s v="DBEIL"/>
        <s v="DBL"/>
        <s v="DBOL"/>
        <s v="DBREALTY"/>
        <s v="DBSTOCKBRO"/>
        <s v="DCAL"/>
        <s v="DCBBANK"/>
        <s v="DCI"/>
        <s v="DCM"/>
        <s v="DCMNVL"/>
        <s v="DCMSHRIRAM"/>
        <s v="DCMSRIND"/>
        <s v="DCW"/>
        <s v="DCXINDIA"/>
        <s v="DDEVPLSTIK"/>
        <s v="DECCANCE"/>
        <s v="DEEDEV"/>
        <s v="DEEPAKFERT"/>
        <s v="DEEPAKNTR"/>
        <s v="DEEPINDS"/>
        <s v="DELHIVERY"/>
        <s v="DELPHIFX"/>
        <s v="DELTACORP"/>
        <s v="DELTAMAGNT"/>
        <s v="DEN"/>
        <s v="DENORA"/>
        <s v="DENTA"/>
        <s v="DEVIT"/>
        <s v="DEVX"/>
        <s v="DEVYANI"/>
        <s v="DGCONTENT"/>
        <s v="DHAMPURSUG"/>
        <s v="DHANBANK"/>
        <s v="DHANUKA"/>
        <s v="DHARMAJ"/>
        <s v="DHRUV"/>
        <s v="DHUNINV"/>
        <s v="DIACABS"/>
        <s v="DIAMINESQ"/>
        <s v="DIAMONDYD"/>
        <s v="DICIND"/>
        <s v="DIFFNKG"/>
        <s v="DIGIDRIVE"/>
        <s v="DIGISPICE"/>
        <s v="DIGITIDE"/>
        <s v="DIGJAMLMTD"/>
        <s v="DISHTV"/>
        <s v="DIVGIITTS"/>
        <s v="DIXON"/>
        <s v="DLINKINDIA"/>
        <s v="DMCC"/>
        <s v="DNAMEDIA"/>
        <s v="DODLA"/>
        <s v="DOLATALGO"/>
        <s v="DOLLAR"/>
        <s v="DOLPHIN"/>
        <s v="DOMS"/>
        <s v="DONEAR"/>
        <s v="DPABHUSHAN"/>
        <s v="DPSCLTD"/>
        <s v="DPWIRES"/>
        <s v="DRCSYSTEMS"/>
        <s v="DREAMFOLKS"/>
        <s v="DREDGECORP"/>
        <s v="DSFCL"/>
        <s v="DSSL"/>
        <s v="DTIL"/>
        <s v="DUCON"/>
        <s v="DVL"/>
        <s v="DWARKESH"/>
        <s v="DYCL"/>
        <s v="DYNAMATECH"/>
        <s v="DYNPRO"/>
        <s v="EASEMYTRIP"/>
        <s v="EBGNG"/>
        <s v="ECLERX"/>
        <s v="ECOSMOBLTY"/>
        <s v="EDELWEISS"/>
        <s v="EFCIL"/>
        <s v="EIDPARRY"/>
        <s v="EIEL"/>
        <s v="EIFFL"/>
        <s v="EIHAHOTELS"/>
        <s v="EIHOTEL"/>
        <s v="EIMCOELECO"/>
        <s v="EKC"/>
        <s v="ELDEHSG"/>
        <s v="ELECON"/>
        <s v="ELECTCAST"/>
        <s v="ELECTHERM"/>
        <s v="ELGIEQUIP"/>
        <s v="ELGIRUBCO"/>
        <s v="ELIN"/>
        <s v="ELLEN"/>
        <s v="EMAMILTD"/>
        <s v="EMAMIPAP"/>
        <s v="EMAMIREAL"/>
        <s v="EMCURE"/>
        <s v="EMIL"/>
        <s v="EMKAY"/>
        <s v="EMMBI"/>
        <s v="EMMVEE"/>
        <s v="EMSLIMITED"/>
        <s v="EMUDHRA"/>
        <s v="ENDURANCE"/>
        <s v="ENERGYDEV"/>
        <s v="ENGINERSIN"/>
        <s v="ENIL"/>
        <s v="ENTERO"/>
        <s v="EPACK"/>
        <s v="EPACKPEB"/>
        <s v="EPIGRAL"/>
        <s v="EPL"/>
        <s v="EQUITASBNK"/>
        <s v="ERIS"/>
        <s v="ESABINDIA"/>
        <s v="ESAFSFB"/>
        <s v="ESCORTS"/>
        <s v="ESSARSHPNG"/>
        <s v="ESSENTIA"/>
        <s v="ESTER"/>
        <s v="ETHOSLTD"/>
        <s v="EUREKAFORB"/>
        <s v="EUROBOND"/>
        <s v="EUROPRATIK"/>
        <s v="EUROTEXIND"/>
        <s v="EVEREADY"/>
        <s v="EVERESTIND"/>
        <s v="EXCEL"/>
        <s v="EXCELINDUS"/>
        <s v="EXCELSOFT"/>
        <s v="EXICOM"/>
        <s v="EXIDEIND"/>
        <s v="EXPLEOSOL"/>
        <s v="EXXARO"/>
        <s v="FABTECH"/>
        <s v="FACT"/>
        <s v="FAIRCHEMOR"/>
        <s v="FCL"/>
        <s v="FCSSOFT"/>
        <s v="FDC"/>
        <s v="FEDERALBNK"/>
        <s v="FEDFINA"/>
        <s v="FIEMIND"/>
        <s v="FILATEX"/>
        <s v="FILATFASH"/>
        <s v="FINCABLES"/>
        <s v="FINEORG"/>
        <s v="FINKURVE"/>
        <s v="FINOPB"/>
        <s v="FINPIPE"/>
        <s v="FIRSTCRY"/>
        <s v="FISCHER"/>
        <s v="FIVESTAR"/>
        <s v="FLAIR"/>
        <s v="FLEXITUFF"/>
        <s v="FLUOROCHEM"/>
        <s v="FMGOETZE"/>
        <s v="FMNL"/>
        <s v="FOCUS"/>
        <s v="FOODSIN"/>
        <s v="FORCEMOT"/>
        <s v="FORTIS"/>
        <s v="FOSECOIND"/>
        <s v="FRACTAL"/>
        <s v="FSL"/>
        <s v="FUSION"/>
        <s v="GABRIEL"/>
        <s v="GAEL"/>
        <s v="GALAPREC"/>
        <s v="GALAXYSURF"/>
        <s v="GALLANTT"/>
        <s v="GANDHAR"/>
        <s v="GANDHITUBE"/>
        <s v="GANECOS"/>
        <s v="GANESHBE"/>
        <s v="GANESHCP"/>
        <s v="GANESHHOU"/>
        <s v="GANGAFORGE"/>
        <s v="GANGESSECU"/>
        <s v="GARFIBRES"/>
        <s v="GARUDA"/>
        <s v="GATECH"/>
        <s v="GATECHDVR"/>
        <s v="GATEWAY"/>
        <s v="GAUDIUMIVF"/>
        <s v="GAYAHWS"/>
        <s v="GEECEE"/>
        <s v="GEEKAYWIRE"/>
        <s v="GENCON"/>
        <s v="GENESYS"/>
        <s v="GENUSPAPER"/>
        <s v="GENUSPOWER"/>
        <s v="GEOJITFSL"/>
        <s v="GESHIP"/>
        <s v="GFLLIMITED"/>
        <s v="GHCL"/>
        <s v="GHCLTEXTIL"/>
        <s v="GICHSGFIN"/>
        <s v="GICL"/>
        <s v="GICRE"/>
        <s v="GILLANDERS"/>
        <s v="GILLETTE"/>
        <s v="GINNIFILA"/>
        <s v="GIPCL"/>
        <s v="GKENERGY"/>
        <s v="GKSL"/>
        <s v="GKWLIMITED"/>
        <s v="GLAND"/>
        <s v="GLAXO"/>
        <s v="GLENMARK"/>
        <s v="GLOBAL"/>
        <s v="GLOBALE"/>
        <s v="GLOBALVECT"/>
        <s v="GLOBE"/>
        <s v="GLOBECIVIL"/>
        <s v="GLOBUSSPR"/>
        <s v="GLOSTERLTD"/>
        <s v="GLOTTIS"/>
        <s v="GMBREW"/>
        <s v="GMDCLTD"/>
        <s v="GMMPFAUDLR"/>
        <s v="GMRAIRPORT"/>
        <s v="GMRP&amp;UI"/>
        <s v="GNA"/>
        <s v="GNFC"/>
        <s v="GOACARBON"/>
        <s v="GOCLCORP"/>
        <s v="GOCOLORS"/>
        <s v="GODAVARIB"/>
        <s v="GODFRYPHLP"/>
        <s v="GODIGIT"/>
        <s v="GODREJAGRO"/>
        <s v="GODREJIND"/>
        <s v="GODREJPROP"/>
        <s v="GOKEX"/>
        <s v="GOKUL"/>
        <s v="GOKULAGRO"/>
        <s v="GOLDIAM"/>
        <s v="GOLDTECH"/>
        <s v="GOODLUCK"/>
        <s v="GOPAL"/>
        <s v="GPIL"/>
        <s v="GPPL"/>
        <s v="GPTHEALTH"/>
        <s v="GPTINFRA"/>
        <s v="GRANULES"/>
        <s v="GRAPHITE"/>
        <s v="GRAVITA"/>
        <s v="GREAVESCOT"/>
        <s v="GREENLAM"/>
        <s v="GREENPANEL"/>
        <s v="GREENPLY"/>
        <s v="GREENPOWER"/>
        <s v="GRINDWELL"/>
        <s v="GRINFRA"/>
        <s v="GRMOVER"/>
        <s v="GROBTEA"/>
        <s v="GROWW"/>
        <s v="GRPLTD"/>
        <s v="GRSE"/>
        <s v="GRWRHITECH"/>
        <s v="GSFC"/>
        <s v="GSLSU"/>
        <s v="GSPL"/>
        <s v="GSS"/>
        <s v="GTECJAINX"/>
        <s v="GTL"/>
        <s v="GTLINFRA"/>
        <s v="GTPL"/>
        <s v="GUFICBIO"/>
        <s v="GUJALKALI"/>
        <s v="GUJAPOLLO"/>
        <s v="GUJGASLTD"/>
        <s v="GUJRAFFIA"/>
        <s v="GUJTHEM"/>
        <s v="GULFOILLUB"/>
        <s v="GULFPETRO"/>
        <s v="GULPOLY"/>
        <s v="GVPTECH"/>
        <s v="GVT&amp;D"/>
        <s v="HALDER"/>
        <s v="HALEOSLABS"/>
        <s v="HAPPSTMNDS"/>
        <s v="HAPPYFORGE"/>
        <s v="HARIOMPIPE"/>
        <s v="HARRMALAYA"/>
        <s v="HARSHA"/>
        <s v="HATHWAY"/>
        <s v="HATSUN"/>
        <s v="HAVISHA"/>
        <s v="HBLENGINE"/>
        <s v="HBSL"/>
        <s v="HCC"/>
        <s v="HCG"/>
        <s v="HCL-INSYS"/>
        <s v="HDBFS"/>
        <s v="HDFCAMC"/>
        <s v="HEADSUP"/>
        <s v="HECPROJECT"/>
        <s v="HEG"/>
        <s v="HEIDELBERG"/>
        <s v="HEMIPROP"/>
        <s v="HERANBA"/>
        <s v="HERITGFOOD"/>
        <s v="HEROMOTOCO"/>
        <s v="HESTERBIO"/>
        <s v="HEXATRADEX"/>
        <s v="HEXT"/>
        <s v="HFCL"/>
        <s v="HGINFRA"/>
        <s v="HGM"/>
        <s v="HGS"/>
        <s v="HIKAL"/>
        <s v="HILINFRA"/>
        <s v="HILTON"/>
        <s v="HIMATSEIDE"/>
        <s v="HINDCOMPOS"/>
        <s v="HINDCON"/>
        <s v="HINDCOPPER"/>
        <s v="HINDOILEXP"/>
        <s v="HINDPETRO"/>
        <s v="HINDWAREAP"/>
        <s v="HIRECT"/>
        <s v="HISARMETAL"/>
        <s v="HITECH"/>
        <s v="HITECHCORP"/>
        <s v="HLEGLAS"/>
        <s v="HLVLTD"/>
        <s v="HMAAGRO"/>
        <s v="HMVL"/>
        <s v="HNDFDS"/>
        <s v="HOMEFIRST"/>
        <s v="HONASA"/>
        <s v="HONAUT"/>
        <s v="HONDAPOWER"/>
        <s v="HPAL"/>
        <s v="HPIL"/>
        <s v="HPL"/>
        <s v="HSCL"/>
        <s v="HTMEDIA"/>
        <s v="HUBTOWN"/>
        <s v="HUDCO"/>
        <s v="HUHTAMAKI"/>
        <s v="HYBRIDFIN"/>
        <s v="IBULLSLTD"/>
        <s v="ICEMAKE"/>
        <s v="ICICIAMC"/>
        <s v="ICICIPRULI"/>
        <s v="ICIL"/>
        <s v="ICRA"/>
        <s v="IDBI"/>
        <s v="IDEA"/>
        <s v="IDEAFORGE"/>
        <s v="IDFCFIRSTB"/>
        <s v="IEX"/>
        <s v="IFBAGRO"/>
        <s v="IFBIND"/>
        <s v="IFCI"/>
        <s v="IFGLEXPOR"/>
        <s v="IGARASHI"/>
        <s v="IGCL"/>
        <s v="IGIL"/>
        <s v="IGL"/>
        <s v="IGPL"/>
        <s v="IIFL"/>
        <s v="IIFLCAPS"/>
        <s v="IITL"/>
        <s v="IKIO"/>
        <s v="IKS"/>
        <s v="IMAGICAA"/>
        <s v="IMFA"/>
        <s v="IMPAL"/>
        <s v="INA"/>
        <s v="INCREDIBLE"/>
        <s v="INDBANK"/>
        <s v="INDGN"/>
        <s v="INDIACEM"/>
        <s v="INDIAGLYCO"/>
        <s v="INDIAMART"/>
        <s v="INDIANB"/>
        <s v="INDIANCARD"/>
        <s v="INDIANHUME"/>
        <s v="INDIASHLTR"/>
        <s v="INDIGOPNTS"/>
        <s v="INDIQUBE"/>
        <s v="INDNIPPON"/>
        <s v="INDOAMIN"/>
        <s v="INDOBORAX"/>
        <s v="INDOCO"/>
        <s v="INDOFARM"/>
        <s v="INDORAMA"/>
        <s v="INDOSTAR"/>
        <s v="INDOTECH"/>
        <s v="INDOTHAI"/>
        <s v="INDOUS"/>
        <s v="INDOWIND"/>
        <s v="INDRAMEDCO"/>
        <s v="INDSWFTLAB"/>
        <s v="INDTERRAIN"/>
        <s v="INDUSINDBK"/>
        <s v="INDUSTOWER"/>
        <s v="INFOBEAN"/>
        <s v="INFOMEDIA"/>
        <s v="INGERRAND"/>
        <s v="INNOVACAP"/>
        <s v="INNOVANA"/>
        <s v="INNOVISION"/>
        <s v="INOXGREEN"/>
        <s v="INOXINDIA"/>
        <s v="INOXWIND"/>
        <s v="INSECTICID"/>
        <s v="INTELLECT"/>
        <s v="INTENTECH"/>
        <s v="INTERARCH"/>
        <s v="INTLCONV"/>
        <s v="INVENTURE"/>
        <s v="IOB"/>
        <s v="IOLCP"/>
        <s v="IONEXCHANG"/>
        <s v="IPCALAB"/>
        <s v="IPL"/>
        <s v="IRB"/>
        <s v="IRCON"/>
        <s v="IRCTC"/>
        <s v="IREDA"/>
        <s v="IRIS"/>
        <s v="IRISDOREME"/>
        <s v="IRMENERGY"/>
        <s v="ISFT"/>
        <s v="ISGEC"/>
        <s v="ISHANCH"/>
        <s v="ITCHOTELS"/>
        <s v="ITDC"/>
        <s v="ITI"/>
        <s v="IVALUE"/>
        <s v="IVC"/>
        <s v="IVP"/>
        <s v="IXIGO"/>
        <s v="J&amp;KBANK"/>
        <s v="JAGRAN"/>
        <s v="JAGSNPHARM"/>
        <s v="JAIBALAJI"/>
        <s v="JAICORPLTD"/>
        <s v="JAINREC"/>
        <s v="JAIPURKURT"/>
        <s v="JAMNAAUTO"/>
        <s v="JARO"/>
        <s v="JASH"/>
        <s v="JAYAGROGN"/>
        <s v="JAYBARMARU"/>
        <s v="JAYKAY"/>
        <s v="JAYNECOIND"/>
        <s v="JAYSREETEA"/>
        <s v="JBCHEPHARM"/>
        <s v="JBMA"/>
        <s v="JETFREIGHT"/>
        <s v="JGCHEM"/>
        <s v="JHS"/>
        <s v="JINDALPHOT"/>
        <s v="JINDALPOLY"/>
        <s v="JINDALSAW"/>
        <s v="JINDRILL"/>
        <s v="JINDWORLD"/>
        <s v="JISLDVREQS"/>
        <s v="JISLJALEQS"/>
        <s v="JKCEMENT"/>
        <s v="JKIL"/>
        <s v="JKIPL"/>
        <s v="JKLAKSHMI"/>
        <s v="JKPAPER"/>
        <s v="JKTYRE"/>
        <s v="JLHL"/>
        <s v="JMA"/>
        <s v="JMFINANCIL"/>
        <s v="JNKINDIA"/>
        <s v="JOCIL"/>
        <s v="JPOLYINVST"/>
        <s v="JPPOWER"/>
        <s v="JSFB"/>
        <s v="JSL"/>
        <s v="JSLL"/>
        <s v="JSWCEMENT"/>
        <s v="JSWHL"/>
        <s v="JSWINFRA"/>
        <s v="JTEKTINDIA"/>
        <s v="JTLIND"/>
        <s v="JUBLCPL"/>
        <s v="JUBLFOOD"/>
        <s v="JUBLINGREA"/>
        <s v="JUBLPHARMA"/>
        <s v="JUNIPER"/>
        <s v="JUSTDIAL"/>
        <s v="JWL"/>
        <s v="JYOTHYLAB"/>
        <s v="JYOTICNC"/>
        <s v="JYOTISTRUC"/>
        <s v="KABRAEXTRU"/>
        <s v="KAJARIACER"/>
        <s v="KAKATCEM"/>
        <s v="KALAMANDIR"/>
        <s v="KALPATARU"/>
        <s v="KALYANIFRG"/>
        <s v="KALYANKJIL"/>
        <s v="KAMATHOTEL"/>
        <s v="KAMDHENU"/>
        <s v="KAMOPAINTS"/>
        <s v="KANANIIND"/>
        <s v="KANORICHEM"/>
        <s v="KANPRPLA"/>
        <s v="KANSAINER"/>
        <s v="KARMAENG"/>
        <s v="KARURVYSYA"/>
        <s v="KAUSHALYA"/>
        <s v="KAYA"/>
        <s v="KAYNES"/>
        <s v="KCP"/>
        <s v="KCPSUGIND"/>
        <s v="KDDL"/>
        <s v="KEC"/>
        <s v="KECL"/>
        <s v="KEEPLEARN"/>
        <s v="KEI"/>
        <s v="KELLTONTEC"/>
        <s v="KERNEX"/>
        <s v="KESORAMIND"/>
        <s v="KEYFINSERV"/>
        <s v="KFINTECH"/>
        <s v="KHADIM"/>
        <s v="KHAICHEM"/>
        <s v="KHAITANLTD"/>
        <s v="KHANDSE"/>
        <s v="KICL"/>
        <s v="KILITCH"/>
        <s v="KIMS"/>
        <s v="KINGFA"/>
        <s v="KIOCL"/>
        <s v="KIRIINDUS"/>
        <s v="KIRLOSBROS"/>
        <s v="KIRLOSENG"/>
        <s v="KIRLOSIND"/>
        <s v="KIRLPNU"/>
        <s v="KITEX"/>
        <s v="KKCL"/>
        <s v="KMEW"/>
        <s v="KMSUGAR"/>
        <s v="KNAGRI"/>
        <s v="KNRCON"/>
        <s v="KOHINOOR"/>
        <s v="KOKUYOCMLN"/>
        <s v="KOLTEPATIL"/>
        <s v="KOPRAN"/>
        <s v="KOTARISUG"/>
        <s v="KOTHARIPET"/>
        <s v="KOTHARIPRO"/>
        <s v="KOTYARK"/>
        <s v="KPEL"/>
        <s v="KPIGREEN"/>
        <s v="KPIL"/>
        <s v="KPITTECH"/>
        <s v="KPRMILL"/>
        <s v="KRBL"/>
        <s v="KREBSBIO"/>
        <s v="KRIDHANINF"/>
        <s v="KRISHANA"/>
        <s v="KRISHIVAL"/>
        <s v="KRISHNADEF"/>
        <s v="KRITI"/>
        <s v="KRITIKA"/>
        <s v="KRITINUT"/>
        <s v="KRN"/>
        <s v="KRONOX"/>
        <s v="KROSS"/>
        <s v="KRSNAA"/>
        <s v="KRYSTAL"/>
        <s v="KSB"/>
        <s v="KSCL"/>
        <s v="KSHINTL"/>
        <s v="KSL"/>
        <s v="KSOLVES"/>
        <s v="KTKBANK"/>
        <s v="KUANTUM"/>
        <s v="KWIL"/>
        <s v="LAGNAM"/>
        <s v="LAL"/>
        <s v="LALPATHLAB"/>
        <s v="LAMBODHARA"/>
        <s v="LANDMARK"/>
        <s v="LAOPALA"/>
        <s v="LASA"/>
        <s v="LATENTVIEW"/>
        <s v="LATTEYS"/>
        <s v="LAURUSLABS"/>
        <s v="LAXMIDENTL"/>
        <s v="LAXMIINDIA"/>
        <s v="LEMERITE"/>
        <s v="LEMONTREE"/>
        <s v="LENSKART"/>
        <s v="LFIC"/>
        <s v="LGBBROSLTD"/>
        <s v="LGEINDIA"/>
        <s v="LGHL"/>
        <s v="LIBAS"/>
        <s v="LIBERTSHOE"/>
        <s v="LICHSGFIN"/>
        <s v="LIKHITHA"/>
        <s v="LINC"/>
        <s v="LINCOLN"/>
        <s v="LINDEINDIA"/>
        <s v="LLOYDSENGG"/>
        <s v="LLOYDSENT"/>
        <s v="LLOYDSME"/>
        <s v="LMW"/>
        <s v="LOKESHMACH"/>
        <s v="LORDSCHLO"/>
        <s v="LOTUSDEV"/>
        <s v="LOTUSEYE"/>
        <s v="LOVABLE"/>
        <s v="LPDC"/>
        <s v="LTF"/>
        <s v="LTFOODS"/>
        <s v="LTTS"/>
        <s v="LUMAXIND"/>
        <s v="LUMAXTECH"/>
        <s v="LUPIN"/>
        <s v="LUXIND"/>
        <s v="LXCHEM"/>
        <s v="LYKALABS"/>
        <s v="LYPSAGEMS"/>
        <s v="M&amp;MFIN"/>
        <s v="MACPOWER"/>
        <s v="MADHAV"/>
        <s v="MADHUCON"/>
        <s v="MADRASFERT"/>
        <s v="MAGADSUGAR"/>
        <s v="MAGNUM"/>
        <s v="MAHABANK"/>
        <s v="MAHAPEXLTD"/>
        <s v="MAHEPC"/>
        <s v="MAHESHWARI"/>
        <s v="MAHLIFE"/>
        <s v="MAHLOG"/>
        <s v="MAHSCOOTER"/>
        <s v="MAHSEAMLES"/>
        <s v="MAITHANALL"/>
        <s v="MALLCOM"/>
        <s v="MALUPAPER"/>
        <s v="MAMATA"/>
        <s v="MANAKCOAT"/>
        <s v="MANAKSIA"/>
        <s v="MANAKSTEEL"/>
        <s v="MANALIPETC"/>
        <s v="MANAPPURAM"/>
        <s v="MANBA"/>
        <s v="MANCREDIT"/>
        <s v="MANGLMCEM"/>
        <s v="MANINDS"/>
        <s v="MANINFRA"/>
        <s v="MANKIND"/>
        <s v="MANOMAY"/>
        <s v="MANORAMA"/>
        <s v="MANORG"/>
        <s v="MANUGRAPH"/>
        <s v="MANYAVAR"/>
        <s v="MAPMYINDIA"/>
        <s v="MARALOVER"/>
        <s v="MARATHON"/>
        <s v="MARICO"/>
        <s v="MARINE"/>
        <s v="MARKOLINES"/>
        <s v="MARKSANS"/>
        <s v="MARSONS"/>
        <s v="MASFIN"/>
        <s v="MASKINVEST"/>
        <s v="MASTEK"/>
        <s v="MASTERTR"/>
        <s v="MATRIMONY"/>
        <s v="MAWANASUG"/>
        <s v="MAXESTATES"/>
        <s v="MAXIND"/>
        <s v="MAYURUNIQ"/>
        <s v="MAZDA"/>
        <s v="MBAPL"/>
        <s v="MBEL"/>
        <s v="MBLINFRA"/>
        <s v="MCLEODRUSS"/>
        <s v="MCLOUD"/>
        <s v="MCX"/>
        <s v="MEDANTA"/>
        <s v="MEDIASSIST"/>
        <s v="MEDICAMEQ"/>
        <s v="MEDICO"/>
        <s v="MEDPLUS"/>
        <s v="MEESHO"/>
        <s v="MEGASTAR"/>
        <s v="MEIL"/>
        <s v="MENONBE"/>
        <s v="METROBRAND"/>
        <s v="METROPOLIS"/>
        <s v="MFML"/>
        <s v="MFSL"/>
        <s v="MGEL"/>
        <s v="MGL"/>
        <s v="MHLXMIRU"/>
        <s v="MHRIL"/>
        <s v="MICEL"/>
        <s v="MIDHANI"/>
        <s v="MIDWESTLTD"/>
        <s v="MINDACORP"/>
        <s v="MINDTECK"/>
        <s v="MIRCELECTR"/>
        <s v="MIRZAINT"/>
        <s v="MITCON"/>
        <s v="MITTAL"/>
        <s v="MKPL"/>
        <s v="MMFL"/>
        <s v="MMP"/>
        <s v="MMTC"/>
        <s v="MOBIKWIK"/>
        <s v="MODINATUR"/>
        <s v="MODIRUBBER"/>
        <s v="MODIS"/>
        <s v="MODISONLTD"/>
        <s v="MODTHREAD"/>
        <s v="MOHITIND"/>
        <s v="MOIL"/>
        <s v="MOKSH"/>
        <s v="MOL"/>
        <s v="MOLDTECH"/>
        <s v="MOLDTKPAC"/>
        <s v="MONARCH"/>
        <s v="MONEYBOXX"/>
        <s v="MONTECARLO"/>
        <s v="MOREPENLAB"/>
        <s v="MOSCHIP"/>
        <s v="MOTILALOFS"/>
        <s v="MOTISONS"/>
        <s v="MOTOGENFIN"/>
        <s v="MPHASIS"/>
        <s v="MPSLTD"/>
        <s v="MRF"/>
        <s v="MRPL"/>
        <s v="MSPL"/>
        <s v="MSTCLTD"/>
        <s v="MSUMI"/>
        <s v="MTARTECH"/>
        <s v="MTNL"/>
        <s v="MUFIN"/>
        <s v="MUFTI"/>
        <s v="MUKANDLTD"/>
        <s v="MUKKA"/>
        <s v="MUKTAARTS"/>
        <s v="MUNJALAU"/>
        <s v="MUNJALSHOW"/>
        <s v="MURUDCERA"/>
        <s v="MUTHOOTCAP"/>
        <s v="MUTHOOTFIN"/>
        <s v="MUTHOOTMF"/>
        <s v="MVGJL"/>
        <s v="MWL"/>
        <s v="NACLIND"/>
        <s v="NAGAFERT"/>
        <s v="NAGREEKCAP"/>
        <s v="NAGREEKEXP"/>
        <s v="NAHARCAP"/>
        <s v="NAHARINDUS"/>
        <s v="NAHARPOLY"/>
        <s v="NAHARSPING"/>
        <s v="NAM-INDIA"/>
        <s v="NARMADA"/>
        <s v="NATCAPSUQ"/>
        <s v="NATCOPHARM"/>
        <s v="NATHBIOGEN"/>
        <s v="NATIONALUM"/>
        <s v="NAVA"/>
        <s v="NAVINFLUOR"/>
        <s v="NAVKARCORP"/>
        <s v="NAVKARURB"/>
        <s v="NAVNETEDUL"/>
        <s v="NAZARA"/>
        <s v="NBCC"/>
        <s v="NBIFIN"/>
        <s v="NCC"/>
        <s v="NCLIND"/>
        <s v="NDGL"/>
        <s v="NDL"/>
        <s v="NDLVENTURE"/>
        <s v="NDRAUTO"/>
        <s v="NDTV"/>
        <s v="NECCLTD"/>
        <s v="NECLIFE"/>
        <s v="NELCAST"/>
        <s v="NELCO"/>
        <s v="NEOGEN"/>
        <s v="NEPHROPLUS"/>
        <s v="NESCO"/>
        <s v="NETWEB"/>
        <s v="NETWORK18"/>
        <s v="NEULANDLAB"/>
        <s v="NEWGEN"/>
        <s v="NEXTMEDIA"/>
        <s v="NFL"/>
        <s v="NGIL"/>
        <s v="NGLFINE"/>
        <s v="NH"/>
        <s v="NHPC"/>
        <s v="NIACL"/>
        <s v="NIBE"/>
        <s v="NIBL"/>
        <s v="NIITLTD"/>
        <s v="NIITMTS"/>
        <s v="NILAINFRA"/>
        <s v="NILASPACES"/>
        <s v="NILKAMAL"/>
        <s v="NINSYS"/>
        <s v="NIPPOBATRY"/>
        <s v="NIRAJ"/>
        <s v="NITCO"/>
        <s v="NITINSPIN"/>
        <s v="NITIRAJ"/>
        <s v="NIVABUPA"/>
        <s v="NKIND"/>
        <s v="NLCINDIA"/>
        <s v="NMDC"/>
        <s v="NOCIL"/>
        <s v="NOIDATOLL"/>
        <s v="NORTHARC"/>
        <s v="NOVAAGRI"/>
        <s v="NPST"/>
        <s v="NRAIL"/>
        <s v="NRBBEARING"/>
        <s v="NRL"/>
        <s v="NSIL"/>
        <s v="NSLNISP"/>
        <s v="NTPCGREEN"/>
        <s v="NUCLEUS"/>
        <s v="NURECA"/>
        <s v="NUVAMA"/>
        <s v="NUVOCO"/>
        <s v="NYKAA"/>
        <s v="OAL"/>
        <s v="OBCL"/>
        <s v="OBEROIRLTY"/>
        <s v="OCCLLTD"/>
        <s v="ODIGMA"/>
        <s v="OFSS"/>
        <s v="OIL"/>
        <s v="OILCOUNTUB"/>
        <s v="OLAELEC"/>
        <s v="OLECTRA"/>
        <s v="OMAXAUTO"/>
        <s v="OMAXE"/>
        <s v="OMFREIGHT"/>
        <s v="OMINFRAL"/>
        <s v="OMNI"/>
        <s v="ONELIFECAP"/>
        <s v="ONEPOINT"/>
        <s v="ONESOURCE"/>
        <s v="ONMOBILE"/>
        <s v="ONWARDTEC"/>
        <s v="OPTIEMUS"/>
        <s v="ORBTEXP"/>
        <s v="ORCHASP"/>
        <s v="ORCHPHARMA"/>
        <s v="ORICONENT"/>
        <s v="ORIENTALTL"/>
        <s v="ORIENTBELL"/>
        <s v="ORIENTCEM"/>
        <s v="ORIENTCER"/>
        <s v="ORIENTELEC"/>
        <s v="ORIENTHOT"/>
        <s v="ORIENTLTD"/>
        <s v="ORIENTPPR"/>
        <s v="ORIENTTECH"/>
        <s v="ORISSAMINE"/>
        <s v="ORKLAINDIA"/>
        <s v="OSIAHYPER"/>
        <s v="OSWALAGRO"/>
        <s v="OSWALGREEN"/>
        <s v="OSWALPUMPS"/>
        <s v="OSWALSEEDS"/>
        <s v="PACEDIGITK"/>
        <s v="PAGEIND"/>
        <s v="PAISALO"/>
        <s v="PAKKA"/>
        <s v="PALASHSECU"/>
        <s v="PALREDTEC"/>
        <s v="PANACEABIO"/>
        <s v="PANAMAPET"/>
        <s v="PANSARI"/>
        <s v="PAR"/>
        <s v="PARACABLES"/>
        <s v="PARADEEP"/>
        <s v="PARAGMILK"/>
        <s v="PARAS"/>
        <s v="PARKHOSPS"/>
        <s v="PARKHOTELS"/>
        <s v="PARSVNATH"/>
        <s v="PASHUPATI"/>
        <s v="PASUPTAC"/>
        <s v="PATANJALI"/>
        <s v="PATELENG"/>
        <s v="PATELRMART"/>
        <s v="PATINTLOG"/>
        <s v="PAUSHAKLTD"/>
        <s v="PAVNAIND"/>
        <s v="PAYTM"/>
        <s v="PCBL"/>
        <s v="PCJEWELLER"/>
        <s v="PDMJEPAPER"/>
        <s v="PDSL"/>
        <s v="PEARLPOLY"/>
        <s v="PENIND"/>
        <s v="PENINLAND"/>
        <s v="PERSISTENT"/>
        <s v="PETRONET"/>
        <s v="PFIZER"/>
        <s v="PFOCUS"/>
        <s v="PFS"/>
        <s v="PGEL"/>
        <s v="PGHH"/>
        <s v="PGHL"/>
        <s v="PGIL"/>
        <s v="PHOENIXLTD"/>
        <s v="PICCADIL"/>
        <s v="PIGL"/>
        <s v="PIIND"/>
        <s v="PILANIINVS"/>
        <s v="PILITA"/>
        <s v="PINELABS"/>
        <s v="PIONEEREMB"/>
        <s v="PIRAMALFIN"/>
        <s v="PITTIENG"/>
        <s v="PIXTRANS"/>
        <s v="PKTEA"/>
        <s v="PLASTIBLEN"/>
        <s v="PLATIND"/>
        <s v="PLAZACABLE"/>
        <s v="PNBGILTS"/>
        <s v="PNBHOUSING"/>
        <s v="PNC"/>
        <s v="PNCINFRA"/>
        <s v="PNGJL"/>
        <s v="PNGSREVA"/>
        <s v="POCL"/>
        <s v="PODDARMENT"/>
        <s v="POKARNA"/>
        <s v="POLICYBZR"/>
        <s v="POLYCAB"/>
        <s v="POLYMED"/>
        <s v="POLYPLEX"/>
        <s v="PONNIERODE"/>
        <s v="POONAWALLA"/>
        <s v="POWERINDIA"/>
        <s v="POWERMECH"/>
        <s v="PPAP"/>
        <s v="PPL"/>
        <s v="PPLPHARMA"/>
        <s v="PRABHA"/>
        <s v="PRAENG"/>
        <s v="PRAJIND"/>
        <s v="PRAKASH"/>
        <s v="PRAKASHSTL"/>
        <s v="PRAXIS"/>
        <s v="PRECAM"/>
        <s v="PRECWIRE"/>
        <s v="PREMEXPLN"/>
        <s v="PREMIERENE"/>
        <s v="PREMIERPOL"/>
        <s v="PRESTIGE"/>
        <s v="PRICOLLTD"/>
        <s v="PRIMESECU"/>
        <s v="PRIMO"/>
        <s v="PRINCEPIPE"/>
        <s v="PRITI"/>
        <s v="PRITIKAUTO"/>
        <s v="PRIVISCL"/>
        <s v="PROSTARM"/>
        <s v="PROTEAN"/>
        <s v="PROZONER"/>
        <s v="PRSMJOHNSN"/>
        <s v="PRUDENT"/>
        <s v="PRUDMOULI"/>
        <s v="PSB"/>
        <s v="PSPPROJECT"/>
        <s v="PTC"/>
        <s v="PTCIL"/>
        <s v="PTL"/>
        <s v="PUNJABCHEM"/>
        <s v="PURVA"/>
        <s v="PVP"/>
        <s v="PVRINOX"/>
        <s v="PVSL"/>
        <s v="PWL"/>
        <s v="PYRAMID"/>
        <s v="QPOWER"/>
        <s v="QUADFUTURE"/>
        <s v="QUESS"/>
        <s v="QUICKHEAL"/>
        <s v="RACE"/>
        <s v="RACLGEAR"/>
        <s v="RADAAN"/>
        <s v="RADHIKAJWE"/>
        <s v="RADIANTCMS"/>
        <s v="RADICO"/>
        <s v="RADIOCITY"/>
        <s v="RAILTEL"/>
        <s v="RAIN"/>
        <s v="RAINBOW"/>
        <s v="RAJMET"/>
        <s v="RAJOOENG"/>
        <s v="RAJRATAN"/>
        <s v="RAJSREESUG"/>
        <s v="RAJTV"/>
        <s v="RALLIS"/>
        <s v="RAMANEWS"/>
        <s v="RAMAPHO"/>
        <s v="RAMASTEEL"/>
        <s v="RAMCOCEM"/>
        <s v="RAMCOIND"/>
        <s v="RAMCOSYS"/>
        <s v="RAMKY"/>
        <s v="RAMRAT"/>
        <s v="RANASUG"/>
        <s v="RANEHOLDIN"/>
        <s v="RATEGAIN"/>
        <s v="RATNAMANI"/>
        <s v="RATNAVEER"/>
        <s v="RAYMOND"/>
        <s v="RAYMONDLSL"/>
        <s v="RAYMONDREL"/>
        <s v="RBA"/>
        <s v="RBLBANK"/>
        <s v="RBZJEWEL"/>
        <s v="RCF"/>
        <s v="REDINGTON"/>
        <s v="REDTAPE"/>
        <s v="REFEX"/>
        <s v="REGAAL"/>
        <s v="REGENCERAM"/>
        <s v="RELAXO"/>
        <s v="RELCHEMQ"/>
        <s v="RELIABLE"/>
        <s v="RELIGARE"/>
        <s v="RELTD"/>
        <s v="REMSONSIND"/>
        <s v="RENUKA"/>
        <s v="REPCOHOME"/>
        <s v="REPL"/>
        <s v="REPRO"/>
        <s v="RESPONIND"/>
        <s v="RETAIL"/>
        <s v="RGL"/>
        <s v="RHETAN"/>
        <s v="RHIM"/>
        <s v="RHL"/>
        <s v="RICOAUTO"/>
        <s v="RIIL"/>
        <s v="RISHABH"/>
        <s v="RITCO"/>
        <s v="RITES"/>
        <s v="RKDL"/>
        <s v="RKEC"/>
        <s v="RKFORGE"/>
        <s v="RKSWAMY"/>
        <s v="RMDRIP"/>
        <s v="RML"/>
        <s v="ROHLTD"/>
        <s v="ROLEXRINGS"/>
        <s v="ROML"/>
        <s v="ROSSARI"/>
        <s v="ROSSELLIND"/>
        <s v="ROSSTECH"/>
        <s v="ROTO"/>
        <s v="ROUTE"/>
        <s v="RPEL"/>
        <s v="RPGLIFE"/>
        <s v="RPOWER"/>
        <s v="RPPINFRA"/>
        <s v="RPPL"/>
        <s v="RPSGVENT"/>
        <s v="RPTECH"/>
        <s v="RRKABEL"/>
        <s v="RSL"/>
        <s v="RSSOFTWARE"/>
        <s v="RSWM"/>
        <s v="RSYSTEMS"/>
        <s v="RTNINDIA"/>
        <s v="RTNPOWER"/>
        <s v="RUBFILA"/>
        <s v="RUBICON"/>
        <s v="RUBYMILLS"/>
        <s v="RUCHINFRA"/>
        <s v="RUCHIRA"/>
        <s v="RUDRA"/>
        <s v="RUPA"/>
        <s v="RUSHIL"/>
        <s v="RUSTOMJEE"/>
        <s v="RVHL"/>
        <s v="RVNL"/>
        <s v="RVTH"/>
        <s v="SAATVIKGL"/>
        <s v="SADBHIN"/>
        <s v="SADHNANIQ"/>
        <s v="SAFARI"/>
        <s v="SAGARDEEP"/>
        <s v="SAGCEM"/>
        <s v="SAGILITY"/>
        <s v="SAHYADRI"/>
        <s v="SAIL"/>
        <s v="SAILIFE"/>
        <s v="SAKAR"/>
        <s v="SAKHTISUG"/>
        <s v="SAKSOFT"/>
        <s v="SAKUMA"/>
        <s v="SALASAR"/>
        <s v="SALONA"/>
        <s v="SALZERELEC"/>
        <s v="SAMBHAAV"/>
        <s v="SAMBHV"/>
        <s v="SAMHI"/>
        <s v="SAMMAANCAP"/>
        <s v="SAMPANN"/>
        <s v="SANATHAN"/>
        <s v="SANDESH"/>
        <s v="SANDHAR"/>
        <s v="SANDUMA"/>
        <s v="SANGAMIND"/>
        <s v="SANGHIIND"/>
        <s v="SANGHVIMOV"/>
        <s v="SANOFI"/>
        <s v="SANOFICONR"/>
        <s v="SANSERA"/>
        <s v="SANSTAR"/>
        <s v="SAPPHIRE"/>
        <s v="SARDAEN"/>
        <s v="SAREGAMA"/>
        <s v="SARLAPOLY"/>
        <s v="SARVESHWAR"/>
        <s v="SASKEN"/>
        <s v="SASTASUNDR"/>
        <s v="SATIA"/>
        <s v="SATIN"/>
        <s v="SAURASHCEM"/>
        <s v="SBC"/>
        <s v="SBCL"/>
        <s v="SBFC"/>
        <s v="SBGLP"/>
        <s v="SBICARD"/>
        <s v="SCHAEFFLER"/>
        <s v="SCHAND"/>
        <s v="SCI"/>
        <s v="SCILAL"/>
        <s v="SCODATUBES"/>
        <s v="SDBL"/>
        <s v="SEAMECLTD"/>
        <s v="SECMARK"/>
        <s v="SECURKLOUD"/>
        <s v="SEDEMAC"/>
        <s v="SEJALLTD"/>
        <s v="SELMC"/>
        <s v="SEMAC"/>
        <s v="SENCO"/>
        <s v="SENORES"/>
        <s v="SEPC"/>
        <s v="SERVOTECH"/>
        <s v="SESHAPAPER"/>
        <s v="SETCO"/>
        <s v="SETL"/>
        <s v="SFL"/>
        <s v="SGFIN"/>
        <s v="SGIL"/>
        <s v="SGL"/>
        <s v="SGMART"/>
        <s v="SHADOWFAX"/>
        <s v="SHAH"/>
        <s v="SHAHALLOYS"/>
        <s v="SHAILY"/>
        <s v="SHAKTIPUMP"/>
        <s v="SHALBY"/>
        <s v="SHALPAINTS"/>
        <s v="SHANTI"/>
        <s v="SHANTIGEAR"/>
        <s v="SHANTIGOLD"/>
        <s v="SHARDACROP"/>
        <s v="SHARDAMOTR"/>
        <s v="SHAREINDIA"/>
        <s v="SHEKHAWATI"/>
        <s v="SHEMAROO"/>
        <s v="SHILCTECH"/>
        <s v="SHILPAMED"/>
        <s v="SHIVALIK"/>
        <s v="SHIVAMAUTO"/>
        <s v="SHIVAMILLS"/>
        <s v="SHIVATEX"/>
        <s v="SHIVAUM"/>
        <s v="SHK"/>
        <s v="SHOPERSTOP"/>
        <s v="SHRADHA"/>
        <s v="SHREDIGCEM"/>
        <s v="SHREEJISPG"/>
        <s v="SHREEPUSHK"/>
        <s v="SHREERAMA"/>
        <s v="SHREYANIND"/>
        <s v="SHRINGARMS"/>
        <s v="SHRIPISTON"/>
        <s v="SHRIRAMPPS"/>
        <s v="SHYAMCENT"/>
        <s v="SHYAMMETL"/>
        <s v="SHYAMTEL"/>
        <s v="SIGACHI"/>
        <s v="SIGIND"/>
        <s v="SIGMA"/>
        <s v="SIGMAADV"/>
        <s v="SIGNATURE"/>
        <s v="SIGNPOST"/>
        <s v="SIKKO"/>
        <s v="SIL"/>
        <s v="SILGO"/>
        <s v="SILINV"/>
        <s v="SILLYMONKS"/>
        <s v="SILVERTUC"/>
        <s v="SIMPLEXINF"/>
        <s v="SINCLAIR"/>
        <s v="SINDHUTRAD"/>
        <s v="SINGERIND"/>
        <s v="SINTERCOM"/>
        <s v="SIRCA"/>
        <s v="SIS"/>
        <s v="SIYSIL"/>
        <s v="SJS"/>
        <s v="SJVN"/>
        <s v="SKFINDIA"/>
        <s v="SKFINDUS"/>
        <s v="SKIPPER"/>
        <s v="SKMEGGPROD"/>
        <s v="SKYGOLD"/>
        <s v="SMARTLINK"/>
        <s v="SMARTWORKS"/>
        <s v="SMCGLOBAL"/>
        <s v="SMLMAH"/>
        <s v="SMLT"/>
        <s v="SMSPHARMA"/>
        <s v="SNOWMAN"/>
        <s v="SOBHA"/>
        <s v="SOFTTECH"/>
        <s v="SOLARA"/>
        <s v="SOLARWORLD"/>
        <s v="SOLEX"/>
        <s v="SOMANYCERA"/>
        <s v="SOMICONVEY"/>
        <s v="SONACOMS"/>
        <s v="SONAMLTD"/>
        <s v="SONATSOFTW"/>
        <s v="SOTL"/>
        <s v="SOUTHBANK"/>
        <s v="SOUTHWEST"/>
        <s v="SPAL"/>
        <s v="SPANDANA"/>
        <s v="SPARC"/>
        <s v="SPCENET"/>
        <s v="SPECIALITY"/>
        <s v="SPECTRUM"/>
        <s v="SPENCERS"/>
        <s v="SPIC"/>
        <s v="SPLIL"/>
        <s v="SPLPETRO"/>
        <s v="SPMLINFRA"/>
        <s v="SPORTKING"/>
        <s v="SRD"/>
        <s v="SREEL"/>
        <s v="SRF"/>
        <s v="SRGHFL"/>
        <s v="SRHHYPOLTD"/>
        <s v="SRM"/>
        <s v="SRTL"/>
        <s v="SSDL"/>
        <s v="SSWL"/>
        <s v="STALLION"/>
        <s v="STANLEY"/>
        <s v="STAR"/>
        <s v="STARCEMENT"/>
        <s v="STARHEALTH"/>
        <s v="STARPAPER"/>
        <s v="STARTECK"/>
        <s v="STCINDIA"/>
        <s v="STEELCAS"/>
        <s v="STEELCITY"/>
        <s v="STEELXIND"/>
        <s v="STEL"/>
        <s v="STERTOOLS"/>
        <s v="STLNETWORK"/>
        <s v="STLTECH"/>
        <s v="STOVEKRAFT"/>
        <s v="STUDDS"/>
        <s v="STYL"/>
        <s v="STYLAMIND"/>
        <s v="STYLEBAAZA"/>
        <s v="STYRENIX"/>
        <s v="SUBEXLTD"/>
        <s v="SUBROS"/>
        <s v="SUDARCOLOR"/>
        <s v="SUDARSCHEM"/>
        <s v="SUDEEPPHRM"/>
        <s v="SUKHJITS"/>
        <s v="SULA"/>
        <s v="SUMEETINDS"/>
        <s v="SUMICHEM"/>
        <s v="SUMIT"/>
        <s v="SUMMITSEC"/>
        <s v="SUNCLAY"/>
        <s v="SUNDARAM"/>
        <s v="SUNDARMFIN"/>
        <s v="SUNDRMBRAK"/>
        <s v="SUNDRMFAST"/>
        <s v="SUNDROP"/>
        <s v="SUNFLAG"/>
        <s v="SUNTECK"/>
        <s v="SUNTV"/>
        <s v="SUPERHOUSE"/>
        <s v="SUPERSPIN"/>
        <s v="SUPRAJIT"/>
        <s v="SUPREME"/>
        <s v="SUPREMEIND"/>
        <s v="SUPRIYA"/>
        <s v="SURAJEST"/>
        <s v="SURAJLTD"/>
        <s v="SURAKSHA"/>
        <s v="SURANASOL"/>
        <s v="SURANAT&amp;P"/>
        <s v="SURYALAXMI"/>
        <s v="SURYAROSNI"/>
        <s v="SURYODAY"/>
        <s v="SUTLEJTEX"/>
        <s v="SUVEN"/>
        <s v="SUVIDHAA"/>
        <s v="SUYOG"/>
        <s v="SUZLON"/>
        <s v="SVLL"/>
        <s v="SWANCORP"/>
        <s v="SWARAJENG"/>
        <s v="SWELECTES"/>
        <s v="SWIGGY"/>
        <s v="SWSOLAR"/>
        <s v="SYMPHONY"/>
        <s v="SYNCOMF"/>
        <s v="SYNGENE"/>
        <s v="SYRMA"/>
        <s v="SYSTMTXC"/>
        <s v="TAINWALCHM"/>
        <s v="TAJGVK"/>
        <s v="TALBROAUTO"/>
        <s v="TANLA"/>
        <s v="TARACHAND"/>
        <s v="TARAPUR"/>
        <s v="TARC"/>
        <s v="TARIL"/>
        <s v="TARSONS"/>
        <s v="TASTYBITE"/>
        <s v="TATACAP"/>
        <s v="TATACHEM"/>
        <s v="TATACOMM"/>
        <s v="TATAELXSI"/>
        <s v="TATAINVEST"/>
        <s v="TATATECH"/>
        <s v="TATVA"/>
        <s v="TBOTEK"/>
        <s v="TBZ"/>
        <s v="TCC"/>
        <s v="TCI"/>
        <s v="TCIEXP"/>
        <s v="TCPLPACK"/>
        <s v="TDPOWERSYS"/>
        <s v="TEAMGTY"/>
        <s v="TEAMLEASE"/>
        <s v="TECHNOE"/>
        <s v="TECILCHEM"/>
        <s v="TEGA"/>
        <s v="TEJASNET"/>
        <s v="TEMBO"/>
        <s v="TENNIND"/>
        <s v="TERASOFT"/>
        <s v="TEXINFRA"/>
        <s v="TEXMOPIPES"/>
        <s v="TEXRAIL"/>
        <s v="TFCILTD"/>
        <s v="TFL"/>
        <s v="TGBHOTELS"/>
        <s v="THANGAMAYL"/>
        <s v="THEINVEST"/>
        <s v="THEJO"/>
        <s v="THELEELA"/>
        <s v="THEMISMED"/>
        <s v="THERMAX"/>
        <s v="THOMASCOOK"/>
        <s v="THOMASCOTT"/>
        <s v="THYROCARE"/>
        <s v="TI"/>
        <s v="TICL"/>
        <s v="TIGERLOGS"/>
        <s v="TIIL"/>
        <s v="TIINDIA"/>
        <s v="TIL"/>
        <s v="TIMETECHNO"/>
        <s v="TIMKEN"/>
        <s v="TINNARUBR"/>
        <s v="TIPSFILMS"/>
        <s v="TIPSMUSIC"/>
        <s v="TIRUMALCHM"/>
        <s v="TIRUPATIFL"/>
        <s v="TITAGARH"/>
        <s v="TMB"/>
        <s v="TMCV"/>
        <s v="TNPETRO"/>
        <s v="TNPL"/>
        <s v="TNTELE"/>
        <s v="TOKYOPLAST"/>
        <s v="TOLINS"/>
        <s v="TORNTPOWER"/>
        <s v="TOTAL"/>
        <s v="TOUCHWOOD"/>
        <s v="TPHQ"/>
        <s v="TPLPLASTEH"/>
        <s v="TRACXN"/>
        <s v="TRANSRAILL"/>
        <s v="TRANSWORLD"/>
        <s v="TRAVELFOOD"/>
        <s v="TREJHARA"/>
        <s v="TREL"/>
        <s v="TRF"/>
        <s v="TRIDENT"/>
        <s v="TRIGYN"/>
        <s v="TRITURBINE"/>
        <s v="TRIVENI"/>
        <s v="TRU"/>
        <s v="TRUALT"/>
        <s v="TSFINV"/>
        <s v="TTKHLTCARE"/>
        <s v="TTKPRESTIG"/>
        <s v="TTML"/>
        <s v="TVSELECT"/>
        <s v="TVSHLTD"/>
        <s v="TVSSRICHAK"/>
        <s v="TVTODAY"/>
        <s v="TVVISION"/>
        <s v="UBL"/>
        <s v="UCAL"/>
        <s v="UCOBANK"/>
        <s v="UDS"/>
        <s v="UEL"/>
        <s v="UFBL"/>
        <s v="UFLEX"/>
        <s v="UFO"/>
        <s v="UGARSUGAR"/>
        <s v="UGROCAP"/>
        <s v="UJJIVANSFB"/>
        <s v="UMAEXPORTS"/>
        <s v="UMIYA-MRO"/>
        <s v="UNICHEMLAB"/>
        <s v="UNIDT"/>
        <s v="UNIECOM"/>
        <s v="UNIENTER"/>
        <s v="UNIINFO"/>
        <s v="UNIMECH"/>
        <s v="UNIONBANK"/>
        <s v="UNIPARTS"/>
        <s v="UNITECH"/>
        <s v="UNITEDPOLY"/>
        <s v="UNITEDTEA"/>
        <s v="UNIVASTU"/>
        <s v="UNIVCABLES"/>
        <s v="UNOMINDA"/>
        <s v="UPL"/>
        <s v="URAVIDEF"/>
        <s v="URBANCO"/>
        <s v="URJA"/>
        <s v="USHAMART"/>
        <s v="UTIAMC"/>
        <s v="UTKARSHBNK"/>
        <s v="UTLSOLAR"/>
        <s v="UTTAMSUGAR"/>
        <s v="UYFINCORP"/>
        <s v="V2RETAIL"/>
        <s v="VADILALIND"/>
        <s v="VAIBHAVGBL"/>
        <s v="VAISHALI"/>
        <s v="VAKRANGEE"/>
        <s v="VALIANTLAB"/>
        <s v="VALIANTORG"/>
        <s v="VARDHACRLC"/>
        <s v="VARROC"/>
        <s v="VASCONEQ"/>
        <s v="VASWANI"/>
        <s v="VCL"/>
        <s v="VEEDOL"/>
        <s v="VENKEYS"/>
        <s v="VENTIVE"/>
        <s v="VENUSPIPES"/>
        <s v="VENUSREM"/>
        <s v="VERANDA"/>
        <s v="VERTOZ"/>
        <s v="VESUVIUS"/>
        <s v="VETO"/>
        <s v="VGL"/>
        <s v="VGUARD"/>
        <s v="VHL"/>
        <s v="VIDHIING"/>
        <s v="VIDYAWIRES"/>
        <s v="VIJAYA"/>
        <s v="VIKASECO"/>
        <s v="VIKASLIFE"/>
        <s v="VIKRAMSOLR"/>
        <s v="VIKRAN"/>
        <s v="VIMTALABS"/>
        <s v="VINATIORGA"/>
        <s v="VINCOFE"/>
        <s v="VINDHYATEL"/>
        <s v="VINEETLAB"/>
        <s v="VINNY"/>
        <s v="VINYLINDIA"/>
        <s v="VIPCLOTHNG"/>
        <s v="VIPIND"/>
        <s v="VIRINCHI"/>
        <s v="VISAKAIND"/>
        <s v="VISASTEEL"/>
        <s v="VISHNU"/>
        <s v="VISHWARAJ"/>
        <s v="VITAL"/>
        <s v="VIVIDHA"/>
        <s v="VIVIMEDLAB"/>
        <s v="VIYASH"/>
        <s v="VLEGOV"/>
        <s v="VLSFINANCE"/>
        <s v="VMART"/>
        <s v="VMM"/>
        <s v="VMSTMT"/>
        <s v="VOLTAMP"/>
        <s v="VOLTAS"/>
        <s v="VPRPL"/>
        <s v="VRAJ"/>
        <s v="VRLLOG"/>
        <s v="VSSL"/>
        <s v="VSTIND"/>
        <s v="VSTL"/>
        <s v="VSTTILLERS"/>
        <s v="VTL"/>
        <s v="WAAREEENER"/>
        <s v="WAAREERTL"/>
        <s v="WABAG"/>
        <s v="WAKEFIT"/>
        <s v="WALCHANNAG"/>
        <s v="WCIL"/>
        <s v="WEALTH"/>
        <s v="WEBELSOLAR"/>
        <s v="WEIZMANIND"/>
        <s v="WEL"/>
        <s v="WELCORP"/>
        <s v="WELENT"/>
        <s v="WELINV"/>
        <s v="WELSPUNLIV"/>
        <s v="WENDT"/>
        <s v="WESTLIFE"/>
        <s v="WEWIN"/>
        <s v="WEWORK"/>
        <s v="WHEELS"/>
        <s v="WHIRLPOOL"/>
        <s v="WILLAMAGOR"/>
        <s v="WINDLAS"/>
        <s v="WINDMACHIN"/>
        <s v="WIPL"/>
        <s v="WOCKPHARMA"/>
        <s v="WONDERLA"/>
        <s v="WORTHPERI"/>
        <s v="WSI"/>
        <s v="WSTCSTPAPR"/>
        <s v="XCHANGING"/>
        <s v="XELPMOC"/>
        <s v="XPROINDIA"/>
        <s v="XTGLOBAL"/>
        <s v="YASHO"/>
        <s v="YATHARTH"/>
        <s v="YATRA"/>
        <s v="YESBANK"/>
        <s v="YUKEN"/>
        <s v="ZAGGLE"/>
        <s v="ZEEL"/>
        <s v="ZEELEARN"/>
        <s v="ZENITHEXPO"/>
        <s v="ZENITHSTL"/>
        <s v="ZENSARTECH"/>
        <s v="ZENTEC"/>
        <s v="ZFCVINDIA"/>
        <s v="ZIMLAB"/>
        <s v="ZODIAC"/>
        <s v="ZODIACLOTH"/>
        <s v="ZOTA"/>
        <s v="ZUARI"/>
        <s v="ZUARIIND"/>
        <s v="ZYDUSWELL"/>
      </sharedItems>
    </cacheField>
    <cacheField name="COMPANY_NAME" numFmtId="0">
      <sharedItems/>
    </cacheField>
    <cacheField name="OPEN_PRICE" numFmtId="0">
      <sharedItems containsSemiMixedTypes="0" containsString="0" containsNumber="1" minValue="0.17" maxValue="127515"/>
    </cacheField>
    <cacheField name="HIGH_PRICE" numFmtId="0">
      <sharedItems containsSemiMixedTypes="0" containsString="0" containsNumber="1" minValue="0.17" maxValue="127515"/>
    </cacheField>
    <cacheField name="LOW_PRICE" numFmtId="0">
      <sharedItems containsSemiMixedTypes="0" containsString="0" containsNumber="1" minValue="0.16" maxValue="123455"/>
    </cacheField>
    <cacheField name="CLOSE_PRICE" numFmtId="0">
      <sharedItems containsSemiMixedTypes="0" containsString="0" containsNumber="1" minValue="0.16" maxValue="124975"/>
    </cacheField>
    <cacheField name="PREV_CL_PR" numFmtId="0">
      <sharedItems containsSemiMixedTypes="0" containsString="0" containsNumber="1" minValue="0.17" maxValue="127535"/>
    </cacheField>
    <cacheField name="NET_TRDQTY" numFmtId="0">
      <sharedItems containsSemiMixedTypes="0" containsString="0" containsNumber="1" containsInteger="1" minValue="3" maxValue="664844250"/>
    </cacheField>
    <cacheField name="TRADES" numFmtId="0">
      <sharedItems containsSemiMixedTypes="0" containsString="0" containsNumber="1" containsInteger="1" minValue="2" maxValue="872248"/>
    </cacheField>
    <cacheField name="MARKET_CAP" numFmtId="0">
      <sharedItems containsSemiMixedTypes="0" containsString="0" containsNumber="1" minValue="64970100" maxValue="19100000000000"/>
    </cacheField>
    <cacheField name="ISSUE_SIZE" numFmtId="0">
      <sharedItems containsSemiMixedTypes="0" containsString="0" containsNumber="1" containsInteger="1" minValue="346306" maxValue="108000000000"/>
    </cacheField>
    <cacheField name="Daily Return" numFmtId="0">
      <sharedItems containsSemiMixedTypes="0" containsString="0" containsNumber="1" minValue="-27.899807321772641" maxValue="19.986631016042779"/>
    </cacheField>
    <cacheField name="Price Range" numFmtId="0">
      <sharedItems containsSemiMixedTypes="0" containsString="0" containsNumber="1" minValue="0" maxValue="4060" count="1679">
        <n v="89.599999999999909"/>
        <n v="56.5"/>
        <n v="208"/>
        <n v="65"/>
        <n v="20.099999999999909"/>
        <n v="237.5"/>
        <n v="37.299999999999955"/>
        <n v="30.899999999999977"/>
        <n v="17.75"/>
        <n v="38"/>
        <n v="34.900000000000091"/>
        <n v="15.350000000000023"/>
        <n v="48.799999999999955"/>
        <n v="170.5"/>
        <n v="7.1899999999999977"/>
        <n v="95.5"/>
        <n v="55"/>
        <n v="27.650000000000091"/>
        <n v="26.899999999999977"/>
        <n v="21.399999999999977"/>
        <n v="63.700000000000045"/>
        <n v="16.800000000000182"/>
        <n v="208.69999999999982"/>
        <n v="33.699999999999818"/>
        <n v="9.4499999999999886"/>
        <n v="10.900000000000006"/>
        <n v="51.299999999999955"/>
        <n v="9.6499999999999773"/>
        <n v="121.80000000000018"/>
        <n v="84.699999999999818"/>
        <n v="223"/>
        <n v="34"/>
        <n v="24.200000000000045"/>
        <n v="10.199999999999989"/>
        <n v="5.8000000000000114"/>
        <n v="11.25"/>
        <n v="24.599999999999909"/>
        <n v="78.299999999999955"/>
        <n v="31.399999999999864"/>
        <n v="59.899999999999977"/>
        <n v="33.900000000000091"/>
        <n v="22.399999999999977"/>
        <n v="7.4399999999999977"/>
        <n v="58.800000000000182"/>
        <n v="57"/>
        <n v="234"/>
        <n v="7.5500000000000114"/>
        <n v="161.89999999999964"/>
        <n v="552"/>
        <n v="3.6200000000000045"/>
        <n v="289"/>
        <n v="65.199999999999932"/>
        <n v="52.549999999999955"/>
        <n v="8.2199999999999989"/>
        <n v="22.800000000000011"/>
        <n v="3.3099999999999881"/>
        <n v="410"/>
        <n v="10.449999999999989"/>
        <n v="1300"/>
        <n v="11"/>
        <n v="115"/>
        <n v="4.9799999999999898"/>
        <n v="32.700000000000045"/>
        <n v="54.100000000000136"/>
        <n v="21.950000000000045"/>
        <n v="122"/>
        <n v="92.400000000000091"/>
        <n v="7.7399999999999807"/>
        <n v="24"/>
        <n v="152.80000000000018"/>
        <n v="54.700000000000045"/>
        <n v="15.5"/>
        <n v="80.900000000000091"/>
        <n v="65.299999999999955"/>
        <n v="30.149999999999977"/>
        <n v="4.9399999999999977"/>
        <n v="4.4500000000000028"/>
        <n v="68.200000000000045"/>
        <n v="26.800000000000011"/>
        <n v="31.850000000000023"/>
        <n v="165"/>
        <n v="117.5"/>
        <n v="4.7800000000000011"/>
        <n v="25.5"/>
        <n v="16.550000000000011"/>
        <n v="39.700000000000045"/>
        <n v="5.5"/>
        <n v="16.899999999999977"/>
        <n v="945"/>
        <n v="173"/>
        <n v="605"/>
        <n v="30.300000000000011"/>
        <n v="105.69999999999982"/>
        <n v="58"/>
        <n v="22.5"/>
        <n v="17.699999999999989"/>
        <n v="26.649999999999977"/>
        <n v="41"/>
        <n v="9.8199999999999932"/>
        <n v="1.120000000000001"/>
        <n v="66.699999999999932"/>
        <n v="1.0899999999999999"/>
        <n v="1035"/>
        <n v="1.8400000000000034"/>
        <n v="12.600000000000023"/>
        <n v="39.799999999999955"/>
        <n v="3.9500000000000028"/>
        <n v="14.300000000000011"/>
        <n v="6.9200000000000017"/>
        <n v="3.7899999999999991"/>
        <n v="11.790000000000006"/>
        <n v="3.3999999999999986"/>
        <n v="19.099999999999966"/>
        <n v="20.350000000000023"/>
        <n v="27"/>
        <n v="13.649999999999977"/>
        <n v="5.3899999999999864"/>
        <n v="31.5"/>
        <n v="1150"/>
        <n v="14.75"/>
        <n v="16.800000000000011"/>
        <n v="26.799999999999955"/>
        <n v="4.1400000000000006"/>
        <n v="0.28000000000000114"/>
        <n v="3.5400000000000063"/>
        <n v="66"/>
        <n v="57.850000000000023"/>
        <n v="54.900000000000091"/>
        <n v="36.400000000000091"/>
        <n v="0.14000000000000012"/>
        <n v="40"/>
        <n v="1.6999999999999993"/>
        <n v="38.950000000000045"/>
        <n v="5.4200000000000017"/>
        <n v="11.579999999999984"/>
        <n v="175.09999999999991"/>
        <n v="16.839999999999975"/>
        <n v="5.7700000000000031"/>
        <n v="45"/>
        <n v="0.83000000000000007"/>
        <n v="6.0499999999999972"/>
        <n v="204.90000000000009"/>
        <n v="9.7399999999999949"/>
        <n v="5.2000000000000028"/>
        <n v="15.870000000000005"/>
        <n v="4.25"/>
        <n v="38.199999999999932"/>
        <n v="13.030000000000001"/>
        <n v="1.3000000000000007"/>
        <n v="8.7099999999999937"/>
        <n v="11.700000000000017"/>
        <n v="5.3900000000000006"/>
        <n v="98.650000000000091"/>
        <n v="10.949999999999989"/>
        <n v="28"/>
        <n v="5.5900000000000034"/>
        <n v="1"/>
        <n v="35.399999999999977"/>
        <n v="14"/>
        <n v="33"/>
        <n v="23.649999999999977"/>
        <n v="10"/>
        <n v="1.5799999999999983"/>
        <n v="7.9099999999999966"/>
        <n v="4.8700000000000045"/>
        <n v="7.0699999999999932"/>
        <n v="49.199999999999932"/>
        <n v="118.20000000000027"/>
        <n v="0.84999999999999964"/>
        <n v="4.8599999999999994"/>
        <n v="119.5"/>
        <n v="26"/>
        <n v="8.5"/>
        <n v="0.24000000000000021"/>
        <n v="1.6799999999999997"/>
        <n v="0.69000000000000128"/>
        <n v="0.48000000000000043"/>
        <n v="1.9999999999999962E-2"/>
        <n v="14.050000000000011"/>
        <n v="0.1899999999999995"/>
        <n v="20"/>
        <n v="126.5"/>
        <n v="0.65000000000000036"/>
        <n v="28.950000000000045"/>
        <n v="3.4399999999999977"/>
        <n v="6.6900000000000048"/>
        <n v="28.25"/>
        <n v="3.1299999999999955"/>
        <n v="161"/>
        <n v="0.40000000000000036"/>
        <n v="16.149999999999977"/>
        <n v="11.200000000000017"/>
        <n v="1.2400000000000002"/>
        <n v="0.63999999999999879"/>
        <n v="4.6199999999999974"/>
        <n v="13.759999999999991"/>
        <n v="34.449999999999989"/>
        <n v="3.980000000000004"/>
        <n v="374"/>
        <n v="4"/>
        <n v="58.299999999999955"/>
        <n v="3.25"/>
        <n v="5.8299999999999983"/>
        <n v="11.689999999999998"/>
        <n v="32.850000000000023"/>
        <n v="87"/>
        <n v="16"/>
        <n v="2.8299999999999983"/>
        <n v="3.0300000000000011"/>
        <n v="9.7999999999999829"/>
        <n v="3.7000000000000028"/>
        <n v="0.47000000000000064"/>
        <n v="51"/>
        <n v="0.10000000000000009"/>
        <n v="10.599999999999909"/>
        <n v="4.75"/>
        <n v="74.5"/>
        <n v="536"/>
        <n v="23.149999999999977"/>
        <n v="75.200000000000045"/>
        <n v="34.700000000000045"/>
        <n v="9.7199999999999989"/>
        <n v="37.550000000000011"/>
        <n v="20.149999999999977"/>
        <n v="71.699999999999932"/>
        <n v="4.019999999999996"/>
        <n v="9.3099999999999739"/>
        <n v="0"/>
        <n v="4.7299999999999898"/>
        <n v="0.98000000000000043"/>
        <n v="37.800000000000068"/>
        <n v="4.3900000000000006"/>
        <n v="3.1500000000000057"/>
        <n v="35.349999999999966"/>
        <n v="3.230000000000004"/>
        <n v="13.449999999999989"/>
        <n v="7.2399999999999949"/>
        <n v="5.2400000000000091"/>
        <n v="73.399999999999864"/>
        <n v="0.75"/>
        <n v="19.300000000000011"/>
        <n v="23.449999999999989"/>
        <n v="6.6800000000000068"/>
        <n v="14.949999999999989"/>
        <n v="17.100000000000023"/>
        <n v="22.649999999999977"/>
        <n v="44.850000000000023"/>
        <n v="12.889999999999986"/>
        <n v="12.75"/>
        <n v="23.950000000000045"/>
        <n v="27.199999999999989"/>
        <n v="1.0199999999999996"/>
        <n v="6.5"/>
        <n v="1.8800000000000008"/>
        <n v="6.1500000000000057"/>
        <n v="22.449999999999989"/>
        <n v="27.149999999999977"/>
        <n v="3.2999999999999972"/>
        <n v="18.099999999999966"/>
        <n v="0.59999999999999964"/>
        <n v="7.75"/>
        <n v="44.600000000000023"/>
        <n v="23.150000000000091"/>
        <n v="67.5"/>
        <n v="42.049999999999955"/>
        <n v="299"/>
        <n v="0.35000000000000053"/>
        <n v="1.6500000000000021"/>
        <n v="7"/>
        <n v="37.399999999999977"/>
        <n v="71.950000000000045"/>
        <n v="2.2299999999999969"/>
        <n v="104"/>
        <n v="6.6400000000000006"/>
        <n v="202.5"/>
        <n v="21.949999999999989"/>
        <n v="38.75"/>
        <n v="2.0000000000000018E-2"/>
        <n v="50.200000000000045"/>
        <n v="30.700000000000045"/>
        <n v="9.7800000000000011"/>
        <n v="82.099999999999909"/>
        <n v="4.0900000000000034"/>
        <n v="30.949999999999989"/>
        <n v="58.699999999999932"/>
        <n v="9.4000000000000057"/>
        <n v="95.600000000000136"/>
        <n v="12.289999999999992"/>
        <n v="19.699999999999989"/>
        <n v="1.2300000000000004"/>
        <n v="6.1699999999999875"/>
        <n v="5"/>
        <n v="17.5"/>
        <n v="23.700000000000045"/>
        <n v="15.330000000000013"/>
        <n v="48.200000000000045"/>
        <n v="8.89"/>
        <n v="8.7000000000000171"/>
        <n v="90"/>
        <n v="5.1499999999999915"/>
        <n v="0.47999999999999954"/>
        <n v="0.5"/>
        <n v="20.399999999999977"/>
        <n v="28.5"/>
        <n v="1.0799999999999983"/>
        <n v="15.02000000000001"/>
        <n v="8.8400000000000034"/>
        <n v="1.3500000000000014"/>
        <n v="7.1299999999999955"/>
        <n v="54.399999999999864"/>
        <n v="0.58999999999999986"/>
        <n v="0.72000000000000064"/>
        <n v="61.599999999999909"/>
        <n v="4.8899999999999864"/>
        <n v="2.9699999999999989"/>
        <n v="22.349999999999966"/>
        <n v="22.899999999999977"/>
        <n v="7.4000000000000057"/>
        <n v="98"/>
        <n v="29.699999999999932"/>
        <n v="10.799999999999983"/>
        <n v="2.0799999999999983"/>
        <n v="2.8900000000000006"/>
        <n v="5.7900000000000205"/>
        <n v="22.849999999999994"/>
        <n v="6.2299999999999898"/>
        <n v="165.80000000000018"/>
        <n v="1.6700000000000017"/>
        <n v="37.950000000000045"/>
        <n v="287"/>
        <n v="151"/>
        <n v="33.199999999999989"/>
        <n v="111.20000000000005"/>
        <n v="6"/>
        <n v="1.4499999999999993"/>
        <n v="20.449999999999989"/>
        <n v="80.599999999999909"/>
        <n v="7.8400000000000034"/>
        <n v="5.9499999999999886"/>
        <n v="114.90000000000009"/>
        <n v="3.3399999999999892"/>
        <n v="11.100000000000023"/>
        <n v="46.5"/>
        <n v="23.25"/>
        <n v="25.550000000000011"/>
        <n v="8"/>
        <n v="0.20000000000000018"/>
        <n v="2.25"/>
        <n v="4.0799999999999983"/>
        <n v="40.800000000000182"/>
        <n v="8.9000000000000057"/>
        <n v="62.099999999999909"/>
        <n v="3.6499999999999986"/>
        <n v="18.850000000000023"/>
        <n v="46.75"/>
        <n v="12.849999999999966"/>
        <n v="1.9699999999999989"/>
        <n v="13.739999999999995"/>
        <n v="24.699999999999932"/>
        <n v="8.9500000000000028"/>
        <n v="50.849999999999909"/>
        <n v="4.2400000000000091"/>
        <n v="16.939999999999998"/>
        <n v="21.150000000000006"/>
        <n v="12.580000000000013"/>
        <n v="1.8000000000000007"/>
        <n v="195"/>
        <n v="39.099999999999966"/>
        <n v="91"/>
        <n v="8.470000000000006"/>
        <n v="4.8900000000000006"/>
        <n v="7.2199999999999989"/>
        <n v="7.3000000000000114"/>
        <n v="11.27000000000001"/>
        <n v="23.050000000000011"/>
        <n v="3.6899999999999977"/>
        <n v="49.899999999999864"/>
        <n v="3.4600000000000009"/>
        <n v="42.899999999999977"/>
        <n v="2.1099999999999994"/>
        <n v="0.57000000000000028"/>
        <n v="7.3699999999999974"/>
        <n v="88.800000000000182"/>
        <n v="3.0499999999999972"/>
        <n v="14.989999999999995"/>
        <n v="19.449999999999989"/>
        <n v="0.87000000000000011"/>
        <n v="48.5"/>
        <n v="97.899999999999977"/>
        <n v="2.8500000000000014"/>
        <n v="5.23"/>
        <n v="0.91999999999999993"/>
        <n v="8.0400000000000063"/>
        <n v="6.2000000000000171"/>
        <n v="62"/>
        <n v="5.1500000000000057"/>
        <n v="14.800000000000011"/>
        <n v="11.170000000000016"/>
        <n v="38.449999999999989"/>
        <n v="15.099999999999994"/>
        <n v="48.899999999999864"/>
        <n v="24.199999999999932"/>
        <n v="144.29999999999995"/>
        <n v="22"/>
        <n v="42"/>
        <n v="32.149999999999977"/>
        <n v="6.5999999999999943"/>
        <n v="0.89000000000000057"/>
        <n v="1.2699999999999996"/>
        <n v="46.900000000000091"/>
        <n v="127.80000000000018"/>
        <n v="14.25"/>
        <n v="70.950000000000045"/>
        <n v="1.04"/>
        <n v="29.25"/>
        <n v="32.499999999999943"/>
        <n v="26.850000000000023"/>
        <n v="1.2899999999999991"/>
        <n v="2.110000000000003"/>
        <n v="269.09999999999991"/>
        <n v="41.5"/>
        <n v="202.19999999999982"/>
        <n v="5.3299999999999841"/>
        <n v="18.900000000000034"/>
        <n v="10.370000000000005"/>
        <n v="21.25"/>
        <n v="15.149999999999977"/>
        <n v="9.8500000000000085"/>
        <n v="6.980000000000004"/>
        <n v="9.2700000000000102"/>
        <n v="28.849999999999966"/>
        <n v="21.20999999999998"/>
        <n v="96.400000000000091"/>
        <n v="40.5"/>
        <n v="38.599999999999909"/>
        <n v="102.59999999999991"/>
        <n v="20.899999999999977"/>
        <n v="2.2799999999999976"/>
        <n v="37.900000000000091"/>
        <n v="5.8799999999999955"/>
        <n v="18.299999999999955"/>
        <n v="75.899999999999977"/>
        <n v="16.650000000000006"/>
        <n v="13.949999999999989"/>
        <n v="64.650000000000091"/>
        <n v="73.400000000000091"/>
        <n v="2.0599999999999987"/>
        <n v="42.599999999999909"/>
        <n v="9.6999999999999886"/>
        <n v="55.900000000000091"/>
        <n v="0.37999999999999901"/>
        <n v="1.2000000000000171"/>
        <n v="21.5"/>
        <n v="73.499999999999886"/>
        <n v="5.5799999999999983"/>
        <n v="3.1400000000000006"/>
        <n v="12.77000000000001"/>
        <n v="86.400000000000091"/>
        <n v="57.900000000000091"/>
        <n v="37.149999999999977"/>
        <n v="0.38000000000000034"/>
        <n v="4.7000000000000028"/>
        <n v="10.310000000000002"/>
        <n v="89.399999999999864"/>
        <n v="377"/>
        <n v="10.050000000000011"/>
        <n v="0.50999999999999979"/>
        <n v="15.050000000000011"/>
        <n v="153.09999999999991"/>
        <n v="15.849999999999994"/>
        <n v="11.450000000000017"/>
        <n v="7.980000000000004"/>
        <n v="19.800000000000011"/>
        <n v="3.9499999999999886"/>
        <n v="2.7600000000000016"/>
        <n v="9.1999999999999886"/>
        <n v="7.9500000000000028"/>
        <n v="189.89999999999964"/>
        <n v="4.2000000000000028"/>
        <n v="1.5700000000000003"/>
        <n v="7.6899999999999977"/>
        <n v="37.100000000000023"/>
        <n v="12.899999999999977"/>
        <n v="113.70000000000005"/>
        <n v="17.550000000000011"/>
        <n v="1.8599999999999994"/>
        <n v="0.29000000000000004"/>
        <n v="25.75"/>
        <n v="229.30000000000018"/>
        <n v="0.46999999999999975"/>
        <n v="9.3000000000000114"/>
        <n v="5.0699999999999932"/>
        <n v="20.599999999999966"/>
        <n v="5.9399999999999977"/>
        <n v="7.0300000000000011"/>
        <n v="0.85000000000000142"/>
        <n v="16.900000000000006"/>
        <n v="9.1000000000000227"/>
        <n v="7.2800000000000011"/>
        <n v="42.700000000000045"/>
        <n v="3.8700000000000045"/>
        <n v="2.7000000000000028"/>
        <n v="16.400000000000006"/>
        <n v="13.349999999999994"/>
        <n v="23.650000000000006"/>
        <n v="38.600000000000023"/>
        <n v="70.799999999999955"/>
        <n v="16.949999999999989"/>
        <n v="1.1799999999999997"/>
        <n v="2.990000000000002"/>
        <n v="3.990000000000002"/>
        <n v="0.71000000000000085"/>
        <n v="37"/>
        <n v="2.5799999999999983"/>
        <n v="2.259999999999998"/>
        <n v="5.6700000000000017"/>
        <n v="1.5899999999999999"/>
        <n v="7.230000000000004"/>
        <n v="1.5299999999999976"/>
        <n v="30.299999999999955"/>
        <n v="8.5800000000000125"/>
        <n v="2.6999999999999993"/>
        <n v="32"/>
        <n v="8.1800000000000068"/>
        <n v="6.9799999999999898"/>
        <n v="45.299999999999955"/>
        <n v="49.5"/>
        <n v="16.449999999999989"/>
        <n v="1.1899999999999977"/>
        <n v="0.60000000000000142"/>
        <n v="7.0799999999999983"/>
        <n v="1.6600000000000037"/>
        <n v="0.16999999999999993"/>
        <n v="56.600000000000023"/>
        <n v="400"/>
        <n v="15.899999999999977"/>
        <n v="23"/>
        <n v="0.36999999999999966"/>
        <n v="29"/>
        <n v="2.539999999999992"/>
        <n v="16.049999999999983"/>
        <n v="28.649999999999977"/>
        <n v="61.099999999999909"/>
        <n v="3.0600000000000023"/>
        <n v="59.399999999999977"/>
        <n v="0.76000000000000068"/>
        <n v="3.0999999999999943"/>
        <n v="0.94000000000000128"/>
        <n v="53.049999999999955"/>
        <n v="2.629999999999999"/>
        <n v="21.200000000000045"/>
        <n v="0.16000000000000014"/>
        <n v="2.0800000000000054"/>
        <n v="18.149999999999977"/>
        <n v="347"/>
        <n v="21.159999999999997"/>
        <n v="0.52999999999999936"/>
        <n v="17.399999999999977"/>
        <n v="71.099999999999909"/>
        <n v="3.4100000000000108"/>
        <n v="12.400000000000006"/>
        <n v="38.099999999999909"/>
        <n v="6.6299999999999955"/>
        <n v="23.099999999999966"/>
        <n v="74.400000000000091"/>
        <n v="3.2800000000000011"/>
        <n v="88"/>
        <n v="16.350000000000023"/>
        <n v="3.9399999999999977"/>
        <n v="67.850000000000023"/>
        <n v="31.399999999999977"/>
        <n v="7.7999999999999972"/>
        <n v="14.719999999999999"/>
        <n v="5.1899999999999977"/>
        <n v="12.299999999999997"/>
        <n v="42.200000000000045"/>
        <n v="6.1199999999999903"/>
        <n v="11.879999999999995"/>
        <n v="5.75"/>
        <n v="11.890000000000015"/>
        <n v="19.399999999999977"/>
        <n v="17.900000000000034"/>
        <n v="67.299999999999727"/>
        <n v="1.25"/>
        <n v="10.800000000000011"/>
        <n v="1.3399999999999892"/>
        <n v="100.10000000000014"/>
        <n v="12.430000000000007"/>
        <n v="39.299999999999955"/>
        <n v="5.7599999999999909"/>
        <n v="2.740000000000002"/>
        <n v="59"/>
        <n v="252"/>
        <n v="0.48999999999999844"/>
        <n v="197.19999999999982"/>
        <n v="4.6899999999999977"/>
        <n v="118.80000000000018"/>
        <n v="31.800000000000011"/>
        <n v="15.490000000000009"/>
        <n v="11.199999999999989"/>
        <n v="0.70999999999999908"/>
        <n v="20.699999999999989"/>
        <n v="31.25"/>
        <n v="5.0000000000000044E-2"/>
        <n v="39.950000000000045"/>
        <n v="5.9500000000000028"/>
        <n v="4.5"/>
        <n v="9.5500000000000114"/>
        <n v="34.850000000000023"/>
        <n v="0.39999999999999947"/>
        <n v="12.219999999999999"/>
        <n v="36"/>
        <n v="28.949999999999989"/>
        <n v="9.9999999999999867E-2"/>
        <n v="11.259999999999991"/>
        <n v="86.200000000000045"/>
        <n v="1.8500000000000014"/>
        <n v="1.0000000000000009E-2"/>
        <n v="8.64"/>
        <n v="6.9500000000000171"/>
        <n v="27.829999999999984"/>
        <n v="1.8000000000000043"/>
        <n v="12.850000000000023"/>
        <n v="12.649999999999977"/>
        <n v="0.25"/>
        <n v="195.59999999999991"/>
        <n v="0.58000000000000007"/>
        <n v="2.0699999999999932"/>
        <n v="3.009999999999998"/>
        <n v="1060"/>
        <n v="34.75"/>
        <n v="282"/>
        <n v="38.899999999999977"/>
        <n v="10.849999999999994"/>
        <n v="8.7199999999999989"/>
        <n v="26.650000000000091"/>
        <n v="6.4100000000000108"/>
        <n v="26.950000000000045"/>
        <n v="94.700000000000045"/>
        <n v="3.3499999999999943"/>
        <n v="34.600000000000023"/>
        <n v="53.75"/>
        <n v="5.7399999999999949"/>
        <n v="14.080000000000013"/>
        <n v="38.299999999999955"/>
        <n v="0.11999999999999966"/>
        <n v="7.960000000000008"/>
        <n v="13.049999999999955"/>
        <n v="11.449999999999989"/>
        <n v="2.9999999999999971E-2"/>
        <n v="2.8999999999999986"/>
        <n v="8.1999999999999886"/>
        <n v="16.100000000000023"/>
        <n v="1.0300000000000011"/>
        <n v="0.49000000000000199"/>
        <n v="23.550000000000011"/>
        <n v="13.700000000000017"/>
        <n v="2.3500000000000014"/>
        <n v="79.5"/>
        <n v="1.3000000000000043"/>
        <n v="14.399999999999977"/>
        <n v="6.8800000000000026"/>
        <n v="12.25"/>
        <n v="207"/>
        <n v="2.6300000000000026"/>
        <n v="5.8899999999999864"/>
        <n v="4.3799999999999955"/>
        <n v="5.4299999999999926"/>
        <n v="25.099999999999909"/>
        <n v="35.5"/>
        <n v="95.800000000000182"/>
        <n v="90.099999999999909"/>
        <n v="7.8499999999999943"/>
        <n v="1.4500000000000011"/>
        <n v="7.9299999999999784"/>
        <n v="0.19999999999999973"/>
        <n v="2.6400000000000006"/>
        <n v="47.850000000000023"/>
        <n v="27.399999999999977"/>
        <n v="2.5"/>
        <n v="40.900000000000091"/>
        <n v="5.6600000000000108"/>
        <n v="3.8900000000000006"/>
        <n v="24.050000000000011"/>
        <n v="18.949999999999989"/>
        <n v="150.90000000000009"/>
        <n v="15.349999999999966"/>
        <n v="43.799999999999955"/>
        <n v="35.950000000000045"/>
        <n v="2.9499999999999957"/>
        <n v="8.2399999999999807"/>
        <n v="13.899999999999977"/>
        <n v="89"/>
        <n v="18.049999999999983"/>
        <n v="10.099999999999966"/>
        <n v="6.75"/>
        <n v="3.8499999999999943"/>
        <n v="41.900000000000091"/>
        <n v="107.90000000000009"/>
        <n v="6.0099999999999909"/>
        <n v="14.539999999999992"/>
        <n v="15.340000000000003"/>
        <n v="12.800000000000011"/>
        <n v="0.79000000000000092"/>
        <n v="70.900000000000091"/>
        <n v="7.4900000000000091"/>
        <n v="48.950000000000045"/>
        <n v="6.8499999999999943"/>
        <n v="70.400000000000091"/>
        <n v="144.90000000000009"/>
        <n v="243"/>
        <n v="2.1299999999999955"/>
        <n v="20.400000000000006"/>
        <n v="1.3499999999999996"/>
        <n v="0.88999999999999702"/>
        <n v="0.38999999999999968"/>
        <n v="4.0000000000000036E-2"/>
        <n v="2.009999999999998"/>
        <n v="95.100000000000023"/>
        <n v="22.849999999999966"/>
        <n v="1.2999999999999972"/>
        <n v="22.049999999999983"/>
        <n v="59.100000000000023"/>
        <n v="1.3999999999999986"/>
        <n v="12.960000000000008"/>
        <n v="0.76999999999999957"/>
        <n v="228.90000000000009"/>
        <n v="10.75"/>
        <n v="90.700000000000045"/>
        <n v="9"/>
        <n v="73.099999999999909"/>
        <n v="19.649999999999977"/>
        <n v="0.24"/>
        <n v="39.5"/>
        <n v="2.240000000000002"/>
        <n v="1.1500000000000004"/>
        <n v="20.200000000000045"/>
        <n v="28.450000000000045"/>
        <n v="124.70000000000027"/>
        <n v="0.71999999999999975"/>
        <n v="24.800000000000011"/>
        <n v="9.0300000000000153"/>
        <n v="8.25"/>
        <n v="149"/>
        <n v="58.900000000000091"/>
        <n v="24.600000000000023"/>
        <n v="3.7999999999999972"/>
        <n v="24.5"/>
        <n v="7.740000000000002"/>
        <n v="10.850000000000023"/>
        <n v="3.0799999999999983"/>
        <n v="1.9600000000000009"/>
        <n v="12.050000000000011"/>
        <n v="30.25"/>
        <n v="8.3300000000000125"/>
        <n v="17.099999999999994"/>
        <n v="102.90000000000009"/>
        <n v="6.7299999999999898"/>
        <n v="3"/>
        <n v="12.300000000000011"/>
        <n v="1.2399999999999984"/>
        <n v="2.509999999999998"/>
        <n v="16.399999999999977"/>
        <n v="38.100000000000023"/>
        <n v="8.6499999999999773"/>
        <n v="1085"/>
        <n v="3.3500000000000014"/>
        <n v="18.100000000000023"/>
        <n v="16.699999999999989"/>
        <n v="0.82000000000000028"/>
        <n v="11.409999999999997"/>
        <n v="8.7900000000000205"/>
        <n v="2.0399999999999991"/>
        <n v="58.549999999999955"/>
        <n v="123.5"/>
        <n v="21.149999999999977"/>
        <n v="14.549999999999983"/>
        <n v="145"/>
        <n v="4.8499999999999943"/>
        <n v="23.5"/>
        <n v="2.5300000000000011"/>
        <n v="33.899999999999977"/>
        <n v="57.100000000000023"/>
        <n v="2.6599999999999966"/>
        <n v="10.490000000000009"/>
        <n v="19.100000000000023"/>
        <n v="6.6899999999999977"/>
        <n v="18.800000000000011"/>
        <n v="8.5999999999999943"/>
        <n v="30.600000000000023"/>
        <n v="23.399999999999977"/>
        <n v="12.010000000000005"/>
        <n v="8.6600000000000108"/>
        <n v="61.900000000000091"/>
        <n v="2.7100000000000009"/>
        <n v="51.099999999999909"/>
        <n v="48.399999999999977"/>
        <n v="7.2999999999999972"/>
        <n v="1.9199999999999982"/>
        <n v="1.7399999999999984"/>
        <n v="23.199999999999989"/>
        <n v="65.25"/>
        <n v="52.600000000000136"/>
        <n v="36.899999999999977"/>
        <n v="35.549999999999955"/>
        <n v="15.449999999999989"/>
        <n v="5.9899999999999949"/>
        <n v="2.0300000000000011"/>
        <n v="12.590000000000003"/>
        <n v="2.8099999999999987"/>
        <n v="17.069999999999993"/>
        <n v="54.599999999999909"/>
        <n v="19.050000000000011"/>
        <n v="5.8900000000000006"/>
        <n v="0.73000000000000043"/>
        <n v="25.25"/>
        <n v="2.0199999999999996"/>
        <n v="18.199999999999989"/>
        <n v="7.5800000000000125"/>
        <n v="0.77999999999999936"/>
        <n v="188.09999999999991"/>
        <n v="25"/>
        <n v="24.350000000000023"/>
        <n v="95.800000000000011"/>
        <n v="17.419999999999987"/>
        <n v="27.900000000000091"/>
        <n v="50.800000000000068"/>
        <n v="19.850000000000023"/>
        <n v="9.7000000000000028"/>
        <n v="88.900000000000091"/>
        <n v="5.9099999999999966"/>
        <n v="61.700000000000045"/>
        <n v="1.509999999999998"/>
        <n v="7.5"/>
        <n v="16.199999999999932"/>
        <n v="5.0499999999999972"/>
        <n v="2.1900000000000013"/>
        <n v="13.900000000000006"/>
        <n v="7.2100000000000009"/>
        <n v="30"/>
        <n v="5.9699999999999989"/>
        <n v="8.7600000000000193"/>
        <n v="37.599999999999966"/>
        <n v="24.550000000000011"/>
        <n v="0.88000000000000078"/>
        <n v="9.89"/>
        <n v="9.75"/>
        <n v="8.3100000000000023"/>
        <n v="2.6800000000000068"/>
        <n v="6.1499999999999986"/>
        <n v="7.6499999999999915"/>
        <n v="3.1999999999999993"/>
        <n v="6.6199999999999903"/>
        <n v="33.399999999999977"/>
        <n v="30.800000000000011"/>
        <n v="8.5499999999999972"/>
        <n v="5.0899999999999892"/>
        <n v="3.3000000000000114"/>
        <n v="69.400000000000091"/>
        <n v="36.399999999999977"/>
        <n v="1.3699999999999974"/>
        <n v="18.699999999999989"/>
        <n v="1.4400000000000004"/>
        <n v="120.40000000000009"/>
        <n v="14.289999999999992"/>
        <n v="22.550000000000011"/>
        <n v="1.8999999999999986"/>
        <n v="1.7699999999999996"/>
        <n v="2.91"/>
        <n v="188.5"/>
        <n v="26.099999999999966"/>
        <n v="3.490000000000002"/>
        <n v="17.850000000000023"/>
        <n v="25.199999999999989"/>
        <n v="21.550000000000011"/>
        <n v="37.5"/>
        <n v="3.8299999999999983"/>
        <n v="13.710000000000008"/>
        <n v="5.769999999999996"/>
        <n v="103.5"/>
        <n v="19.25"/>
        <n v="29.5"/>
        <n v="30.850000000000023"/>
        <n v="2.2999999999999972"/>
        <n v="1264"/>
        <n v="8.1700000000000017"/>
        <n v="137.40000000000009"/>
        <n v="11.800000000000011"/>
        <n v="12.120000000000005"/>
        <n v="18.450000000000045"/>
        <n v="10.399999999999977"/>
        <n v="0.74000000000000021"/>
        <n v="16.75"/>
        <n v="80.449999999999932"/>
        <n v="5.6400000000000006"/>
        <n v="15.049999999999955"/>
        <n v="30.949999999999932"/>
        <n v="17.599999999999966"/>
        <n v="18.420000000000016"/>
        <n v="0.28999999999999959"/>
        <n v="27.75"/>
        <n v="8.0900000000000034"/>
        <n v="1.1599999999999966"/>
        <n v="7.9499999999999886"/>
        <n v="35.150000000000006"/>
        <n v="249"/>
        <n v="93.699999999999818"/>
        <n v="28.399999999999977"/>
        <n v="6.8400000000000034"/>
        <n v="0.17000000000000015"/>
        <n v="184.5"/>
        <n v="0.49000000000000021"/>
        <n v="53.299999999999955"/>
        <n v="0.78999999999999915"/>
        <n v="17.800000000000011"/>
        <n v="41.399999999999977"/>
        <n v="9.0699999999999932"/>
        <n v="2.230000000000004"/>
        <n v="5.8599999999999994"/>
        <n v="2.0500000000000007"/>
        <n v="22.049999999999955"/>
        <n v="112"/>
        <n v="27.650000000000034"/>
        <n v="17.050000000000011"/>
        <n v="86.099999999999909"/>
        <n v="95.799999999999955"/>
        <n v="105.80000000000018"/>
        <n v="27.5"/>
        <n v="7.6200000000000045"/>
        <n v="18.75"/>
        <n v="126"/>
        <n v="7.1599999999999966"/>
        <n v="1.5"/>
        <n v="4.0999999999999943"/>
        <n v="8.1899999999999977"/>
        <n v="1.2200000000000024"/>
        <n v="6.8799999999999955"/>
        <n v="2.7900000000000063"/>
        <n v="19"/>
        <n v="52.899999999999977"/>
        <n v="17.350000000000023"/>
        <n v="12.549999999999955"/>
        <n v="0.33000000000000007"/>
        <n v="13.699999999999989"/>
        <n v="11.329999999999991"/>
        <n v="0.62000000000000011"/>
        <n v="6.5799999999999983"/>
        <n v="58.5"/>
        <n v="14.980000000000018"/>
        <n v="19.049999999999955"/>
        <n v="17.649999999999977"/>
        <n v="31.75"/>
        <n v="41.950000000000045"/>
        <n v="29.75"/>
        <n v="28.850000000000023"/>
        <n v="15"/>
        <n v="13.460000000000008"/>
        <n v="4.8199999999999932"/>
        <n v="1.129999999999999"/>
        <n v="6.3500000000000085"/>
        <n v="0.45000000000000018"/>
        <n v="53.900000000000091"/>
        <n v="6.480000000000004"/>
        <n v="31.649999999999977"/>
        <n v="7.7400000000000091"/>
        <n v="8.2699999999999818"/>
        <n v="6.3799999999999955"/>
        <n v="13.300000000000011"/>
        <n v="3.769999999999996"/>
        <n v="29.949999999999989"/>
        <n v="7.4699999999999989"/>
        <n v="65.900000000000091"/>
        <n v="32.700000000000017"/>
        <n v="18.560000000000002"/>
        <n v="6.8700000000000045"/>
        <n v="18.600000000000023"/>
        <n v="467"/>
        <n v="2.9200000000000017"/>
        <n v="47.599999999999909"/>
        <n v="1201"/>
        <n v="7.0400000000000205"/>
        <n v="8.4099999999999966"/>
        <n v="8.6700000000000017"/>
        <n v="0.52000000000000046"/>
        <n v="14.650000000000006"/>
        <n v="169.90000000000009"/>
        <n v="95"/>
        <n v="38.900000000000091"/>
        <n v="55.899999999999977"/>
        <n v="6.3999999999999986"/>
        <n v="0.54999999999999982"/>
        <n v="51.049999999999955"/>
        <n v="0.19000000000000039"/>
        <n v="30.449999999999989"/>
        <n v="2.34"/>
        <n v="2.6700000000000088"/>
        <n v="667"/>
        <n v="24.900000000000091"/>
        <n v="63.899999999999977"/>
        <n v="72.100000000000023"/>
        <n v="3.9800000000000004"/>
        <n v="22.300000000000011"/>
        <n v="9.0500000000000114"/>
        <n v="3.1499999999999986"/>
        <n v="3.5600000000000023"/>
        <n v="2.7199999999999989"/>
        <n v="5.8800000000000097"/>
        <n v="25.649999999999977"/>
        <n v="5.2199999999999989"/>
        <n v="75.099999999999909"/>
        <n v="11.289999999999992"/>
        <n v="59.400000000000091"/>
        <n v="36.150000000000034"/>
        <n v="20.049999999999955"/>
        <n v="53.799999999999955"/>
        <n v="24.349999999999966"/>
        <n v="8.8000000000000114"/>
        <n v="11.300000000000011"/>
        <n v="10.829999999999998"/>
        <n v="22.049999999999997"/>
        <n v="72.099999999999909"/>
        <n v="6.7199999999999989"/>
        <n v="24.03"/>
        <n v="11.399999999999977"/>
        <n v="1.8499999999999979"/>
        <n v="2.3599999999999994"/>
        <n v="1.0599999999999987"/>
        <n v="142.5"/>
        <n v="43"/>
        <n v="22.949999999999989"/>
        <n v="15.349999999999994"/>
        <n v="4.8800000000000026"/>
        <n v="26.5"/>
        <n v="3.6500000000000057"/>
        <n v="16.259999999999991"/>
        <n v="7.7700000000000102"/>
        <n v="36.100000000000023"/>
        <n v="53.800000000000011"/>
        <n v="1.370000000000001"/>
        <n v="77"/>
        <n v="2.1100000000000012"/>
        <n v="60.5"/>
        <n v="9.9900000000000091"/>
        <n v="9.9499999999999886"/>
        <n v="1.6400000000000006"/>
        <n v="21"/>
        <n v="86.799999999999955"/>
        <n v="10.700000000000045"/>
        <n v="10.539999999999992"/>
        <n v="1.7999999999999972"/>
        <n v="2.1999999999999993"/>
        <n v="3.1000000000000014"/>
        <n v="0.10999999999999999"/>
        <n v="0.27999999999999936"/>
        <n v="24.199999999999989"/>
        <n v="10.429999999999978"/>
        <n v="2.9599999999999937"/>
        <n v="9.1399999999999864"/>
        <n v="17.899999999999977"/>
        <n v="4.4099999999999966"/>
        <n v="11.010000000000005"/>
        <n v="2.2800000000000011"/>
        <n v="2.0500000000000043"/>
        <n v="8.539999999999992"/>
        <n v="34.149999999999977"/>
        <n v="26.150000000000034"/>
        <n v="6.4200000000000017"/>
        <n v="18.899999999999977"/>
        <n v="1.6499999999999986"/>
        <n v="7.1699999999999875"/>
        <n v="39.899999999999977"/>
        <n v="1.0400000000000009"/>
        <n v="51.400000000000091"/>
        <n v="63.299999999999955"/>
        <n v="4060"/>
        <n v="14.489999999999981"/>
        <n v="2.7699999999999996"/>
        <n v="32.75"/>
        <n v="180.5"/>
        <n v="1.3200000000000003"/>
        <n v="6.2199999999999989"/>
        <n v="2.4900000000000091"/>
        <n v="5.2299999999999898"/>
        <n v="1.1600000000000001"/>
        <n v="5.18"/>
        <n v="4.7199999999999989"/>
        <n v="1.8699999999999974"/>
        <n v="178.40000000000009"/>
        <n v="12.480000000000018"/>
        <n v="5.0900000000000034"/>
        <n v="14.850000000000023"/>
        <n v="5.9000000000000057"/>
        <n v="0.17000000000000037"/>
        <n v="2.4399999999999977"/>
        <n v="29.990000000000009"/>
        <n v="3.5300000000000011"/>
        <n v="14.939999999999998"/>
        <n v="9.5699999999999932"/>
        <n v="23.799999999999955"/>
        <n v="2.4400000000000013"/>
        <n v="7.9399999999999977"/>
        <n v="40.850000000000023"/>
        <n v="8.4900000000000091"/>
        <n v="14.199999999999989"/>
        <n v="15.649999999999977"/>
        <n v="227.5"/>
        <n v="3.4000000000000057"/>
        <n v="7.0000000000000062E-2"/>
        <n v="4.3399999999999892"/>
        <n v="17.400000000000006"/>
        <n v="4.0899999999999892"/>
        <n v="9.4399999999999977"/>
        <n v="70"/>
        <n v="41.350000000000023"/>
        <n v="4.980000000000004"/>
        <n v="3.9000000000000057"/>
        <n v="52.799999999999955"/>
        <n v="45.149999999999977"/>
        <n v="42.699999999999932"/>
        <n v="184.09999999999991"/>
        <n v="1.5800000000000018"/>
        <n v="436"/>
        <n v="2.9000000000000057"/>
        <n v="2.7200000000000024"/>
        <n v="50.700000000000045"/>
        <n v="2.4699999999999989"/>
        <n v="67.700000000000045"/>
        <n v="20.950000000000045"/>
        <n v="0.23000000000000043"/>
        <n v="98.299999999999955"/>
        <n v="27.25"/>
        <n v="3.8599999999999994"/>
        <n v="10.319999999999993"/>
        <n v="12.949999999999989"/>
        <n v="11.129999999999995"/>
        <n v="3.0200000000000102"/>
        <n v="4.6000000000000014"/>
        <n v="16.599999999999994"/>
        <n v="4.210000000000008"/>
        <n v="23.47999999999999"/>
        <n v="12.099999999999994"/>
        <n v="2.1800000000000033"/>
        <n v="69"/>
        <n v="15.75"/>
        <n v="4.9599999999999937"/>
        <n v="285.5"/>
        <n v="2.4099999999999966"/>
        <n v="18.400000000000006"/>
        <n v="44.899999999999864"/>
        <n v="15.599999999999994"/>
        <n v="5.8100000000000023"/>
        <n v="2.4899999999999984"/>
        <n v="134"/>
        <n v="2.4500000000000028"/>
        <n v="1.379999999999999"/>
        <n v="99"/>
        <n v="5.0099999999999909"/>
        <n v="3.7800000000000011"/>
        <n v="25.799999999999983"/>
        <n v="0.51999999999999957"/>
        <n v="2.0900000000000034"/>
        <n v="71.300000000000182"/>
        <n v="16.199999999999989"/>
        <n v="34.5"/>
        <n v="22.100000000000023"/>
        <n v="6.3899999999999935"/>
        <n v="0.20999999999999996"/>
        <n v="20.949999999999989"/>
        <n v="8.39"/>
        <n v="3.2199999999999989"/>
        <n v="7.3400000000000034"/>
        <n v="2.4499999999999886"/>
        <n v="5.1000000000000014"/>
        <n v="0.97999999999999865"/>
        <n v="321.5"/>
        <n v="2.1400000000000006"/>
        <n v="2.5599999999999987"/>
        <n v="0.53000000000000114"/>
        <n v="6.1899999999999977"/>
        <n v="720"/>
        <n v="3.3100000000000023"/>
        <n v="4.2399999999999949"/>
        <n v="1.259999999999998"/>
        <n v="11.050000000000011"/>
        <n v="7.4499999999999886"/>
        <n v="20.649999999999977"/>
        <n v="5.7000000000000028"/>
        <n v="2.1700000000000017"/>
        <n v="4.6200000000000045"/>
        <n v="8.9499999999999886"/>
        <n v="12.509999999999991"/>
        <n v="99.149999999999977"/>
        <n v="11.600000000000023"/>
        <n v="1.3599999999999994"/>
        <n v="10.169999999999987"/>
        <n v="31"/>
        <n v="1.5400000000000027"/>
        <n v="17.700000000000017"/>
        <n v="0.5600000000000005"/>
        <n v="5.1200000000000045"/>
        <n v="1.8900000000000006"/>
        <n v="161.09999999999945"/>
        <n v="13.5"/>
        <n v="248"/>
        <n v="15.699999999999989"/>
        <n v="1.8200000000000003"/>
        <n v="305"/>
        <n v="114"/>
        <n v="61.600000000000136"/>
        <n v="139.90000000000009"/>
        <n v="246.19999999999982"/>
        <n v="0.85999999999999943"/>
        <n v="8.289999999999992"/>
        <n v="2.129999999999999"/>
        <n v="95.099999999999909"/>
        <n v="43.950000000000045"/>
        <n v="67"/>
        <n v="37.049999999999955"/>
        <n v="8.0499999999999972"/>
        <n v="19.099999999999994"/>
        <n v="2.5100000000000016"/>
        <n v="50.900000000000091"/>
        <n v="3.0599999999999987"/>
        <n v="12.849999999999994"/>
        <n v="18.5"/>
        <n v="37.199999999999989"/>
        <n v="78.5"/>
        <n v="10.049999999999983"/>
        <n v="30.350000000000023"/>
        <n v="57.200000000000045"/>
        <n v="350"/>
        <n v="38.400000000000091"/>
        <n v="45.700000000000045"/>
        <n v="1000"/>
        <n v="130"/>
        <n v="13.990000000000009"/>
        <n v="5.9500000000000171"/>
        <n v="4.7099999999999795"/>
        <n v="8.0500000000000114"/>
        <n v="2"/>
        <n v="15.800000000000011"/>
        <n v="7.0499999999999972"/>
        <n v="0.21000000000000085"/>
        <n v="8.6000000000000085"/>
        <n v="13"/>
        <n v="31.100000000000023"/>
        <n v="2.5499999999999972"/>
        <n v="1.9299999999999997"/>
        <n v="21.699999999999989"/>
        <n v="6.8900000000000006"/>
        <n v="1.1600000000000037"/>
        <n v="84"/>
        <n v="1.1999999999999993"/>
        <n v="1.6600000000000001"/>
        <n v="665"/>
        <n v="1.6000000000000014"/>
        <n v="11.939999999999998"/>
        <n v="1.9899999999999984"/>
        <n v="62.600000000000023"/>
        <n v="5.269999999999996"/>
        <n v="4.1700000000000017"/>
        <n v="8.6999999999999886"/>
        <n v="46.350000000000023"/>
        <n v="7.1200000000000045"/>
        <n v="8.8899999999999864"/>
        <n v="9.9899999999999949"/>
        <n v="80.299999999999955"/>
        <n v="0.41000000000000014"/>
        <n v="2.5700000000000003"/>
        <n v="97.699999999999818"/>
        <n v="0.37000000000000011"/>
        <n v="19.849999999999994"/>
        <n v="29.400000000000091"/>
        <n v="0.17999999999999972"/>
        <n v="4.3500000000000014"/>
        <n v="12"/>
        <n v="4.7999999999999972"/>
        <n v="9.6200000000000045"/>
        <n v="0.9399999999999995"/>
        <n v="64.799999999999955"/>
        <n v="18.650000000000006"/>
        <n v="74.399999999999864"/>
        <n v="18.25"/>
        <n v="6.2700000000000102"/>
        <n v="45.100000000000023"/>
        <n v="1.9500000000000028"/>
        <n v="6.7000000000000455"/>
        <n v="5.4500000000000028"/>
        <n v="5.3700000000000045"/>
        <n v="11.240000000000009"/>
        <n v="3.2900000000000063"/>
        <n v="2.8800000000000026"/>
        <n v="19.200000000000017"/>
        <n v="4.9899999999999949"/>
        <n v="9.7600000000000051"/>
        <n v="14.47999999999999"/>
        <n v="9.230000000000004"/>
        <n v="6.1299999999999955"/>
        <n v="1.4100000000000001"/>
        <n v="15.549999999999955"/>
        <n v="7.8599999999999994"/>
        <n v="20.099999999999966"/>
        <n v="11.880000000000024"/>
        <n v="0.91000000000000014"/>
        <n v="10.52000000000001"/>
        <n v="6.2900000000000063"/>
        <n v="62.850000000000023"/>
        <n v="39.949999999999989"/>
        <n v="9.3899999999999864"/>
        <n v="2.0800000000000018"/>
        <n v="2.9299999999999962"/>
        <n v="37.400000000000034"/>
        <n v="9.6299999999999955"/>
        <n v="3.2899999999999991"/>
        <n v="32.25"/>
        <n v="2.3099999999999952"/>
        <n v="23.75"/>
        <n v="51.350000000000023"/>
        <n v="4.3299999999999983"/>
        <n v="62.350000000000023"/>
        <n v="146.5"/>
        <n v="1.75"/>
        <n v="44.399999999999977"/>
        <n v="68.900000000000091"/>
        <n v="10.049999999999997"/>
        <n v="2.6099999999999994"/>
        <n v="11.009999999999991"/>
        <n v="10.550000000000011"/>
        <n v="1.2900000000000027"/>
        <n v="0.34999999999999964"/>
        <n v="16.700000000000045"/>
        <n v="0.4399999999999995"/>
        <n v="1.6100000000000012"/>
        <n v="1.9799999999999986"/>
        <n v="4.3800000000000026"/>
        <n v="11.650000000000006"/>
        <n v="17.600000000000023"/>
        <n v="1.4599999999999973"/>
        <n v="16.519999999999982"/>
        <n v="2.6700000000000017"/>
        <n v="20.849999999999994"/>
        <n v="11.740000000000009"/>
        <n v="39.600000000000023"/>
        <n v="39.149999999999977"/>
        <n v="1.1900000000000013"/>
        <n v="5.4899999999999949"/>
        <n v="0.12999999999999989"/>
        <n v="0.83999999999999986"/>
        <n v="16.600000000000023"/>
        <n v="3.5"/>
        <n v="11.189999999999998"/>
        <n v="7.3899999999999864"/>
        <n v="2.8599999999999994"/>
        <n v="60"/>
        <n v="12.260000000000019"/>
        <n v="15.650000000000034"/>
        <n v="167"/>
        <n v="181.39999999999964"/>
        <n v="120"/>
        <n v="4.6999999999999886"/>
        <n v="8.75"/>
        <n v="5.5499999999999972"/>
        <n v="0.36000000000000032"/>
        <n v="7.3499999999999943"/>
        <n v="4.1499999999999986"/>
        <n v="1.9800000000000004"/>
        <n v="3.480000000000004"/>
        <n v="2.3099999999999987"/>
        <n v="233"/>
        <n v="13.75"/>
        <n v="11.510000000000005"/>
        <n v="77.900000000000091"/>
        <n v="13.290000000000006"/>
        <n v="1.6699999999999982"/>
        <n v="60.200000000000045"/>
        <n v="1.5300000000000011"/>
        <n v="22.990000000000009"/>
        <n v="44"/>
        <n v="3.0099999999999909"/>
        <n v="1.0900000000000016"/>
        <n v="6.8100000000000023"/>
        <n v="36.049999999999955"/>
        <n v="35.199999999999989"/>
        <n v="16.099999999999966"/>
        <n v="6.0400000000000063"/>
        <n v="0.51000000000000068"/>
        <n v="4.9500000000000028"/>
        <n v="167.80000000000018"/>
        <n v="11.5"/>
        <n v="4.6400000000000006"/>
        <n v="0.4300000000000006"/>
        <n v="14.79000000000002"/>
        <n v="51.899999999999977"/>
        <n v="43.549999999999955"/>
        <n v="1.2200000000000006"/>
        <n v="7.7599999999999909"/>
        <n v="225.09999999999991"/>
        <n v="9.3499999999999659"/>
        <n v="29.300000000000011"/>
        <n v="4.4499999999999957"/>
        <n v="7.7800000000000011"/>
        <n v="30.849999999999966"/>
        <n v="4.730000000000004"/>
        <n v="3.1900000000000013"/>
        <n v="4.5799999999999983"/>
        <n v="26.550000000000011"/>
        <n v="2.6899999999999977"/>
        <n v="15.489999999999981"/>
        <n v="199.5"/>
        <n v="1.1000000000000085"/>
        <n v="1.5600000000000005"/>
        <n v="1.1199999999999974"/>
        <n v="4.0300000000000011"/>
        <n v="3.5499999999999972"/>
        <n v="14.139999999999986"/>
        <n v="0.39000000000000057"/>
        <n v="1.4099999999999966"/>
        <n v="10.100000000000023"/>
        <n v="0.60999999999999943"/>
        <n v="16.039999999999992"/>
        <n v="4.5699999999999932"/>
        <n v="1.2600000000000016"/>
        <n v="34.199999999999989"/>
        <n v="26.199999999999989"/>
        <n v="58.700000000000045"/>
        <n v="3.9799999999999898"/>
        <n v="82.5"/>
        <n v="25.800000000000011"/>
        <n v="6.6100000000000136"/>
        <n v="24.449999999999989"/>
        <n v="7.4899999999999949"/>
        <n v="3.2299999999999969"/>
        <n v="153.19999999999982"/>
        <n v="19.75"/>
        <n v="2.3999999999999986"/>
        <n v="63.900000000000091"/>
        <n v="11.349999999999994"/>
        <n v="17.049999999999955"/>
        <n v="13.860000000000014"/>
        <n v="93"/>
        <n v="20.600000000000023"/>
        <n v="7.25"/>
        <n v="21.350000000000023"/>
        <n v="2.5999999999999943"/>
        <n v="11.990000000000009"/>
        <n v="24.100000000000023"/>
        <n v="0.43999999999999995"/>
        <n v="6.9899999999999949"/>
        <n v="97"/>
        <n v="1.2100000000000009"/>
        <n v="2.8100000000000023"/>
        <n v="1.009999999999998"/>
        <n v="18.549999999999955"/>
        <n v="17.760000000000019"/>
        <n v="7.2900000000000063"/>
        <n v="2.3900000000000006"/>
        <n v="5.5999999999999943"/>
        <n v="62.199999999999818"/>
        <n v="11.75"/>
        <n v="17.199999999999989"/>
        <n v="4.0200000000000031"/>
        <n v="3.1600000000000037"/>
        <n v="10.360000000000014"/>
        <n v="5.8400000000000034"/>
        <n v="6.7000000000000028"/>
        <n v="10.689999999999998"/>
        <n v="0.37999999999999989"/>
        <n v="25.850000000000023"/>
        <n v="10.25"/>
        <n v="0.56000000000000227"/>
        <n v="15.45999999999998"/>
        <n v="14.280000000000001"/>
        <n v="20.800000000000011"/>
        <n v="120.79999999999995"/>
        <n v="32.199999999999932"/>
        <n v="36.300000000000011"/>
        <n v="44.400000000000091"/>
        <n v="18.200000000000045"/>
        <n v="8.1399999999999864"/>
        <n v="9.6599999999999966"/>
        <n v="3.6400000000000006"/>
        <n v="78.900000000000091"/>
        <n v="48.900000000000091"/>
        <n v="0.10999999999999988"/>
        <n v="141"/>
        <n v="31.699999999999989"/>
        <n v="28.350000000000023"/>
        <n v="9.0099999999999909"/>
        <n v="19.200000000000045"/>
        <n v="25.449999999999932"/>
        <n v="14.419999999999987"/>
        <n v="0.75999999999999979"/>
        <n v="132.30000000000018"/>
        <n v="33.800000000000068"/>
        <n v="10.439999999999998"/>
        <n v="11.149999999999977"/>
        <n v="5.8800000000000026"/>
        <n v="12.699999999999989"/>
        <n v="13.299999999999997"/>
        <n v="9.2399999999999949"/>
        <n v="0.27"/>
        <n v="75.100000000000023"/>
        <n v="2.0599999999999952"/>
        <n v="43.850000000000023"/>
        <n v="168.80000000000018"/>
        <n v="13.850000000000023"/>
        <n v="11.47999999999999"/>
        <n v="41.949999999999932"/>
        <n v="19.299999999999955"/>
        <n v="26.100000000000023"/>
        <n v="3.4099999999999966"/>
        <n v="9.7999999999999972"/>
        <n v="10.090000000000003"/>
        <n v="300"/>
        <n v="4.5500000000000114"/>
        <n v="52.100000000000136"/>
        <n v="79"/>
        <n v="32.800000000000068"/>
        <n v="22.450000000000045"/>
        <n v="59.799999999999955"/>
        <n v="8.9999999999999858"/>
        <n v="68.399999999999977"/>
        <n v="29.399999999999977"/>
        <n v="49.850000000000023"/>
        <n v="40.599999999999909"/>
        <n v="73.700000000000045"/>
        <n v="2.09"/>
        <n v="154.10000000000014"/>
        <n v="30.150000000000034"/>
        <n v="30.399999999999977"/>
        <n v="16.699999999999932"/>
        <n v="6.0799999999999983"/>
        <n v="3.529999999999994"/>
        <n v="5.6299999999999955"/>
        <n v="1.870000000000001"/>
        <n v="0.78000000000000025"/>
        <n v="187.5"/>
        <n v="66.299999999999955"/>
        <n v="17.849999999999966"/>
        <n v="4.5600000000000023"/>
        <n v="150"/>
        <n v="10.510000000000005"/>
        <n v="39.75"/>
        <n v="0.83000000000000185"/>
        <n v="4.0500000000000007"/>
        <n v="135.5"/>
        <n v="16.52000000000001"/>
        <n v="4.8300000000000125"/>
        <n v="187.90000000000009"/>
        <n v="47.950000000000045"/>
        <n v="33.550000000000011"/>
        <n v="15.100000000000023"/>
        <n v="11.400000000000006"/>
        <n v="4.6500000000000057"/>
        <n v="2.9399999999999977"/>
        <n v="1.0600000000000005"/>
        <n v="5.6899999999999977"/>
        <n v="9.86"/>
        <n v="82.700000000000045"/>
        <n v="4.8300000000000054"/>
        <n v="3.75"/>
        <n v="7.1999999999999886"/>
        <n v="28.900000000000091"/>
        <n v="9.9399999999999977"/>
        <n v="1.3399999999999999"/>
        <n v="2.7799999999999976"/>
        <n v="3.6999999999999957"/>
        <n v="16.649999999999977"/>
        <n v="19.849999999999966"/>
        <n v="2.6799999999999997"/>
        <n v="31.350000000000023"/>
        <n v="413"/>
        <n v="198.80000000000018"/>
        <n v="6.3100000000000023"/>
        <n v="35.700000000000045"/>
        <n v="5.3000000000000114"/>
        <n v="8.4800000000000182"/>
        <n v="5.5200000000000102"/>
        <n v="3.9299999999999997"/>
        <n v="3.8699999999999974"/>
        <n v="2.2100000000000009"/>
        <n v="9.1800000000000068"/>
        <n v="14.350000000000023"/>
        <n v="16.849999999999994"/>
        <n v="4.1200000000000045"/>
        <n v="29.850000000000023"/>
        <n v="0.31999999999999984"/>
        <n v="84.399999999999977"/>
        <n v="43.099999999999909"/>
        <n v="0.47999999999999865"/>
        <n v="18.050000000000011"/>
        <n v="37.200000000000045"/>
        <n v="17.789999999999992"/>
        <n v="197.10000000000014"/>
        <n v="555"/>
        <n v="12.460000000000008"/>
        <n v="0.44000000000000039"/>
        <n v="5.990000000000002"/>
        <n v="26.050000000000011"/>
        <n v="2.1799999999999962"/>
        <n v="22.050000000000011"/>
        <n v="7.9999999999999849E-2"/>
        <n v="45.200000000000045"/>
        <n v="88.700000000000045"/>
        <n v="28.549999999999955"/>
        <n v="52.399999999999977"/>
        <n v="48.149999999999977"/>
        <n v="8.2599999999999909"/>
        <n v="17.449999999999989"/>
        <n v="4.6800000000000068"/>
        <n v="7.6499999999999773"/>
        <n v="161.59999999999991"/>
        <n v="3.6900000000000048"/>
        <n v="9.000000000000008E-2"/>
        <n v="6.3900000000000148"/>
        <n v="3.779999999999994"/>
        <n v="26.849999999999966"/>
        <n v="54.799999999999955"/>
        <n v="110"/>
        <n v="1.5499999999999972"/>
        <n v="20.849999999999966"/>
        <n v="1.4400000000000013"/>
        <n v="2.3799999999999955"/>
        <n v="3.6000000000000014"/>
        <n v="0.12"/>
        <n v="0.3100000000000005"/>
        <n v="8.9900000000000091"/>
        <n v="1.8400000000000016"/>
        <n v="4.6300000000000097"/>
        <n v="1.9200000000000017"/>
        <n v="82"/>
        <n v="2.9299999999999997"/>
        <n v="4.8000000000000114"/>
        <n v="8.0300000000000011"/>
        <n v="11.980000000000004"/>
        <n v="245.5"/>
        <n v="30.75"/>
        <n v="94.5"/>
        <n v="41.899999999999977"/>
        <n v="60.299999999999955"/>
        <n v="8.7800000000000011"/>
        <n v="6.4500000000000028"/>
        <n v="39"/>
        <n v="7.0900000000000034"/>
        <n v="4.8299999999999983"/>
        <n v="7.4299999999999926"/>
        <n v="29.449999999999989"/>
        <n v="106.30000000000018"/>
        <n v="5.1299999999999955"/>
        <n v="316.5"/>
        <n v="36.600000000000023"/>
        <n v="5.1300000000000026"/>
        <n v="27.550000000000011"/>
        <n v="82.849999999999909"/>
        <n v="54"/>
        <n v="4.0299999999999976"/>
        <n v="5.3100000000000023"/>
        <n v="78.200000000000045"/>
        <n v="16.549999999999955"/>
        <n v="8.0099999999999909"/>
        <n v="4.4899999999999949"/>
        <n v="3.2000000000000028"/>
        <n v="6.7600000000000051"/>
        <n v="50.649999999999977"/>
        <n v="2.120000000000001"/>
        <n v="100"/>
        <n v="25.799999999999955"/>
        <n v="6.2999999999999972"/>
        <n v="0.92999999999999972"/>
        <n v="42.549999999999955"/>
        <n v="16.689999999999998"/>
        <n v="3.9899999999999949"/>
        <n v="0.29999999999999982"/>
        <n v="25.650000000000091"/>
        <n v="60.799999999999955"/>
        <n v="818"/>
        <n v="6.3599999999999994"/>
        <n v="68.799999999999955"/>
        <n v="11.389999999999986"/>
      </sharedItems>
    </cacheField>
    <cacheField name="Movement" numFmtId="0">
      <sharedItems count="2">
        <s v="Loss"/>
        <s v="Gain"/>
      </sharedItems>
    </cacheField>
    <cacheField name="Cap Category" numFmtId="0">
      <sharedItems count="3">
        <s v="Large Cap"/>
        <s v="Small Cap"/>
        <s v="Mid Cap"/>
      </sharedItems>
    </cacheField>
    <cacheField name="Volume Category" numFmtId="0">
      <sharedItems count="2">
        <s v="High Volume"/>
        <s v="Low Volume"/>
      </sharedItems>
    </cacheField>
  </cacheFields>
  <extLst>
    <ext xmlns:x14="http://schemas.microsoft.com/office/spreadsheetml/2009/9/main" uri="{725AE2AE-9491-48be-B2B4-4EB974FC3084}">
      <x14:pivotCacheDefinition pivotCacheId="518715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2">
  <r>
    <x v="0"/>
    <s v="ADANI ENTERPRISES LIMITED"/>
    <n v="1910"/>
    <n v="1910.1"/>
    <n v="1820.5"/>
    <n v="1833"/>
    <n v="1927.1"/>
    <n v="2370668"/>
    <n v="92190"/>
    <n v="2120000000000"/>
    <n v="1154180729"/>
    <n v="-4.8829847958071664"/>
    <x v="0"/>
    <x v="0"/>
    <x v="0"/>
    <x v="0"/>
  </r>
  <r>
    <x v="1"/>
    <s v="ADANI PORT &amp; SEZ LTD"/>
    <n v="1350"/>
    <n v="1350"/>
    <n v="1293.5"/>
    <n v="1303.5999999999999"/>
    <n v="1365.4"/>
    <n v="3361416"/>
    <n v="169409"/>
    <n v="3000000000000"/>
    <n v="2303959098"/>
    <n v="-4.5261461842683595"/>
    <x v="1"/>
    <x v="0"/>
    <x v="0"/>
    <x v="0"/>
  </r>
  <r>
    <x v="2"/>
    <s v="APOLLO HOSPITALS ENTER. L"/>
    <n v="7288"/>
    <n v="7288"/>
    <n v="7080"/>
    <n v="7145"/>
    <n v="7364.5"/>
    <n v="464969"/>
    <n v="56488"/>
    <n v="1030000000000"/>
    <n v="143784657"/>
    <n v="-2.9805146310000681"/>
    <x v="2"/>
    <x v="0"/>
    <x v="0"/>
    <x v="1"/>
  </r>
  <r>
    <x v="3"/>
    <s v="ASIAN PAINTS LIMITED"/>
    <n v="2180"/>
    <n v="2180"/>
    <n v="2115"/>
    <n v="2121.3000000000002"/>
    <n v="2195.4"/>
    <n v="978398"/>
    <n v="84243"/>
    <n v="2030000000000"/>
    <n v="959197790"/>
    <n v="-3.375239136376055"/>
    <x v="3"/>
    <x v="0"/>
    <x v="0"/>
    <x v="1"/>
  </r>
  <r>
    <x v="4"/>
    <s v="AXIS BANK LIMITED"/>
    <n v="1181"/>
    <n v="1185.0999999999999"/>
    <n v="1165"/>
    <n v="1170.5999999999999"/>
    <n v="1203.9000000000001"/>
    <n v="6697446"/>
    <n v="225496"/>
    <n v="3630000000000"/>
    <n v="3104488514"/>
    <n v="-2.7660104659855618"/>
    <x v="4"/>
    <x v="0"/>
    <x v="0"/>
    <x v="0"/>
  </r>
  <r>
    <x v="5"/>
    <s v="BAJAJ AUTO LIMITED"/>
    <n v="8989.5"/>
    <n v="8989.5"/>
    <n v="8752"/>
    <n v="8776"/>
    <n v="9051"/>
    <n v="375189"/>
    <n v="64073"/>
    <n v="2450000000000"/>
    <n v="279257608"/>
    <n v="-3.0383383051596509"/>
    <x v="5"/>
    <x v="0"/>
    <x v="0"/>
    <x v="1"/>
  </r>
  <r>
    <x v="6"/>
    <s v="BAJAJ FINSERV LTD."/>
    <n v="1699.8"/>
    <n v="1700"/>
    <n v="1662.7"/>
    <n v="1675.5"/>
    <n v="1710.3"/>
    <n v="2207925"/>
    <n v="112974"/>
    <n v="2680000000000"/>
    <n v="1597813220"/>
    <n v="-2.0347307489914024"/>
    <x v="6"/>
    <x v="0"/>
    <x v="0"/>
    <x v="0"/>
  </r>
  <r>
    <x v="7"/>
    <s v="BAJAJ FINANCE LIMITED"/>
    <n v="818.1"/>
    <n v="818.8"/>
    <n v="787.9"/>
    <n v="812.6"/>
    <n v="830.55"/>
    <n v="15835828"/>
    <n v="385591"/>
    <n v="5060000000000"/>
    <n v="6222481865"/>
    <n v="-2.1612184696887522"/>
    <x v="7"/>
    <x v="0"/>
    <x v="0"/>
    <x v="0"/>
  </r>
  <r>
    <x v="8"/>
    <s v="BHARAT ELECTRONICS LTD"/>
    <n v="420.6"/>
    <n v="421.75"/>
    <n v="404"/>
    <n v="405.5"/>
    <n v="426.1"/>
    <n v="18894757"/>
    <n v="264954"/>
    <n v="2960000000000"/>
    <n v="7309778829"/>
    <n v="-4.8345458812485385"/>
    <x v="8"/>
    <x v="0"/>
    <x v="0"/>
    <x v="0"/>
  </r>
  <r>
    <x v="9"/>
    <s v="BHARTI AIRTEL LIMITED"/>
    <n v="1827"/>
    <n v="1830"/>
    <n v="1792"/>
    <n v="1795.9"/>
    <n v="1846.1"/>
    <n v="6874051"/>
    <n v="246881"/>
    <n v="10200000000000"/>
    <n v="5702105319"/>
    <n v="-2.7192459780076823"/>
    <x v="9"/>
    <x v="0"/>
    <x v="0"/>
    <x v="0"/>
  </r>
  <r>
    <x v="10"/>
    <s v="CIPLA LTD"/>
    <n v="1252"/>
    <n v="1252.7"/>
    <n v="1217.8"/>
    <n v="1221.8"/>
    <n v="1256.4000000000001"/>
    <n v="1295463"/>
    <n v="74343"/>
    <n v="987000000000"/>
    <n v="807771798"/>
    <n v="-2.7539000318370053"/>
    <x v="10"/>
    <x v="0"/>
    <x v="0"/>
    <x v="0"/>
  </r>
  <r>
    <x v="11"/>
    <s v="COAL INDIA LTD"/>
    <n v="466"/>
    <n v="466"/>
    <n v="450.65"/>
    <n v="455.25"/>
    <n v="468.15"/>
    <n v="10163783"/>
    <n v="139845"/>
    <n v="2810000000000"/>
    <n v="6162728327"/>
    <n v="-2.7555270746555545"/>
    <x v="11"/>
    <x v="0"/>
    <x v="0"/>
    <x v="0"/>
  </r>
  <r>
    <x v="12"/>
    <s v="DR. REDDY S LABORATORIES"/>
    <n v="1293"/>
    <n v="1293"/>
    <n v="1244.2"/>
    <n v="1253.3"/>
    <n v="1298.9000000000001"/>
    <n v="2112613"/>
    <n v="70019"/>
    <n v="1050000000000"/>
    <n v="834630355"/>
    <n v="-3.5106628685811172"/>
    <x v="12"/>
    <x v="0"/>
    <x v="0"/>
    <x v="0"/>
  </r>
  <r>
    <x v="13"/>
    <s v="EICHER MOTORS LTD"/>
    <n v="6790"/>
    <n v="6831.5"/>
    <n v="6661"/>
    <n v="6681.5"/>
    <n v="6909"/>
    <n v="380052"/>
    <n v="64045"/>
    <n v="1830000000000"/>
    <n v="274299237"/>
    <n v="-3.2928064842958458"/>
    <x v="13"/>
    <x v="0"/>
    <x v="0"/>
    <x v="1"/>
  </r>
  <r>
    <x v="14"/>
    <s v="ETERNAL LIMITED"/>
    <n v="227.9"/>
    <n v="231.4"/>
    <n v="224.21"/>
    <n v="226.96"/>
    <n v="232.29"/>
    <n v="71121843"/>
    <n v="507043"/>
    <n v="2190000000000"/>
    <n v="9650350647"/>
    <n v="-2.2945456110895797"/>
    <x v="14"/>
    <x v="0"/>
    <x v="0"/>
    <x v="0"/>
  </r>
  <r>
    <x v="15"/>
    <s v="GRASIM INDUSTRIES LTD"/>
    <n v="2591"/>
    <n v="2598"/>
    <n v="2502.5"/>
    <n v="2531.1"/>
    <n v="2616.3000000000002"/>
    <n v="1936926"/>
    <n v="119360"/>
    <n v="1720000000000"/>
    <n v="680521734"/>
    <n v="-3.2565072812750935"/>
    <x v="15"/>
    <x v="0"/>
    <x v="0"/>
    <x v="0"/>
  </r>
  <r>
    <x v="16"/>
    <s v="HCL TECHNOLOGIES LTD"/>
    <n v="1314.8"/>
    <n v="1365"/>
    <n v="1310"/>
    <n v="1358.6"/>
    <n v="1333.7"/>
    <n v="5166409"/>
    <n v="173461"/>
    <n v="3690000000000"/>
    <n v="2713665096"/>
    <n v="1.8669865786908497"/>
    <x v="16"/>
    <x v="1"/>
    <x v="0"/>
    <x v="0"/>
  </r>
  <r>
    <x v="17"/>
    <s v="HDFC BANK LTD"/>
    <n v="763.15"/>
    <n v="768.7"/>
    <n v="741.05"/>
    <n v="744.15"/>
    <n v="780.45"/>
    <n v="72341738"/>
    <n v="872248"/>
    <n v="11400000000000"/>
    <n v="15384577216"/>
    <n v="-4.6511627906976827"/>
    <x v="17"/>
    <x v="0"/>
    <x v="0"/>
    <x v="0"/>
  </r>
  <r>
    <x v="18"/>
    <s v="HDFC LIFE INS CO LTD"/>
    <n v="615.1"/>
    <n v="617"/>
    <n v="590.1"/>
    <n v="592.1"/>
    <n v="623.65"/>
    <n v="4223148"/>
    <n v="114800"/>
    <n v="1280000000000"/>
    <n v="2157615850"/>
    <n v="-5.0589272829311245"/>
    <x v="18"/>
    <x v="0"/>
    <x v="0"/>
    <x v="0"/>
  </r>
  <r>
    <x v="19"/>
    <s v="HINDALCO  INDUSTRIES  LTD"/>
    <n v="855"/>
    <n v="857.35"/>
    <n v="835.95"/>
    <n v="840.25"/>
    <n v="874.25"/>
    <n v="11372786"/>
    <n v="235268"/>
    <n v="1890000000000"/>
    <n v="2247226523"/>
    <n v="-3.8890477552187588"/>
    <x v="19"/>
    <x v="0"/>
    <x v="0"/>
    <x v="0"/>
  </r>
  <r>
    <x v="20"/>
    <s v="HINDUSTAN UNILEVER LTD."/>
    <n v="2062.3000000000002"/>
    <n v="2097"/>
    <n v="2033.3"/>
    <n v="2052.1999999999998"/>
    <n v="2082.6999999999998"/>
    <n v="2599535"/>
    <n v="167567"/>
    <n v="4820000000000"/>
    <n v="2349591262"/>
    <n v="-1.4644451913381671"/>
    <x v="20"/>
    <x v="0"/>
    <x v="0"/>
    <x v="0"/>
  </r>
  <r>
    <x v="21"/>
    <s v="ICICI BANK LTD."/>
    <n v="1226.5999999999999"/>
    <n v="1234.9000000000001"/>
    <n v="1218.0999999999999"/>
    <n v="1222.7"/>
    <n v="1245.4000000000001"/>
    <n v="17049534"/>
    <n v="279421"/>
    <n v="8740000000000"/>
    <n v="7150191757"/>
    <n v="-1.8227075638349159"/>
    <x v="21"/>
    <x v="0"/>
    <x v="0"/>
    <x v="0"/>
  </r>
  <r>
    <x v="22"/>
    <s v="INTERGLOBE AVIATION LTD"/>
    <n v="4069.8"/>
    <n v="4103.8999999999996"/>
    <n v="3895.2"/>
    <n v="3945.3"/>
    <n v="4149.1000000000004"/>
    <n v="2919605"/>
    <n v="214828"/>
    <n v="1530000000000"/>
    <n v="386590598"/>
    <n v="-4.9119086066857918"/>
    <x v="22"/>
    <x v="0"/>
    <x v="0"/>
    <x v="0"/>
  </r>
  <r>
    <x v="23"/>
    <s v="INFOSYS LIMITED"/>
    <n v="1238.2"/>
    <n v="1261.0999999999999"/>
    <n v="1227.4000000000001"/>
    <n v="1256.8"/>
    <n v="1255.9000000000001"/>
    <n v="12420293"/>
    <n v="307309"/>
    <n v="5100000000000"/>
    <n v="4054624409"/>
    <n v="7.1661756509265345E-2"/>
    <x v="23"/>
    <x v="1"/>
    <x v="0"/>
    <x v="0"/>
  </r>
  <r>
    <x v="24"/>
    <s v="ITC LTD"/>
    <n v="298.89999999999998"/>
    <n v="299"/>
    <n v="289.55"/>
    <n v="290.45"/>
    <n v="299.95"/>
    <n v="31788160"/>
    <n v="379322"/>
    <n v="3640000000000"/>
    <n v="12528764562"/>
    <n v="-3.1671945324220707"/>
    <x v="24"/>
    <x v="0"/>
    <x v="0"/>
    <x v="0"/>
  </r>
  <r>
    <x v="25"/>
    <s v="JIO FIN SERVICES LTD"/>
    <n v="236.2"/>
    <n v="236.3"/>
    <n v="225.4"/>
    <n v="226.1"/>
    <n v="239.3"/>
    <n v="21172068"/>
    <n v="192812"/>
    <n v="1440000000000"/>
    <n v="6353141623"/>
    <n v="-5.5160885917258744"/>
    <x v="25"/>
    <x v="0"/>
    <x v="0"/>
    <x v="0"/>
  </r>
  <r>
    <x v="26"/>
    <s v="JSW STEEL LIMITED"/>
    <n v="1153.8"/>
    <n v="1153.8"/>
    <n v="1102.5"/>
    <n v="1109.5999999999999"/>
    <n v="1169.5999999999999"/>
    <n v="2532216"/>
    <n v="88622"/>
    <n v="2710000000000"/>
    <n v="2445453966"/>
    <n v="-5.1299589603283184"/>
    <x v="26"/>
    <x v="0"/>
    <x v="0"/>
    <x v="0"/>
  </r>
  <r>
    <x v="27"/>
    <s v="KOTAK MAHINDRA BANK LTD"/>
    <n v="364.85"/>
    <n v="364.9"/>
    <n v="355.25"/>
    <n v="356.55"/>
    <n v="366.75"/>
    <n v="16980244"/>
    <n v="189680"/>
    <n v="3550000000000"/>
    <n v="9945492975"/>
    <n v="-2.7811860940695263"/>
    <x v="27"/>
    <x v="0"/>
    <x v="0"/>
    <x v="0"/>
  </r>
  <r>
    <x v="28"/>
    <s v="LARSEN &amp; TOUBRO LTD."/>
    <n v="3405.1"/>
    <n v="3409.9"/>
    <n v="3288.1"/>
    <n v="3342.4"/>
    <n v="3434.8"/>
    <n v="5645839"/>
    <n v="319335"/>
    <n v="4600000000000"/>
    <n v="1375580872"/>
    <n v="-2.6901129614533623"/>
    <x v="28"/>
    <x v="0"/>
    <x v="0"/>
    <x v="0"/>
  </r>
  <r>
    <x v="29"/>
    <s v="MAHINDRA &amp; MAHINDRA LTD"/>
    <n v="3015.1"/>
    <n v="3019.7"/>
    <n v="2935"/>
    <n v="2955.8"/>
    <n v="3066.1"/>
    <n v="3978740"/>
    <n v="235232"/>
    <n v="3680000000000"/>
    <n v="1243528831"/>
    <n v="-3.5974038681060541"/>
    <x v="29"/>
    <x v="0"/>
    <x v="0"/>
    <x v="0"/>
  </r>
  <r>
    <x v="30"/>
    <s v="MARUTI SUZUKI INDIA LTD."/>
    <n v="12501"/>
    <n v="12501"/>
    <n v="12278"/>
    <n v="12355"/>
    <n v="12601"/>
    <n v="517985"/>
    <n v="86813"/>
    <n v="3880000000000"/>
    <n v="314402574"/>
    <n v="-1.952226013808428"/>
    <x v="30"/>
    <x v="0"/>
    <x v="0"/>
    <x v="1"/>
  </r>
  <r>
    <x v="31"/>
    <s v="MAX HEALTHCARE INS LTD"/>
    <n v="964"/>
    <n v="971.3"/>
    <n v="937.3"/>
    <n v="956.9"/>
    <n v="964.8"/>
    <n v="3063874"/>
    <n v="121551"/>
    <n v="931000000000"/>
    <n v="972769354"/>
    <n v="-0.8188225538971784"/>
    <x v="31"/>
    <x v="0"/>
    <x v="0"/>
    <x v="0"/>
  </r>
  <r>
    <x v="32"/>
    <s v="NESTLE INDIA LIMITED"/>
    <n v="1189"/>
    <n v="1189"/>
    <n v="1164.8"/>
    <n v="1166.8"/>
    <n v="1193.5999999999999"/>
    <n v="944890"/>
    <n v="67109"/>
    <n v="2250000000000"/>
    <n v="1928314320"/>
    <n v="-2.2453083109919536"/>
    <x v="32"/>
    <x v="0"/>
    <x v="0"/>
    <x v="1"/>
  </r>
  <r>
    <x v="33"/>
    <s v="NTPC LTD"/>
    <n v="377.1"/>
    <n v="379.5"/>
    <n v="369.3"/>
    <n v="372.4"/>
    <n v="380.95"/>
    <n v="13148432"/>
    <n v="202229"/>
    <n v="3610000000000"/>
    <n v="9696666134"/>
    <n v="-2.2443890274314247"/>
    <x v="33"/>
    <x v="0"/>
    <x v="0"/>
    <x v="0"/>
  </r>
  <r>
    <x v="34"/>
    <s v="OIL AND NATURAL GAS CORP."/>
    <n v="267.3"/>
    <n v="269.7"/>
    <n v="263.89999999999998"/>
    <n v="265.45"/>
    <n v="265.39999999999998"/>
    <n v="23991581"/>
    <n v="181852"/>
    <n v="3340000000000"/>
    <n v="12580279206"/>
    <n v="1.8839487565942493E-2"/>
    <x v="34"/>
    <x v="0"/>
    <x v="0"/>
    <x v="0"/>
  </r>
  <r>
    <x v="35"/>
    <s v="POWER GRID CORP. LTD."/>
    <n v="298"/>
    <n v="304.35000000000002"/>
    <n v="293.10000000000002"/>
    <n v="302.10000000000002"/>
    <n v="297.60000000000002"/>
    <n v="23771660"/>
    <n v="168908"/>
    <n v="2810000000000"/>
    <n v="9300603819"/>
    <n v="1.5120967741935483"/>
    <x v="35"/>
    <x v="1"/>
    <x v="0"/>
    <x v="0"/>
  </r>
  <r>
    <x v="36"/>
    <s v="RELIANCE INDUSTRIES LTD"/>
    <n v="1400"/>
    <n v="1415.6"/>
    <n v="1391"/>
    <n v="1407.8"/>
    <n v="1414.4"/>
    <n v="18979554"/>
    <n v="385355"/>
    <n v="19100000000000"/>
    <n v="13532472634"/>
    <n v="-0.46662895927602771"/>
    <x v="36"/>
    <x v="1"/>
    <x v="0"/>
    <x v="0"/>
  </r>
  <r>
    <x v="37"/>
    <s v="SBI LIFE INSURANCE CO LTD"/>
    <n v="1875"/>
    <n v="1889.8"/>
    <n v="1811.5"/>
    <n v="1832.3"/>
    <n v="1896.9"/>
    <n v="1338816"/>
    <n v="106214"/>
    <n v="1840000000000"/>
    <n v="1002829838"/>
    <n v="-3.4055564341820936"/>
    <x v="37"/>
    <x v="0"/>
    <x v="0"/>
    <x v="0"/>
  </r>
  <r>
    <x v="38"/>
    <s v="STATE BANK OF INDIA"/>
    <n v="1039"/>
    <n v="1045.5999999999999"/>
    <n v="1014.2"/>
    <n v="1031.9000000000001"/>
    <n v="1058"/>
    <n v="16039603"/>
    <n v="335720"/>
    <n v="9530000000000"/>
    <n v="9230617586"/>
    <n v="-2.466918714555757"/>
    <x v="38"/>
    <x v="0"/>
    <x v="0"/>
    <x v="0"/>
  </r>
  <r>
    <x v="39"/>
    <s v="SHRIRAM FINANCE LIMITED"/>
    <n v="930"/>
    <n v="930.1"/>
    <n v="870.2"/>
    <n v="877.7"/>
    <n v="938.6"/>
    <n v="10556865"/>
    <n v="239057"/>
    <n v="1650000000000"/>
    <n v="1881362101"/>
    <n v="-6.488386959301085"/>
    <x v="39"/>
    <x v="0"/>
    <x v="0"/>
    <x v="0"/>
  </r>
  <r>
    <x v="40"/>
    <s v="SUN PHARMACEUTICAL IND L"/>
    <n v="1774.8"/>
    <n v="1775"/>
    <n v="1741.1"/>
    <n v="1758.4"/>
    <n v="1777.1"/>
    <n v="2783613"/>
    <n v="121645"/>
    <n v="4220000000000"/>
    <n v="2399334970"/>
    <n v="-1.0522761802937268"/>
    <x v="40"/>
    <x v="0"/>
    <x v="0"/>
    <x v="0"/>
  </r>
  <r>
    <x v="41"/>
    <s v="TATA CONSUMER PRODUCT LTD"/>
    <n v="1036.0999999999999"/>
    <n v="1042"/>
    <n v="1019.6"/>
    <n v="1023.6"/>
    <n v="1050.2"/>
    <n v="2006447"/>
    <n v="96297"/>
    <n v="1010000000000"/>
    <n v="989544308"/>
    <n v="-2.5328508855456127"/>
    <x v="41"/>
    <x v="0"/>
    <x v="0"/>
    <x v="0"/>
  </r>
  <r>
    <x v="42"/>
    <s v="TATA STEEL LIMITED"/>
    <n v="193"/>
    <n v="193.95"/>
    <n v="186.51"/>
    <n v="187.17"/>
    <n v="196.77"/>
    <n v="44393392"/>
    <n v="286506"/>
    <n v="2340000000000"/>
    <n v="12483527171"/>
    <n v="-4.8787924988565443"/>
    <x v="42"/>
    <x v="0"/>
    <x v="0"/>
    <x v="0"/>
  </r>
  <r>
    <x v="43"/>
    <s v="TATA CONSULTANCY SERV LT"/>
    <n v="2365"/>
    <n v="2406.8000000000002"/>
    <n v="2348"/>
    <n v="2383.8000000000002"/>
    <n v="2390.6"/>
    <n v="3860515"/>
    <n v="214767"/>
    <n v="8620000000000"/>
    <n v="3618087518"/>
    <n v="-0.28444741905796567"/>
    <x v="43"/>
    <x v="1"/>
    <x v="0"/>
    <x v="0"/>
  </r>
  <r>
    <x v="44"/>
    <s v="TECH MAHINDRA LIMITED"/>
    <n v="1366"/>
    <n v="1414.6"/>
    <n v="1357.6"/>
    <n v="1384"/>
    <n v="1384.8"/>
    <n v="3647386"/>
    <n v="169241"/>
    <n v="1360000000000"/>
    <n v="979721333"/>
    <n v="-5.7770075101094352E-2"/>
    <x v="44"/>
    <x v="1"/>
    <x v="0"/>
    <x v="0"/>
  </r>
  <r>
    <x v="45"/>
    <s v="TITAN COMPANY LIMITED"/>
    <n v="4056.6"/>
    <n v="4059"/>
    <n v="3825"/>
    <n v="3853.1"/>
    <n v="4106.6000000000004"/>
    <n v="1533645"/>
    <n v="146663"/>
    <n v="3420000000000"/>
    <n v="887786160"/>
    <n v="-6.1729898212633429"/>
    <x v="45"/>
    <x v="0"/>
    <x v="0"/>
    <x v="0"/>
  </r>
  <r>
    <x v="46"/>
    <s v="TATA MOTORS PASS VEH LTD"/>
    <n v="311.05"/>
    <n v="311.05"/>
    <n v="303.5"/>
    <n v="305.25"/>
    <n v="314.10000000000002"/>
    <n v="10816349"/>
    <n v="144969"/>
    <n v="1120000000000"/>
    <n v="3682579382"/>
    <n v="-2.8175740210124234"/>
    <x v="46"/>
    <x v="0"/>
    <x v="0"/>
    <x v="0"/>
  </r>
  <r>
    <x v="47"/>
    <s v="TRENT LTD"/>
    <n v="3502.2"/>
    <n v="3502.2"/>
    <n v="3340.3"/>
    <n v="3356.7"/>
    <n v="3559.6"/>
    <n v="959711"/>
    <n v="85170"/>
    <n v="1190000000000"/>
    <n v="355487461"/>
    <n v="-5.7000786605236575"/>
    <x v="47"/>
    <x v="0"/>
    <x v="0"/>
    <x v="1"/>
  </r>
  <r>
    <x v="48"/>
    <s v="ULTRATECH CEMENT LIMITED"/>
    <n v="10877"/>
    <n v="10877"/>
    <n v="10325"/>
    <n v="10362"/>
    <n v="10934"/>
    <n v="644386"/>
    <n v="90481"/>
    <n v="3050000000000"/>
    <n v="294679171"/>
    <n v="-5.2313883299798798"/>
    <x v="48"/>
    <x v="0"/>
    <x v="0"/>
    <x v="1"/>
  </r>
  <r>
    <x v="49"/>
    <s v="WIPRO LTD"/>
    <n v="189.41"/>
    <n v="190.62"/>
    <n v="187"/>
    <n v="187.54"/>
    <n v="190.9"/>
    <n v="12014988"/>
    <n v="120117"/>
    <n v="1970000000000"/>
    <n v="10486718754"/>
    <n v="-1.7600838135149364"/>
    <x v="49"/>
    <x v="0"/>
    <x v="0"/>
    <x v="0"/>
  </r>
  <r>
    <x v="50"/>
    <s v="ABB INDIA LIMITED"/>
    <n v="6264"/>
    <n v="6264"/>
    <n v="5975"/>
    <n v="6041.5"/>
    <n v="6297"/>
    <n v="274731"/>
    <n v="33252"/>
    <n v="1280000000000"/>
    <n v="211908375"/>
    <n v="-4.0574876925520087"/>
    <x v="50"/>
    <x v="0"/>
    <x v="0"/>
    <x v="1"/>
  </r>
  <r>
    <x v="51"/>
    <s v="ADANI ENERGY SOLUTION LTD"/>
    <n v="1000"/>
    <n v="1000.9"/>
    <n v="935.7"/>
    <n v="946.9"/>
    <n v="1009.9"/>
    <n v="8950325"/>
    <n v="59585"/>
    <n v="1140000000000"/>
    <n v="1201282642"/>
    <n v="-6.2382414100405983"/>
    <x v="51"/>
    <x v="0"/>
    <x v="0"/>
    <x v="0"/>
  </r>
  <r>
    <x v="52"/>
    <s v="ADANI GREEN ENERGY LTD"/>
    <n v="863"/>
    <n v="863"/>
    <n v="810.45"/>
    <n v="816.45"/>
    <n v="863.1"/>
    <n v="2746629"/>
    <n v="54394"/>
    <n v="1340000000000"/>
    <n v="1647176155"/>
    <n v="-5.404935696906497"/>
    <x v="52"/>
    <x v="0"/>
    <x v="0"/>
    <x v="0"/>
  </r>
  <r>
    <x v="53"/>
    <s v="ADANI POWER LTD"/>
    <n v="151.54"/>
    <n v="152.87"/>
    <n v="144.65"/>
    <n v="147.85"/>
    <n v="151.54"/>
    <n v="25968931"/>
    <n v="157894"/>
    <n v="2850000000000"/>
    <n v="19284694705"/>
    <n v="-2.4350006598917764"/>
    <x v="53"/>
    <x v="0"/>
    <x v="0"/>
    <x v="0"/>
  </r>
  <r>
    <x v="54"/>
    <s v="AMBUJA CEMENTS LTD"/>
    <n v="416.8"/>
    <n v="416.8"/>
    <n v="394"/>
    <n v="395.35"/>
    <n v="420.55"/>
    <n v="4333904"/>
    <n v="59025"/>
    <n v="977000000000"/>
    <n v="2471823478"/>
    <n v="-5.9921531328022795"/>
    <x v="54"/>
    <x v="0"/>
    <x v="0"/>
    <x v="0"/>
  </r>
  <r>
    <x v="55"/>
    <s v="BAJAJ HOUSING FINANCE LTD"/>
    <n v="81"/>
    <n v="81.209999999999994"/>
    <n v="77.900000000000006"/>
    <n v="78.510000000000005"/>
    <n v="81.45"/>
    <n v="10089337"/>
    <n v="83357"/>
    <n v="654000000000"/>
    <n v="8332334619"/>
    <n v="-3.6095764272559823"/>
    <x v="55"/>
    <x v="0"/>
    <x v="0"/>
    <x v="0"/>
  </r>
  <r>
    <x v="56"/>
    <s v="BAJAJ HOLDINGS &amp; INVS LTD"/>
    <n v="9466"/>
    <n v="9498"/>
    <n v="9088"/>
    <n v="9162"/>
    <n v="9512"/>
    <n v="46331"/>
    <n v="14708"/>
    <n v="1020000000000"/>
    <n v="111293510"/>
    <n v="-3.6795626576955427"/>
    <x v="56"/>
    <x v="0"/>
    <x v="0"/>
    <x v="1"/>
  </r>
  <r>
    <x v="57"/>
    <s v="BANK OF BARODA"/>
    <n v="275.2"/>
    <n v="275.45"/>
    <n v="265"/>
    <n v="265.89999999999998"/>
    <n v="279.95"/>
    <n v="9657083"/>
    <n v="77550"/>
    <n v="1380000000000"/>
    <n v="5171362179"/>
    <n v="-5.0187533488122922"/>
    <x v="57"/>
    <x v="0"/>
    <x v="0"/>
    <x v="0"/>
  </r>
  <r>
    <x v="58"/>
    <s v="BOSCH LIMITED"/>
    <n v="30220"/>
    <n v="30300"/>
    <n v="29000"/>
    <n v="29135"/>
    <n v="30390"/>
    <n v="25264"/>
    <n v="11147"/>
    <n v="859000000000"/>
    <n v="29493640"/>
    <n v="-4.1296479104968737"/>
    <x v="58"/>
    <x v="0"/>
    <x v="0"/>
    <x v="1"/>
  </r>
  <r>
    <x v="59"/>
    <s v="BHARAT PETROLEUM CORP  LT"/>
    <n v="280.05"/>
    <n v="281"/>
    <n v="270"/>
    <n v="271.3"/>
    <n v="287.8"/>
    <n v="14357554"/>
    <n v="133171"/>
    <n v="1180000000000"/>
    <n v="4338505488"/>
    <n v="-5.7331480194579569"/>
    <x v="59"/>
    <x v="0"/>
    <x v="0"/>
    <x v="0"/>
  </r>
  <r>
    <x v="60"/>
    <s v="BRITANNIA INDUSTRIES LTD"/>
    <n v="5590"/>
    <n v="5590.5"/>
    <n v="5475.5"/>
    <n v="5490"/>
    <n v="5618.5"/>
    <n v="316325"/>
    <n v="38282"/>
    <n v="1320000000000"/>
    <n v="240868296"/>
    <n v="-2.287087300881018"/>
    <x v="60"/>
    <x v="0"/>
    <x v="0"/>
    <x v="1"/>
  </r>
  <r>
    <x v="61"/>
    <s v="CANARA BANK"/>
    <n v="134"/>
    <n v="134"/>
    <n v="129.02000000000001"/>
    <n v="129.56"/>
    <n v="136.44"/>
    <n v="22467854"/>
    <n v="108980"/>
    <n v="1180000000000"/>
    <n v="9070651260"/>
    <n v="-5.0425095279976517"/>
    <x v="61"/>
    <x v="0"/>
    <x v="0"/>
    <x v="0"/>
  </r>
  <r>
    <x v="62"/>
    <s v="CG POWER AND IND SOL LTD"/>
    <n v="675.15"/>
    <n v="675.5"/>
    <n v="642.79999999999995"/>
    <n v="664.1"/>
    <n v="681.6"/>
    <n v="3640981"/>
    <n v="84011"/>
    <n v="1050000000000"/>
    <n v="1574857609"/>
    <n v="-2.567488262910798"/>
    <x v="62"/>
    <x v="0"/>
    <x v="0"/>
    <x v="0"/>
  </r>
  <r>
    <x v="63"/>
    <s v="CHOLAMANDALAM IN &amp; FIN CO"/>
    <n v="1429.7"/>
    <n v="1429.7"/>
    <n v="1375.6"/>
    <n v="1380.9"/>
    <n v="1440.5"/>
    <n v="2569553"/>
    <n v="86676"/>
    <n v="1170000000000"/>
    <n v="843853491"/>
    <n v="-4.1374522735161339"/>
    <x v="63"/>
    <x v="0"/>
    <x v="0"/>
    <x v="0"/>
  </r>
  <r>
    <x v="64"/>
    <s v="DIVI S LABORATORIES LTD"/>
    <n v="6036.5"/>
    <n v="6047"/>
    <n v="5982"/>
    <n v="6013.5"/>
    <n v="6100"/>
    <n v="227221"/>
    <n v="31049"/>
    <n v="1600000000000"/>
    <n v="265468580"/>
    <n v="-1.4180327868852458"/>
    <x v="3"/>
    <x v="0"/>
    <x v="0"/>
    <x v="1"/>
  </r>
  <r>
    <x v="65"/>
    <s v="DLF LIMITED"/>
    <n v="534"/>
    <n v="534"/>
    <n v="512.04999999999995"/>
    <n v="514.75"/>
    <n v="540.75"/>
    <n v="4277345"/>
    <n v="64406"/>
    <n v="1270000000000"/>
    <n v="2475315036"/>
    <n v="-4.8081368469717987"/>
    <x v="64"/>
    <x v="0"/>
    <x v="0"/>
    <x v="0"/>
  </r>
  <r>
    <x v="66"/>
    <s v="AVENUE SUPERMARTS LIMITED"/>
    <n v="3750"/>
    <n v="3752"/>
    <n v="3630"/>
    <n v="3655.6"/>
    <n v="3770.8"/>
    <n v="296381"/>
    <n v="33353"/>
    <n v="2380000000000"/>
    <n v="650733068"/>
    <n v="-3.0550546303171813"/>
    <x v="65"/>
    <x v="0"/>
    <x v="0"/>
    <x v="1"/>
  </r>
  <r>
    <x v="67"/>
    <s v="SIEMENS ENERGY INDIA LTD"/>
    <n v="2751.2"/>
    <n v="2758.5"/>
    <n v="2666.1"/>
    <n v="2696.1"/>
    <n v="2791.2"/>
    <n v="221627"/>
    <n v="27242"/>
    <n v="960000000000"/>
    <n v="356120505"/>
    <n v="-3.4071367153912262"/>
    <x v="66"/>
    <x v="0"/>
    <x v="0"/>
    <x v="1"/>
  </r>
  <r>
    <x v="68"/>
    <s v="GAIL (INDIA) LTD"/>
    <n v="141.22999999999999"/>
    <n v="142.1"/>
    <n v="134.36000000000001"/>
    <n v="135.4"/>
    <n v="142.87"/>
    <n v="16552069"/>
    <n v="111483"/>
    <n v="890000000000"/>
    <n v="6575099644"/>
    <n v="-5.2285294323510874"/>
    <x v="67"/>
    <x v="0"/>
    <x v="0"/>
    <x v="0"/>
  </r>
  <r>
    <x v="69"/>
    <s v="GODREJ CONSUMER PRODUCTS"/>
    <n v="1010"/>
    <n v="1012"/>
    <n v="988"/>
    <n v="1002.4"/>
    <n v="1017.6"/>
    <n v="1771476"/>
    <n v="80431"/>
    <n v="1030000000000"/>
    <n v="1023244581"/>
    <n v="-1.4937106918239038"/>
    <x v="68"/>
    <x v="0"/>
    <x v="0"/>
    <x v="0"/>
  </r>
  <r>
    <x v="70"/>
    <s v="HINDUSTAN AERONAUTICS LTD"/>
    <n v="3760.6"/>
    <n v="3762.8"/>
    <n v="3610"/>
    <n v="3634.6"/>
    <n v="3782.4"/>
    <n v="1797092"/>
    <n v="108300"/>
    <n v="2430000000000"/>
    <n v="668775000"/>
    <n v="-3.907571912013541"/>
    <x v="69"/>
    <x v="0"/>
    <x v="0"/>
    <x v="0"/>
  </r>
  <r>
    <x v="71"/>
    <s v="HAVELLS INDIA LIMITED"/>
    <n v="1270"/>
    <n v="1271.9000000000001"/>
    <n v="1217.2"/>
    <n v="1231"/>
    <n v="1281.2"/>
    <n v="835568"/>
    <n v="43148"/>
    <n v="772000000000"/>
    <n v="627256842"/>
    <n v="-3.9182016859194544"/>
    <x v="70"/>
    <x v="0"/>
    <x v="0"/>
    <x v="1"/>
  </r>
  <r>
    <x v="72"/>
    <s v="HINDUSTAN ZINC LIMITED"/>
    <n v="499.35"/>
    <n v="499.5"/>
    <n v="484"/>
    <n v="487.65"/>
    <n v="514.75"/>
    <n v="9206594"/>
    <n v="120099"/>
    <n v="2060000000000"/>
    <n v="4225319000"/>
    <n v="-5.2646915978630453"/>
    <x v="71"/>
    <x v="0"/>
    <x v="0"/>
    <x v="0"/>
  </r>
  <r>
    <x v="73"/>
    <s v="HYUNDAI MOTOR INDIA LTD"/>
    <n v="1940"/>
    <n v="1940.9"/>
    <n v="1860"/>
    <n v="1867.5"/>
    <n v="1951"/>
    <n v="371722"/>
    <n v="37867"/>
    <n v="1520000000000"/>
    <n v="812541100"/>
    <n v="-4.2798564838544335"/>
    <x v="72"/>
    <x v="0"/>
    <x v="0"/>
    <x v="1"/>
  </r>
  <r>
    <x v="74"/>
    <s v="ICICI LOMBARD GIC LIMITED"/>
    <n v="1761"/>
    <n v="1771.3"/>
    <n v="1706"/>
    <n v="1722.2"/>
    <n v="1777.2"/>
    <n v="1369456"/>
    <n v="72304"/>
    <n v="858000000000"/>
    <n v="498004805"/>
    <n v="-3.0947557956335809"/>
    <x v="73"/>
    <x v="0"/>
    <x v="0"/>
    <x v="0"/>
  </r>
  <r>
    <x v="75"/>
    <s v="THE INDIAN HOTELS CO. LTD"/>
    <n v="610.54999999999995"/>
    <n v="611"/>
    <n v="580.85"/>
    <n v="582.45000000000005"/>
    <n v="615.54999999999995"/>
    <n v="3495215"/>
    <n v="90546"/>
    <n v="829000000000"/>
    <n v="1423432227"/>
    <n v="-5.3773048493217308"/>
    <x v="74"/>
    <x v="0"/>
    <x v="0"/>
    <x v="0"/>
  </r>
  <r>
    <x v="76"/>
    <s v="INDIAN OIL CORP LTD"/>
    <n v="141.49"/>
    <n v="142.69"/>
    <n v="137.75"/>
    <n v="138.11000000000001"/>
    <n v="144.6"/>
    <n v="21048472"/>
    <n v="162631"/>
    <n v="1950000000000"/>
    <n v="14121238383"/>
    <n v="-4.4882434301521306"/>
    <x v="75"/>
    <x v="0"/>
    <x v="0"/>
    <x v="0"/>
  </r>
  <r>
    <x v="77"/>
    <s v="INDIAN RAILWAY FIN CORP L"/>
    <n v="93.5"/>
    <n v="93.65"/>
    <n v="89.2"/>
    <n v="89.45"/>
    <n v="94.69"/>
    <n v="17225370"/>
    <n v="111441"/>
    <n v="1170000000000"/>
    <n v="13068506000"/>
    <n v="-5.5338472911606242"/>
    <x v="76"/>
    <x v="0"/>
    <x v="0"/>
    <x v="0"/>
  </r>
  <r>
    <x v="78"/>
    <s v="JINDAL STEEL LIMITED"/>
    <n v="1162"/>
    <n v="1169.8"/>
    <n v="1101.5999999999999"/>
    <n v="1106.2"/>
    <n v="1186.5"/>
    <n v="1880244"/>
    <n v="57844"/>
    <n v="1130000000000"/>
    <n v="1020088097"/>
    <n v="-6.7678044669195065"/>
    <x v="77"/>
    <x v="0"/>
    <x v="0"/>
    <x v="0"/>
  </r>
  <r>
    <x v="79"/>
    <s v="JSW ENERGY LIMITED"/>
    <n v="506.8"/>
    <n v="506.8"/>
    <n v="480"/>
    <n v="482.7"/>
    <n v="507.05"/>
    <n v="3486905"/>
    <n v="66103"/>
    <n v="844000000000"/>
    <n v="1747768451"/>
    <n v="-4.8022877428261559"/>
    <x v="78"/>
    <x v="0"/>
    <x v="0"/>
    <x v="0"/>
  </r>
  <r>
    <x v="80"/>
    <s v="LIFE INSURA CORP OF INDIA"/>
    <n v="766"/>
    <n v="768.9"/>
    <n v="737.05"/>
    <n v="740"/>
    <n v="776.75"/>
    <n v="1315501"/>
    <n v="44447"/>
    <n v="4680000000000"/>
    <n v="6324997701"/>
    <n v="-4.73125201158674"/>
    <x v="79"/>
    <x v="0"/>
    <x v="0"/>
    <x v="0"/>
  </r>
  <r>
    <x v="81"/>
    <s v="LODHA DEVELOPERS LIMITED"/>
    <n v="789"/>
    <n v="789"/>
    <n v="724"/>
    <n v="727.9"/>
    <n v="796.9"/>
    <n v="4129352"/>
    <n v="90575"/>
    <n v="727000000000"/>
    <n v="998704513"/>
    <n v="-8.6585518885682013"/>
    <x v="3"/>
    <x v="0"/>
    <x v="0"/>
    <x v="0"/>
  </r>
  <r>
    <x v="82"/>
    <s v="LTIMINDTREE LIMITED"/>
    <n v="4236"/>
    <n v="4236"/>
    <n v="4071"/>
    <n v="4105.6000000000004"/>
    <n v="4298.8"/>
    <n v="569410"/>
    <n v="52147"/>
    <n v="1220000000000"/>
    <n v="296489245"/>
    <n v="-4.4942774727830983"/>
    <x v="80"/>
    <x v="0"/>
    <x v="0"/>
    <x v="1"/>
  </r>
  <r>
    <x v="83"/>
    <s v="MAZAGON DOCK SHIPBUIL LTD"/>
    <n v="2290"/>
    <n v="2302.6999999999998"/>
    <n v="2185.1999999999998"/>
    <n v="2206.6999999999998"/>
    <n v="2324.1"/>
    <n v="1695946"/>
    <n v="88807"/>
    <n v="890000000000"/>
    <n v="403380000"/>
    <n v="-5.0514177531087343"/>
    <x v="81"/>
    <x v="0"/>
    <x v="0"/>
    <x v="0"/>
  </r>
  <r>
    <x v="84"/>
    <s v="SAMVRDHNA MTHRSN INTL LTD"/>
    <n v="111"/>
    <n v="111.03"/>
    <n v="106.25"/>
    <n v="106.59"/>
    <n v="111.59"/>
    <n v="21402616"/>
    <n v="121809"/>
    <n v="1130000000000"/>
    <n v="10554442601"/>
    <n v="-4.4806882337126979"/>
    <x v="82"/>
    <x v="0"/>
    <x v="0"/>
    <x v="0"/>
  </r>
  <r>
    <x v="85"/>
    <s v="INFO EDGE (I) LTD"/>
    <n v="970"/>
    <n v="979.8"/>
    <n v="954.3"/>
    <n v="974.7"/>
    <n v="978.2"/>
    <n v="1489512"/>
    <n v="40485"/>
    <n v="632000000000"/>
    <n v="648420600"/>
    <n v="-0.35780004089143319"/>
    <x v="83"/>
    <x v="1"/>
    <x v="0"/>
    <x v="0"/>
  </r>
  <r>
    <x v="86"/>
    <s v="POWER FIN CORP LTD."/>
    <n v="402.95"/>
    <n v="402.95"/>
    <n v="386.4"/>
    <n v="398"/>
    <n v="412.85"/>
    <n v="10830695"/>
    <n v="85213"/>
    <n v="1310000000000"/>
    <n v="3300101760"/>
    <n v="-3.5969480440838129"/>
    <x v="84"/>
    <x v="0"/>
    <x v="0"/>
    <x v="0"/>
  </r>
  <r>
    <x v="87"/>
    <s v="PIDILITE INDUSTRIES LTD"/>
    <n v="1333"/>
    <n v="1333"/>
    <n v="1293.3"/>
    <n v="1314.9"/>
    <n v="1341.3"/>
    <n v="800316"/>
    <n v="54721"/>
    <n v="1340000000000"/>
    <n v="1017714032"/>
    <n v="-1.9682397673898355"/>
    <x v="85"/>
    <x v="0"/>
    <x v="0"/>
    <x v="1"/>
  </r>
  <r>
    <x v="88"/>
    <s v="PUNJAB NATIONAL BANK"/>
    <n v="110.6"/>
    <n v="110.7"/>
    <n v="105.2"/>
    <n v="105.55"/>
    <n v="111.53"/>
    <n v="24198613"/>
    <n v="83525"/>
    <n v="1210000000000"/>
    <n v="11492943268"/>
    <n v="-5.3617860665291888"/>
    <x v="86"/>
    <x v="0"/>
    <x v="0"/>
    <x v="0"/>
  </r>
  <r>
    <x v="89"/>
    <s v="REC LIMITED"/>
    <n v="327.45"/>
    <n v="327.45"/>
    <n v="310.55"/>
    <n v="316.45"/>
    <n v="330.5"/>
    <n v="11748371"/>
    <n v="99449"/>
    <n v="833000000000"/>
    <n v="2633224000"/>
    <n v="-4.2511346444780669"/>
    <x v="87"/>
    <x v="0"/>
    <x v="0"/>
    <x v="0"/>
  </r>
  <r>
    <x v="90"/>
    <s v="SHREE CEMENT LIMITED"/>
    <n v="23495"/>
    <n v="23495"/>
    <n v="22550"/>
    <n v="22725"/>
    <n v="23535"/>
    <n v="36958"/>
    <n v="12182"/>
    <n v="820000000000"/>
    <n v="36080748"/>
    <n v="-3.4416826003824093"/>
    <x v="88"/>
    <x v="0"/>
    <x v="0"/>
    <x v="1"/>
  </r>
  <r>
    <x v="91"/>
    <s v="SIEMENS LTD"/>
    <n v="3110"/>
    <n v="3110"/>
    <n v="2937"/>
    <n v="2988.3"/>
    <n v="3129.6"/>
    <n v="524215"/>
    <n v="40955"/>
    <n v="1060000000000"/>
    <n v="356120505"/>
    <n v="-4.5149539877300526"/>
    <x v="89"/>
    <x v="0"/>
    <x v="0"/>
    <x v="1"/>
  </r>
  <r>
    <x v="92"/>
    <s v="SOLAR INDUSTRIES (I) LTD"/>
    <n v="12887"/>
    <n v="12887"/>
    <n v="12282"/>
    <n v="12430"/>
    <n v="12934"/>
    <n v="164689"/>
    <n v="42769"/>
    <n v="1120000000000"/>
    <n v="90490055"/>
    <n v="-3.8967063553425079"/>
    <x v="90"/>
    <x v="0"/>
    <x v="0"/>
    <x v="1"/>
  </r>
  <r>
    <x v="93"/>
    <s v="TATA POWER CO LTD"/>
    <n v="402.7"/>
    <n v="403.3"/>
    <n v="373"/>
    <n v="386.95"/>
    <n v="402.4"/>
    <n v="15173788"/>
    <n v="161102"/>
    <n v="1240000000000"/>
    <n v="3195339547"/>
    <n v="-3.8394632206759418"/>
    <x v="91"/>
    <x v="0"/>
    <x v="0"/>
    <x v="0"/>
  </r>
  <r>
    <x v="94"/>
    <s v="TORRENT PHARMACEUTICALS L"/>
    <n v="4270.3"/>
    <n v="4270.3"/>
    <n v="4164.6000000000004"/>
    <n v="4213.8999999999996"/>
    <n v="4270.2"/>
    <n v="320186"/>
    <n v="36140"/>
    <n v="1430000000000"/>
    <n v="338445440"/>
    <n v="-1.3184394173575051"/>
    <x v="92"/>
    <x v="0"/>
    <x v="0"/>
    <x v="1"/>
  </r>
  <r>
    <x v="95"/>
    <s v="TVS MOTOR COMPANY  LTD"/>
    <n v="3440"/>
    <n v="3440"/>
    <n v="3382"/>
    <n v="3412.5"/>
    <n v="3462.2"/>
    <n v="748254"/>
    <n v="60697"/>
    <n v="1620000000000"/>
    <n v="475087114"/>
    <n v="-1.4355034371209006"/>
    <x v="93"/>
    <x v="0"/>
    <x v="0"/>
    <x v="1"/>
  </r>
  <r>
    <x v="96"/>
    <s v="UNITED SPIRITS LIMITED"/>
    <n v="1288.9000000000001"/>
    <n v="1288.9000000000001"/>
    <n v="1266.4000000000001"/>
    <n v="1275.2"/>
    <n v="1300.0999999999999"/>
    <n v="1141612"/>
    <n v="40465"/>
    <n v="928000000000"/>
    <n v="727350853"/>
    <n v="-1.9152372894392633"/>
    <x v="94"/>
    <x v="0"/>
    <x v="0"/>
    <x v="0"/>
  </r>
  <r>
    <x v="97"/>
    <s v="VARUN BEVERAGES LIMITED"/>
    <n v="398"/>
    <n v="398.7"/>
    <n v="381"/>
    <n v="382.2"/>
    <n v="401.45"/>
    <n v="10454299"/>
    <n v="196474"/>
    <n v="1290000000000"/>
    <n v="3381988769"/>
    <n v="-4.7951176983435051"/>
    <x v="95"/>
    <x v="0"/>
    <x v="0"/>
    <x v="0"/>
  </r>
  <r>
    <x v="98"/>
    <s v="VEDANTA LIMITED"/>
    <n v="660"/>
    <n v="660.9"/>
    <n v="634.25"/>
    <n v="645.75"/>
    <n v="672.2"/>
    <n v="21999651"/>
    <n v="279691"/>
    <n v="2530000000000"/>
    <n v="3910388057"/>
    <n v="-3.9348408211841783"/>
    <x v="96"/>
    <x v="0"/>
    <x v="0"/>
    <x v="0"/>
  </r>
  <r>
    <x v="99"/>
    <s v="ZYDUS LIFESCIENCES LTD"/>
    <n v="890.45"/>
    <n v="899"/>
    <n v="858"/>
    <n v="860.6"/>
    <n v="890.5"/>
    <n v="662395"/>
    <n v="32942"/>
    <n v="866000000000"/>
    <n v="1006233990"/>
    <n v="-3.3576642335766396"/>
    <x v="97"/>
    <x v="0"/>
    <x v="0"/>
    <x v="1"/>
  </r>
  <r>
    <x v="100"/>
    <s v="20 MICRONS LTD"/>
    <n v="148.9"/>
    <n v="150.47"/>
    <n v="140.65"/>
    <n v="143.04"/>
    <n v="151.02000000000001"/>
    <n v="166178"/>
    <n v="3708"/>
    <n v="5047381246"/>
    <n v="35286502"/>
    <n v="-5.2840683353198363"/>
    <x v="98"/>
    <x v="0"/>
    <x v="1"/>
    <x v="1"/>
  </r>
  <r>
    <x v="101"/>
    <s v="21ST CENTURY MGMT SERVICE"/>
    <n v="32.39"/>
    <n v="32.39"/>
    <n v="31.27"/>
    <n v="31.27"/>
    <n v="31.9"/>
    <n v="10080"/>
    <n v="82"/>
    <n v="328335000"/>
    <n v="10500000"/>
    <n v="-1.9749216300940409"/>
    <x v="99"/>
    <x v="0"/>
    <x v="1"/>
    <x v="1"/>
  </r>
  <r>
    <x v="102"/>
    <s v="360 ONE WAM LIMITED"/>
    <n v="1040.5999999999999"/>
    <n v="1040.5999999999999"/>
    <n v="973.9"/>
    <n v="985.4"/>
    <n v="1040.5999999999999"/>
    <n v="550431"/>
    <n v="30173"/>
    <n v="399000000000"/>
    <n v="405057728"/>
    <n v="-5.3046319431097384"/>
    <x v="100"/>
    <x v="0"/>
    <x v="0"/>
    <x v="1"/>
  </r>
  <r>
    <x v="103"/>
    <s v="3I INFOTECH LIMITED"/>
    <n v="14.15"/>
    <n v="14.15"/>
    <n v="13.06"/>
    <n v="13.49"/>
    <n v="13.82"/>
    <n v="1428782"/>
    <n v="2139"/>
    <n v="2797775642"/>
    <n v="207396267"/>
    <n v="-2.3878437047756877"/>
    <x v="101"/>
    <x v="0"/>
    <x v="1"/>
    <x v="0"/>
  </r>
  <r>
    <x v="104"/>
    <s v="3M INDIA LIMITED"/>
    <n v="31960"/>
    <n v="32035"/>
    <n v="31000"/>
    <n v="31100"/>
    <n v="32270"/>
    <n v="4038"/>
    <n v="2492"/>
    <n v="350000000000"/>
    <n v="11265070"/>
    <n v="-3.6256585063526496"/>
    <x v="102"/>
    <x v="0"/>
    <x v="0"/>
    <x v="1"/>
  </r>
  <r>
    <x v="105"/>
    <s v="3P LAND HOLDINGS LIMITED"/>
    <n v="32"/>
    <n v="32.590000000000003"/>
    <n v="30.75"/>
    <n v="31.57"/>
    <n v="32.36"/>
    <n v="1485"/>
    <n v="42"/>
    <n v="568260000"/>
    <n v="18000000"/>
    <n v="-2.4412855377008627"/>
    <x v="103"/>
    <x v="0"/>
    <x v="1"/>
    <x v="1"/>
  </r>
  <r>
    <x v="106"/>
    <s v="5PAISA CAPITAL LIMITED"/>
    <n v="286.2"/>
    <n v="290.75"/>
    <n v="278.14999999999998"/>
    <n v="279.2"/>
    <n v="291.60000000000002"/>
    <n v="70668"/>
    <n v="1961"/>
    <n v="13084291154"/>
    <n v="46863507"/>
    <n v="-4.2524005486968566"/>
    <x v="104"/>
    <x v="0"/>
    <x v="1"/>
    <x v="1"/>
  </r>
  <r>
    <x v="107"/>
    <s v="63 MOONS TECHNOLOGIES LTD"/>
    <n v="520.79999999999995"/>
    <n v="520.79999999999995"/>
    <n v="481"/>
    <n v="484.3"/>
    <n v="531.45000000000005"/>
    <n v="486270"/>
    <n v="12389"/>
    <n v="22315835469"/>
    <n v="46078537"/>
    <n v="-8.8719540878728065"/>
    <x v="105"/>
    <x v="0"/>
    <x v="1"/>
    <x v="1"/>
  </r>
  <r>
    <x v="108"/>
    <s v="AAA TECHNOLOGIES LIMITED"/>
    <n v="93"/>
    <n v="93.95"/>
    <n v="90"/>
    <n v="90.11"/>
    <n v="93"/>
    <n v="20904"/>
    <n v="509"/>
    <n v="1155822948"/>
    <n v="12826800"/>
    <n v="-3.1075268817204309"/>
    <x v="106"/>
    <x v="0"/>
    <x v="1"/>
    <x v="1"/>
  </r>
  <r>
    <x v="109"/>
    <s v="AADHAR HOUSING FINANCE L"/>
    <n v="447.65"/>
    <n v="449.8"/>
    <n v="435.5"/>
    <n v="445.1"/>
    <n v="449.85"/>
    <n v="285732"/>
    <n v="14180"/>
    <n v="193000000000"/>
    <n v="433796312"/>
    <n v="-1.0559075247304657"/>
    <x v="107"/>
    <x v="0"/>
    <x v="2"/>
    <x v="1"/>
  </r>
  <r>
    <x v="110"/>
    <s v="AAREY DRUGS &amp; PHARM LTD"/>
    <n v="66.25"/>
    <n v="69.28"/>
    <n v="62.36"/>
    <n v="62.48"/>
    <n v="69.28"/>
    <n v="150534"/>
    <n v="1465"/>
    <n v="1771576851"/>
    <n v="28354303"/>
    <n v="-9.8152424942263341"/>
    <x v="108"/>
    <x v="0"/>
    <x v="1"/>
    <x v="1"/>
  </r>
  <r>
    <x v="111"/>
    <s v="AARNAV FASHIONS LIMITED"/>
    <n v="25.77"/>
    <n v="28.29"/>
    <n v="24.5"/>
    <n v="24.92"/>
    <n v="25.77"/>
    <n v="41243"/>
    <n v="448"/>
    <n v="1052586610"/>
    <n v="42238628"/>
    <n v="-3.2984090027163284"/>
    <x v="109"/>
    <x v="0"/>
    <x v="1"/>
    <x v="1"/>
  </r>
  <r>
    <x v="112"/>
    <s v="AARON INDUSTRIES LIMITED"/>
    <n v="135"/>
    <n v="137.74"/>
    <n v="125.95"/>
    <n v="135.94"/>
    <n v="137.74"/>
    <n v="30923"/>
    <n v="1063"/>
    <n v="2847464219"/>
    <n v="20946478"/>
    <n v="-1.3068099317554895"/>
    <x v="110"/>
    <x v="1"/>
    <x v="1"/>
    <x v="1"/>
  </r>
  <r>
    <x v="113"/>
    <s v="AARTECH SOLONICS LIMITED"/>
    <n v="47"/>
    <n v="47"/>
    <n v="43.6"/>
    <n v="44.77"/>
    <n v="46.63"/>
    <n v="43910"/>
    <n v="407"/>
    <n v="1422359734"/>
    <n v="31770376"/>
    <n v="-3.9888483808706825"/>
    <x v="111"/>
    <x v="0"/>
    <x v="1"/>
    <x v="1"/>
  </r>
  <r>
    <x v="114"/>
    <s v="AARTI DRUGS LTD."/>
    <n v="344.7"/>
    <n v="344.7"/>
    <n v="325.60000000000002"/>
    <n v="327.60000000000002"/>
    <n v="343.15"/>
    <n v="148425"/>
    <n v="6431"/>
    <n v="29900052000"/>
    <n v="91270000"/>
    <n v="-4.5315459711496304"/>
    <x v="112"/>
    <x v="0"/>
    <x v="1"/>
    <x v="1"/>
  </r>
  <r>
    <x v="115"/>
    <s v="AARTI INDUSTRIES LTD"/>
    <n v="420.95"/>
    <n v="422"/>
    <n v="401.65"/>
    <n v="405.15"/>
    <n v="427.35"/>
    <n v="641070"/>
    <n v="25524"/>
    <n v="147000000000"/>
    <n v="362593869"/>
    <n v="-5.1948051948052045"/>
    <x v="113"/>
    <x v="0"/>
    <x v="2"/>
    <x v="1"/>
  </r>
  <r>
    <x v="116"/>
    <s v="AARTI PHARMALABS LIMITED"/>
    <n v="640.95000000000005"/>
    <n v="641"/>
    <n v="614"/>
    <n v="617.6"/>
    <n v="644.6"/>
    <n v="272148"/>
    <n v="19829"/>
    <n v="55983768774"/>
    <n v="90647294"/>
    <n v="-4.1886441203847342"/>
    <x v="114"/>
    <x v="0"/>
    <x v="2"/>
    <x v="1"/>
  </r>
  <r>
    <x v="117"/>
    <s v="AARTI SURFACTANTS LIMITED"/>
    <n v="341.1"/>
    <n v="349.65"/>
    <n v="336"/>
    <n v="337.9"/>
    <n v="352.85"/>
    <n v="11329"/>
    <n v="933"/>
    <n v="2858125461"/>
    <n v="8458495"/>
    <n v="-4.2369278730338795"/>
    <x v="115"/>
    <x v="0"/>
    <x v="1"/>
    <x v="1"/>
  </r>
  <r>
    <x v="118"/>
    <s v="AARVI ENCON LIMITED"/>
    <n v="123"/>
    <n v="128.38999999999999"/>
    <n v="123"/>
    <n v="125.36"/>
    <n v="130.15"/>
    <n v="15466"/>
    <n v="733"/>
    <n v="1856669352"/>
    <n v="14810700"/>
    <n v="-3.6803688052247452"/>
    <x v="116"/>
    <x v="1"/>
    <x v="1"/>
    <x v="1"/>
  </r>
  <r>
    <x v="119"/>
    <s v="AAVAS FINANCIERS LIMITED"/>
    <n v="1091"/>
    <n v="1091.9000000000001"/>
    <n v="1060.4000000000001"/>
    <n v="1073.9000000000001"/>
    <n v="1098.0999999999999"/>
    <n v="262585"/>
    <n v="21170"/>
    <n v="85030876863"/>
    <n v="79179511"/>
    <n v="-2.2038065749931537"/>
    <x v="117"/>
    <x v="0"/>
    <x v="2"/>
    <x v="1"/>
  </r>
  <r>
    <x v="120"/>
    <s v="ABBOTT INDIA LIMITED"/>
    <n v="26570"/>
    <n v="26570"/>
    <n v="25420"/>
    <n v="25485"/>
    <n v="26715"/>
    <n v="15029"/>
    <n v="6608"/>
    <n v="542000000000"/>
    <n v="21249302"/>
    <n v="-4.6041549691184729"/>
    <x v="118"/>
    <x v="0"/>
    <x v="0"/>
    <x v="1"/>
  </r>
  <r>
    <x v="121"/>
    <s v="ADITYA BIRLA CAPITAL LTD."/>
    <n v="307"/>
    <n v="307"/>
    <n v="292.25"/>
    <n v="294.95"/>
    <n v="311.25"/>
    <n v="6021434"/>
    <n v="81087"/>
    <n v="772000000000"/>
    <n v="2617145082"/>
    <n v="-5.2369477911646625"/>
    <x v="119"/>
    <x v="0"/>
    <x v="0"/>
    <x v="0"/>
  </r>
  <r>
    <x v="122"/>
    <s v="A B COTSPIN INDIA LIMITED"/>
    <n v="393.6"/>
    <n v="410"/>
    <n v="393.2"/>
    <n v="405.4"/>
    <n v="403.35"/>
    <n v="28147"/>
    <n v="973"/>
    <n v="8904051548"/>
    <n v="21963620"/>
    <n v="0.50824346101399642"/>
    <x v="120"/>
    <x v="1"/>
    <x v="1"/>
    <x v="1"/>
  </r>
  <r>
    <x v="123"/>
    <s v="ALLIED BLEND N DISTILS L"/>
    <n v="408.65"/>
    <n v="408.9"/>
    <n v="382.1"/>
    <n v="384.15"/>
    <n v="408.45"/>
    <n v="509598"/>
    <n v="17936"/>
    <n v="107000000000"/>
    <n v="279710151"/>
    <n v="-5.9493206022769041"/>
    <x v="121"/>
    <x v="0"/>
    <x v="2"/>
    <x v="1"/>
  </r>
  <r>
    <x v="124"/>
    <s v="ADITYA BIRLA FASHION &amp; RT"/>
    <n v="59.2"/>
    <n v="59.3"/>
    <n v="55.16"/>
    <n v="56.94"/>
    <n v="59.98"/>
    <n v="8618261"/>
    <n v="35385"/>
    <n v="69494841527"/>
    <n v="1220492475"/>
    <n v="-5.0683561187062338"/>
    <x v="122"/>
    <x v="0"/>
    <x v="2"/>
    <x v="0"/>
  </r>
  <r>
    <x v="125"/>
    <s v="A B INFRABUILD LIMITED"/>
    <n v="16.850000000000001"/>
    <n v="17.100000000000001"/>
    <n v="16.82"/>
    <n v="16.920000000000002"/>
    <n v="16.97"/>
    <n v="5029361"/>
    <n v="697"/>
    <n v="10808315971"/>
    <n v="638789360"/>
    <n v="-0.29463759575720189"/>
    <x v="123"/>
    <x v="1"/>
    <x v="1"/>
    <x v="0"/>
  </r>
  <r>
    <x v="126"/>
    <s v="ADITYA BIRLA LIFES BRAN L"/>
    <n v="92.6"/>
    <n v="93.54"/>
    <n v="90"/>
    <n v="91.45"/>
    <n v="93.23"/>
    <n v="2498746"/>
    <n v="16473"/>
    <n v="112000000000"/>
    <n v="1220504009"/>
    <n v="-1.9092566770352901"/>
    <x v="124"/>
    <x v="0"/>
    <x v="2"/>
    <x v="0"/>
  </r>
  <r>
    <x v="127"/>
    <s v="ADITYA BIRLA REAL EST LTD"/>
    <n v="1155"/>
    <n v="1159.5"/>
    <n v="1093.5"/>
    <n v="1110.5999999999999"/>
    <n v="1165.4000000000001"/>
    <n v="177521"/>
    <n v="16868"/>
    <n v="124000000000"/>
    <n v="111695680"/>
    <n v="-4.7022481551398814"/>
    <x v="125"/>
    <x v="0"/>
    <x v="2"/>
    <x v="1"/>
  </r>
  <r>
    <x v="128"/>
    <s v="ADIT BIRL SUN LIF AMC LTD"/>
    <n v="937.9"/>
    <n v="939.9"/>
    <n v="882.05"/>
    <n v="889.25"/>
    <n v="944.65"/>
    <n v="313955"/>
    <n v="22100"/>
    <n v="257000000000"/>
    <n v="288777425"/>
    <n v="-5.8646059387074549"/>
    <x v="126"/>
    <x v="0"/>
    <x v="0"/>
    <x v="1"/>
  </r>
  <r>
    <x v="129"/>
    <s v="ACC LIMITED"/>
    <n v="1374.9"/>
    <n v="1374.9"/>
    <n v="1320"/>
    <n v="1329.8"/>
    <n v="1381.4"/>
    <n v="413599"/>
    <n v="29741"/>
    <n v="250000000000"/>
    <n v="187787263"/>
    <n v="-3.7353409584479609"/>
    <x v="127"/>
    <x v="0"/>
    <x v="0"/>
    <x v="1"/>
  </r>
  <r>
    <x v="130"/>
    <s v="ACCELYA SOLN INDIA LTD"/>
    <n v="1160.7"/>
    <n v="1166.4000000000001"/>
    <n v="1130"/>
    <n v="1138.3"/>
    <n v="1181.8"/>
    <n v="18033"/>
    <n v="2132"/>
    <n v="16990562896"/>
    <n v="14926261"/>
    <n v="-3.6808258588593672"/>
    <x v="128"/>
    <x v="0"/>
    <x v="1"/>
    <x v="1"/>
  </r>
  <r>
    <x v="131"/>
    <s v="ACCURACY SHIPPING LIMITED"/>
    <n v="3.99"/>
    <n v="3.99"/>
    <n v="3.85"/>
    <n v="3.92"/>
    <n v="3.99"/>
    <n v="96213"/>
    <n v="682"/>
    <n v="590195200"/>
    <n v="150560000"/>
    <n v="-1.7543859649122879"/>
    <x v="129"/>
    <x v="0"/>
    <x v="1"/>
    <x v="1"/>
  </r>
  <r>
    <x v="132"/>
    <s v="ACTION CONST EQUIP LTD"/>
    <n v="821"/>
    <n v="825"/>
    <n v="785"/>
    <n v="789.7"/>
    <n v="829.15"/>
    <n v="247680"/>
    <n v="18080"/>
    <n v="94039999881"/>
    <n v="119083196"/>
    <n v="-4.7578845805945766"/>
    <x v="130"/>
    <x v="0"/>
    <x v="2"/>
    <x v="1"/>
  </r>
  <r>
    <x v="133"/>
    <s v="ACE INTEGRATED SOLU. LTD."/>
    <n v="16.5"/>
    <n v="17.25"/>
    <n v="15.55"/>
    <n v="15.95"/>
    <n v="16.940000000000001"/>
    <n v="3860"/>
    <n v="103"/>
    <n v="162690000"/>
    <n v="10200000"/>
    <n v="-5.8441558441558552"/>
    <x v="131"/>
    <x v="0"/>
    <x v="1"/>
    <x v="1"/>
  </r>
  <r>
    <x v="134"/>
    <s v="ARCHEAN CHEMICAL IND LTD"/>
    <n v="598.75"/>
    <n v="622"/>
    <n v="583.04999999999995"/>
    <n v="612.15"/>
    <n v="601.25"/>
    <n v="432463"/>
    <n v="27357"/>
    <n v="75575055887"/>
    <n v="123458394"/>
    <n v="1.812889812889809"/>
    <x v="132"/>
    <x v="1"/>
    <x v="2"/>
    <x v="1"/>
  </r>
  <r>
    <x v="135"/>
    <s v="ANDHRA CEMENTS LIMITED"/>
    <n v="52.7"/>
    <n v="52.96"/>
    <n v="47.54"/>
    <n v="48.25"/>
    <n v="52.79"/>
    <n v="83148"/>
    <n v="894"/>
    <n v="4447305755"/>
    <n v="92172140"/>
    <n v="-8.6001136578897501"/>
    <x v="133"/>
    <x v="0"/>
    <x v="1"/>
    <x v="1"/>
  </r>
  <r>
    <x v="136"/>
    <s v="ACME SOLAR HOLDINGS LTD"/>
    <n v="246.37"/>
    <n v="246.38"/>
    <n v="234.8"/>
    <n v="237.55"/>
    <n v="246.37"/>
    <n v="1035340"/>
    <n v="21308"/>
    <n v="144000000000"/>
    <n v="605971804"/>
    <n v="-3.5799813288955611"/>
    <x v="134"/>
    <x v="0"/>
    <x v="2"/>
    <x v="0"/>
  </r>
  <r>
    <x v="137"/>
    <s v="ACUTAAS CHEMICALS LIMITED"/>
    <n v="2361.5"/>
    <n v="2420"/>
    <n v="2244.9"/>
    <n v="2268.1999999999998"/>
    <n v="2399.8000000000002"/>
    <n v="558487"/>
    <n v="81596"/>
    <n v="186000000000"/>
    <n v="81871122"/>
    <n v="-5.4837903158596699"/>
    <x v="135"/>
    <x v="0"/>
    <x v="2"/>
    <x v="1"/>
  </r>
  <r>
    <x v="138"/>
    <s v="ADF FOODS LIMITED"/>
    <n v="172"/>
    <n v="178.2"/>
    <n v="161.36000000000001"/>
    <n v="162.15"/>
    <n v="174.43"/>
    <n v="377658"/>
    <n v="6476"/>
    <n v="17814381929"/>
    <n v="109863595"/>
    <n v="-7.0400733818723849"/>
    <x v="136"/>
    <x v="0"/>
    <x v="1"/>
    <x v="1"/>
  </r>
  <r>
    <x v="139"/>
    <s v="ARCHIDPLY DECOR LIMITED"/>
    <n v="66.58"/>
    <n v="68.37"/>
    <n v="62.6"/>
    <n v="63.29"/>
    <n v="66.58"/>
    <n v="733"/>
    <n v="39"/>
    <n v="352287962.5"/>
    <n v="5566250"/>
    <n v="-4.9414238510063067"/>
    <x v="137"/>
    <x v="0"/>
    <x v="1"/>
    <x v="1"/>
  </r>
  <r>
    <x v="140"/>
    <s v="ADOR WELDING LTD"/>
    <n v="915"/>
    <n v="915"/>
    <n v="870"/>
    <n v="871.8"/>
    <n v="917.1"/>
    <n v="19088"/>
    <n v="1968"/>
    <n v="15171774117"/>
    <n v="17402815"/>
    <n v="-4.9394831534183909"/>
    <x v="138"/>
    <x v="0"/>
    <x v="1"/>
    <x v="1"/>
  </r>
  <r>
    <x v="141"/>
    <s v="ADROIT INFOTECH LIMITED"/>
    <n v="8.98"/>
    <n v="8.98"/>
    <n v="8.15"/>
    <n v="8.4"/>
    <n v="8.83"/>
    <n v="141038"/>
    <n v="374"/>
    <n v="455088547.19999999"/>
    <n v="54177208"/>
    <n v="-4.8697621744054329"/>
    <x v="139"/>
    <x v="0"/>
    <x v="1"/>
    <x v="1"/>
  </r>
  <r>
    <x v="142"/>
    <s v="ALLIED DIGITAL SERV. LTD"/>
    <n v="100.03"/>
    <n v="101.05"/>
    <n v="95"/>
    <n v="95.97"/>
    <n v="101.55"/>
    <n v="190027"/>
    <n v="3386"/>
    <n v="5423660864"/>
    <n v="56514128"/>
    <n v="-5.4948301329394367"/>
    <x v="140"/>
    <x v="0"/>
    <x v="1"/>
    <x v="1"/>
  </r>
  <r>
    <x v="143"/>
    <s v="ADVAIT ENRGY TRANSITION L"/>
    <n v="1625"/>
    <n v="1738"/>
    <n v="1533.1"/>
    <n v="1555.6"/>
    <n v="1644.6"/>
    <n v="112447"/>
    <n v="12039"/>
    <n v="17013250301"/>
    <n v="10936777"/>
    <n v="-5.4116502493007426"/>
    <x v="141"/>
    <x v="0"/>
    <x v="1"/>
    <x v="1"/>
  </r>
  <r>
    <x v="144"/>
    <s v="ADVANCE AGROLIFE LIMITED"/>
    <n v="97.5"/>
    <n v="97.5"/>
    <n v="87.76"/>
    <n v="88.53"/>
    <n v="97.32"/>
    <n v="400122"/>
    <n v="2818"/>
    <n v="5691214792"/>
    <n v="64285720"/>
    <n v="-9.0320591861898816"/>
    <x v="142"/>
    <x v="0"/>
    <x v="1"/>
    <x v="1"/>
  </r>
  <r>
    <x v="145"/>
    <s v="ADVANI HOT.&amp; RES.(I) LTD"/>
    <n v="51.99"/>
    <n v="52.5"/>
    <n v="47.3"/>
    <n v="47.88"/>
    <n v="51.73"/>
    <n v="96465"/>
    <n v="1434"/>
    <n v="4425955380"/>
    <n v="92438500"/>
    <n v="-7.4424898511501931"/>
    <x v="143"/>
    <x v="0"/>
    <x v="1"/>
    <x v="1"/>
  </r>
  <r>
    <x v="146"/>
    <s v="ADVENT HOTELS INTERNATI L"/>
    <n v="151.07"/>
    <n v="151.07"/>
    <n v="135.19999999999999"/>
    <n v="138.63999999999999"/>
    <n v="151.07"/>
    <n v="291503"/>
    <n v="5216"/>
    <n v="7478641854"/>
    <n v="53942887"/>
    <n v="-8.2279737869861709"/>
    <x v="144"/>
    <x v="0"/>
    <x v="1"/>
    <x v="1"/>
  </r>
  <r>
    <x v="147"/>
    <s v="ADVANCED ENZYME TECH LTD"/>
    <n v="267.64999999999998"/>
    <n v="269.25"/>
    <n v="265"/>
    <n v="266.8"/>
    <n v="272.60000000000002"/>
    <n v="115173"/>
    <n v="2838"/>
    <n v="29862070240"/>
    <n v="111926800"/>
    <n v="-2.1276595744680891"/>
    <x v="145"/>
    <x v="0"/>
    <x v="1"/>
    <x v="1"/>
  </r>
  <r>
    <x v="148"/>
    <s v="AEGIS LOGISTICS LIMITED"/>
    <n v="607"/>
    <n v="614.29999999999995"/>
    <n v="576.1"/>
    <n v="587.95000000000005"/>
    <n v="611.70000000000005"/>
    <n v="774831"/>
    <n v="24364"/>
    <n v="206000000000"/>
    <n v="351000000"/>
    <n v="-3.8826222004250446"/>
    <x v="146"/>
    <x v="0"/>
    <x v="0"/>
    <x v="1"/>
  </r>
  <r>
    <x v="149"/>
    <s v="AEGIS VOPAK TERMINALS LTD"/>
    <n v="176.5"/>
    <n v="181.21"/>
    <n v="168.18"/>
    <n v="175.34"/>
    <n v="178.54"/>
    <n v="3114072"/>
    <n v="52689"/>
    <n v="194000000000"/>
    <n v="1107991489"/>
    <n v="-1.792315447518757"/>
    <x v="147"/>
    <x v="0"/>
    <x v="2"/>
    <x v="0"/>
  </r>
  <r>
    <x v="150"/>
    <s v="ARTEMIS ELECTRICALS &amp; P L"/>
    <n v="17.350000000000001"/>
    <n v="17.350000000000001"/>
    <n v="16.05"/>
    <n v="16.149999999999999"/>
    <n v="16.850000000000001"/>
    <n v="47325"/>
    <n v="306"/>
    <n v="4054245935"/>
    <n v="251036900"/>
    <n v="-4.1543026706231618"/>
    <x v="148"/>
    <x v="0"/>
    <x v="1"/>
    <x v="1"/>
  </r>
  <r>
    <x v="151"/>
    <s v="AEQUS LIMITED"/>
    <n v="123"/>
    <n v="123.2"/>
    <n v="118"/>
    <n v="120.13"/>
    <n v="123.06"/>
    <n v="1240545"/>
    <n v="16980"/>
    <n v="80567062733"/>
    <n v="670665635"/>
    <n v="-2.3809523809523863"/>
    <x v="143"/>
    <x v="0"/>
    <x v="2"/>
    <x v="0"/>
  </r>
  <r>
    <x v="152"/>
    <s v="AEROFLEX ENTERPRISES LTD"/>
    <n v="70.400000000000006"/>
    <n v="70.91"/>
    <n v="62.2"/>
    <n v="65.31"/>
    <n v="72.53"/>
    <n v="603848"/>
    <n v="3287"/>
    <n v="7385581350"/>
    <n v="113085000"/>
    <n v="-9.9545015855508048"/>
    <x v="149"/>
    <x v="0"/>
    <x v="1"/>
    <x v="1"/>
  </r>
  <r>
    <x v="153"/>
    <s v="AEROFLEX INDUSTRIES LTD"/>
    <n v="231.9"/>
    <n v="231.9"/>
    <n v="220.2"/>
    <n v="223.29"/>
    <n v="233.75"/>
    <n v="1028448"/>
    <n v="12981"/>
    <n v="28875945417"/>
    <n v="129320370"/>
    <n v="-4.4748663101604311"/>
    <x v="150"/>
    <x v="0"/>
    <x v="1"/>
    <x v="0"/>
  </r>
  <r>
    <x v="154"/>
    <s v="AEROFLEX NEU LIMITED"/>
    <n v="68.8"/>
    <n v="69.39"/>
    <n v="64"/>
    <n v="68.19"/>
    <n v="66.75"/>
    <n v="49401"/>
    <n v="998"/>
    <n v="1759029240"/>
    <n v="25796000"/>
    <n v="2.1573033707865132"/>
    <x v="151"/>
    <x v="0"/>
    <x v="1"/>
    <x v="1"/>
  </r>
  <r>
    <x v="155"/>
    <s v="AETHER INDUSTRIES LIMITED"/>
    <n v="1149.8"/>
    <n v="1175.95"/>
    <n v="1077.3"/>
    <n v="1085.05"/>
    <n v="1155.55"/>
    <n v="465849"/>
    <n v="33619"/>
    <n v="144000000000"/>
    <n v="132612818"/>
    <n v="-6.1009908701484141"/>
    <x v="152"/>
    <x v="0"/>
    <x v="2"/>
    <x v="1"/>
  </r>
  <r>
    <x v="156"/>
    <s v="AFCONS INFRASTRUCTURE LTD"/>
    <n v="276.75"/>
    <n v="276.75"/>
    <n v="265.8"/>
    <n v="271.2"/>
    <n v="278.75"/>
    <n v="641426"/>
    <n v="19481"/>
    <n v="99743191927"/>
    <n v="367784631"/>
    <n v="-2.7085201793722016"/>
    <x v="153"/>
    <x v="0"/>
    <x v="2"/>
    <x v="1"/>
  </r>
  <r>
    <x v="157"/>
    <s v="AFFLE 3I LIMITED"/>
    <n v="1275"/>
    <n v="1279.3"/>
    <n v="1251.3"/>
    <n v="1268.7"/>
    <n v="1285.7"/>
    <n v="261048"/>
    <n v="37409"/>
    <n v="179000000000"/>
    <n v="140695134"/>
    <n v="-1.322236913743486"/>
    <x v="154"/>
    <x v="0"/>
    <x v="2"/>
    <x v="1"/>
  </r>
  <r>
    <x v="158"/>
    <s v="AFFORD ROBO &amp; AUTO LTD"/>
    <n v="142.6"/>
    <n v="142.6"/>
    <n v="137.01"/>
    <n v="139.11000000000001"/>
    <n v="142.09"/>
    <n v="41915"/>
    <n v="1565"/>
    <n v="1564468063"/>
    <n v="11246266"/>
    <n v="-2.0972622985431695"/>
    <x v="155"/>
    <x v="0"/>
    <x v="1"/>
    <x v="1"/>
  </r>
  <r>
    <x v="159"/>
    <s v="ABANS FINANCIAL SRVCS LTD"/>
    <n v="201"/>
    <n v="202"/>
    <n v="201"/>
    <n v="201.04"/>
    <n v="201"/>
    <n v="46903"/>
    <n v="145"/>
    <n v="10184453194"/>
    <n v="50658840"/>
    <n v="1.9900497512433852E-2"/>
    <x v="156"/>
    <x v="1"/>
    <x v="1"/>
    <x v="1"/>
  </r>
  <r>
    <x v="160"/>
    <s v="AGARWAL INDS CORP LTD."/>
    <n v="410.1"/>
    <n v="410.4"/>
    <n v="375"/>
    <n v="382.2"/>
    <n v="412.45"/>
    <n v="60190"/>
    <n v="2346"/>
    <n v="5716866956"/>
    <n v="14957789"/>
    <n v="-7.3342223299793909"/>
    <x v="157"/>
    <x v="0"/>
    <x v="1"/>
    <x v="1"/>
  </r>
  <r>
    <x v="161"/>
    <s v="DR AGARWALS HEALTH CARE L"/>
    <n v="416.5"/>
    <n v="424.35"/>
    <n v="410.35"/>
    <n v="420.2"/>
    <n v="424.35"/>
    <n v="117548"/>
    <n v="7320"/>
    <n v="133000000000"/>
    <n v="316470002"/>
    <n v="-0.97796630140215246"/>
    <x v="158"/>
    <x v="1"/>
    <x v="2"/>
    <x v="1"/>
  </r>
  <r>
    <x v="162"/>
    <s v="AGI GREENPAC LIMITED"/>
    <n v="492"/>
    <n v="498"/>
    <n v="465"/>
    <n v="473.1"/>
    <n v="499.1"/>
    <n v="210975"/>
    <n v="8682"/>
    <n v="30608330951"/>
    <n v="64697381"/>
    <n v="-5.2093768783810859"/>
    <x v="159"/>
    <x v="0"/>
    <x v="1"/>
    <x v="1"/>
  </r>
  <r>
    <x v="163"/>
    <s v="AGI INFRA LIMITED"/>
    <n v="311"/>
    <n v="311"/>
    <n v="287.35000000000002"/>
    <n v="293.45"/>
    <n v="311.7"/>
    <n v="1926863"/>
    <n v="13224"/>
    <n v="35849964840"/>
    <n v="122167200"/>
    <n v="-5.854988771254412"/>
    <x v="160"/>
    <x v="0"/>
    <x v="1"/>
    <x v="0"/>
  </r>
  <r>
    <x v="164"/>
    <s v="AGRI-TECH (INDIA) LIMITED"/>
    <n v="110"/>
    <n v="110"/>
    <n v="100"/>
    <n v="102.01"/>
    <n v="105.12"/>
    <n v="2043"/>
    <n v="140"/>
    <n v="605939400"/>
    <n v="5940000"/>
    <n v="-2.9585235920852355"/>
    <x v="161"/>
    <x v="0"/>
    <x v="1"/>
    <x v="1"/>
  </r>
  <r>
    <x v="165"/>
    <s v="AGRO PHOS INDIA LIMITED"/>
    <n v="30.61"/>
    <n v="31.59"/>
    <n v="30.01"/>
    <n v="30.76"/>
    <n v="31.59"/>
    <n v="10533"/>
    <n v="166"/>
    <n v="623631777.39999998"/>
    <n v="20274115"/>
    <n v="-2.6274137385248442"/>
    <x v="162"/>
    <x v="1"/>
    <x v="1"/>
    <x v="1"/>
  </r>
  <r>
    <x v="166"/>
    <s v="ANLON HEALTHCARE LIMITED"/>
    <n v="119.4"/>
    <n v="119.41"/>
    <n v="111.5"/>
    <n v="114.32"/>
    <n v="121.11"/>
    <n v="131034"/>
    <n v="1832"/>
    <n v="6076279480"/>
    <n v="53151500"/>
    <n v="-5.6064734538849033"/>
    <x v="163"/>
    <x v="0"/>
    <x v="1"/>
    <x v="1"/>
  </r>
  <r>
    <x v="167"/>
    <s v="AHLADA ENGINEERS LIMITED"/>
    <n v="39.380000000000003"/>
    <n v="39.380000000000003"/>
    <n v="34.51"/>
    <n v="36.409999999999997"/>
    <n v="39.380000000000003"/>
    <n v="24123"/>
    <n v="446"/>
    <n v="470453610"/>
    <n v="12921000"/>
    <n v="-7.5418994413407967"/>
    <x v="164"/>
    <x v="0"/>
    <x v="1"/>
    <x v="1"/>
  </r>
  <r>
    <x v="168"/>
    <s v="ASIAN HOTELS (EAST) LTD"/>
    <n v="149.11000000000001"/>
    <n v="149.16999999999999"/>
    <n v="142.1"/>
    <n v="143.68"/>
    <n v="151.38999999999999"/>
    <n v="2763"/>
    <n v="58"/>
    <n v="2484470881"/>
    <n v="17291696"/>
    <n v="-5.0928066582997422"/>
    <x v="165"/>
    <x v="0"/>
    <x v="1"/>
    <x v="1"/>
  </r>
  <r>
    <x v="169"/>
    <s v="AHLUWALIA CONT IND LTD"/>
    <n v="719"/>
    <n v="719.15"/>
    <n v="669.95"/>
    <n v="680.55"/>
    <n v="724.95"/>
    <n v="148682"/>
    <n v="6777"/>
    <n v="45588383958"/>
    <n v="66987560"/>
    <n v="-6.1245603145044614"/>
    <x v="166"/>
    <x v="0"/>
    <x v="1"/>
    <x v="1"/>
  </r>
  <r>
    <x v="170"/>
    <s v="AIA ENGINEERING LIMITED"/>
    <n v="3399.9"/>
    <n v="3400.4"/>
    <n v="3282.2"/>
    <n v="3315.9"/>
    <n v="3409.6"/>
    <n v="76579"/>
    <n v="16778"/>
    <n v="309000000000"/>
    <n v="93320370"/>
    <n v="-2.7481229469732469"/>
    <x v="167"/>
    <x v="0"/>
    <x v="0"/>
    <x v="1"/>
  </r>
  <r>
    <x v="171"/>
    <s v="AUTHUM INVEST &amp; INFRA LTD"/>
    <n v="481.65"/>
    <n v="508.8"/>
    <n v="470.8"/>
    <n v="480.5"/>
    <n v="492.2"/>
    <n v="526615"/>
    <n v="28360"/>
    <n v="408000000000"/>
    <n v="849225500"/>
    <n v="-2.3770824867939839"/>
    <x v="9"/>
    <x v="0"/>
    <x v="0"/>
    <x v="1"/>
  </r>
  <r>
    <x v="172"/>
    <s v="AIRAN LIMITED"/>
    <n v="15.35"/>
    <n v="15.35"/>
    <n v="14.5"/>
    <n v="14.55"/>
    <n v="15.22"/>
    <n v="81350"/>
    <n v="553"/>
    <n v="1819041000"/>
    <n v="125020000"/>
    <n v="-4.4021024967148481"/>
    <x v="168"/>
    <x v="0"/>
    <x v="1"/>
    <x v="1"/>
  </r>
  <r>
    <x v="173"/>
    <s v="AIRO LAM LIMITED"/>
    <n v="87.94"/>
    <n v="89.01"/>
    <n v="84.15"/>
    <n v="84.38"/>
    <n v="87.41"/>
    <n v="3698"/>
    <n v="59"/>
    <n v="1265868760"/>
    <n v="15002000"/>
    <n v="-3.4664226061091421"/>
    <x v="169"/>
    <x v="0"/>
    <x v="1"/>
    <x v="1"/>
  </r>
  <r>
    <x v="174"/>
    <s v="AJANTA PHARMA LIMITED"/>
    <n v="2904.7"/>
    <n v="2904.7"/>
    <n v="2785.2"/>
    <n v="2796.8"/>
    <n v="2904.7"/>
    <n v="117241"/>
    <n v="23981"/>
    <n v="349000000000"/>
    <n v="124935624"/>
    <n v="-3.7146693290184754"/>
    <x v="170"/>
    <x v="0"/>
    <x v="0"/>
    <x v="1"/>
  </r>
  <r>
    <x v="175"/>
    <s v="AJAX ENGINEERING LIMITED"/>
    <n v="476"/>
    <n v="476"/>
    <n v="450"/>
    <n v="454.2"/>
    <n v="471"/>
    <n v="55164"/>
    <n v="3511"/>
    <n v="51963568560"/>
    <n v="114406800"/>
    <n v="-3.5668789808917225"/>
    <x v="171"/>
    <x v="0"/>
    <x v="2"/>
    <x v="1"/>
  </r>
  <r>
    <x v="176"/>
    <s v="AJMERA REALTY &amp; INF I LTD"/>
    <n v="108.5"/>
    <n v="108.5"/>
    <n v="100"/>
    <n v="100.87"/>
    <n v="108.52"/>
    <n v="547244"/>
    <n v="4184"/>
    <n v="19850777216"/>
    <n v="196795650"/>
    <n v="-7.0493918171765495"/>
    <x v="172"/>
    <x v="0"/>
    <x v="1"/>
    <x v="1"/>
  </r>
  <r>
    <x v="177"/>
    <s v="AJOONI BIOTECH LIMITED"/>
    <n v="4.24"/>
    <n v="4.24"/>
    <n v="4"/>
    <n v="4.05"/>
    <n v="4.26"/>
    <n v="648653"/>
    <n v="717"/>
    <n v="697586571.89999998"/>
    <n v="172243598"/>
    <n v="-4.929577464788732"/>
    <x v="173"/>
    <x v="0"/>
    <x v="1"/>
    <x v="1"/>
  </r>
  <r>
    <x v="178"/>
    <s v="AKASH INFRA-PROJECTS LTD"/>
    <n v="25.09"/>
    <n v="26"/>
    <n v="24.32"/>
    <n v="24.73"/>
    <n v="25.61"/>
    <n v="5782"/>
    <n v="61"/>
    <n v="417010465.80000001"/>
    <n v="16862534"/>
    <n v="-3.4361577508785595"/>
    <x v="174"/>
    <x v="0"/>
    <x v="1"/>
    <x v="1"/>
  </r>
  <r>
    <x v="179"/>
    <s v="AKG EXIM LIMITED"/>
    <n v="11.05"/>
    <n v="11.05"/>
    <n v="10.36"/>
    <n v="10.43"/>
    <n v="10.82"/>
    <n v="29824"/>
    <n v="146"/>
    <n v="331429687.69999999"/>
    <n v="31776576"/>
    <n v="-3.6044362292051808"/>
    <x v="175"/>
    <x v="0"/>
    <x v="1"/>
    <x v="1"/>
  </r>
  <r>
    <x v="180"/>
    <s v="AKI INDIA LIMITED"/>
    <n v="4.6500000000000004"/>
    <n v="4.6900000000000004"/>
    <n v="4.21"/>
    <n v="4.37"/>
    <n v="4.59"/>
    <n v="366998"/>
    <n v="301"/>
    <n v="451010027.69999999"/>
    <n v="103205956"/>
    <n v="-4.7930283224400823"/>
    <x v="176"/>
    <x v="0"/>
    <x v="1"/>
    <x v="1"/>
  </r>
  <r>
    <x v="181"/>
    <s v="AKSHAR SPINTEX LIMITED"/>
    <n v="0.4"/>
    <n v="0.41"/>
    <n v="0.39"/>
    <n v="0.4"/>
    <n v="0.4"/>
    <n v="1265384"/>
    <n v="534"/>
    <n v="314987400"/>
    <n v="787468500"/>
    <n v="0"/>
    <x v="177"/>
    <x v="0"/>
    <x v="1"/>
    <x v="0"/>
  </r>
  <r>
    <x v="182"/>
    <s v="AKSHARCHEM INDIA LIMITED"/>
    <n v="184.05"/>
    <n v="184.05"/>
    <n v="170"/>
    <n v="172.15"/>
    <n v="184.03"/>
    <n v="4042"/>
    <n v="222"/>
    <n v="1382897993"/>
    <n v="8033099"/>
    <n v="-6.4554692169754899"/>
    <x v="178"/>
    <x v="0"/>
    <x v="1"/>
    <x v="1"/>
  </r>
  <r>
    <x v="183"/>
    <s v="AKSH OPTIFIBRE LIMITED"/>
    <n v="4.59"/>
    <n v="4.59"/>
    <n v="4.4000000000000004"/>
    <n v="4.4000000000000004"/>
    <n v="4.5999999999999996"/>
    <n v="387659"/>
    <n v="473"/>
    <n v="715871072.39999998"/>
    <n v="162697971"/>
    <n v="-4.3478260869565064"/>
    <x v="179"/>
    <x v="0"/>
    <x v="1"/>
    <x v="1"/>
  </r>
  <r>
    <x v="184"/>
    <s v="AKUMS DRUGS AND PHARMA L"/>
    <n v="482.9"/>
    <n v="483"/>
    <n v="463"/>
    <n v="467.4"/>
    <n v="483.4"/>
    <n v="109384"/>
    <n v="4645"/>
    <n v="73565949991"/>
    <n v="157393988"/>
    <n v="-3.3098882912701697"/>
    <x v="180"/>
    <x v="0"/>
    <x v="2"/>
    <x v="1"/>
  </r>
  <r>
    <x v="185"/>
    <s v="AKZO NOBEL INDIA LIMITED"/>
    <n v="2844"/>
    <n v="2869.7"/>
    <n v="2743.2"/>
    <n v="2847.4"/>
    <n v="2885.1"/>
    <n v="25290"/>
    <n v="6576"/>
    <n v="130000000000"/>
    <n v="45540314"/>
    <n v="-1.3067138054140175"/>
    <x v="181"/>
    <x v="1"/>
    <x v="2"/>
    <x v="1"/>
  </r>
  <r>
    <x v="186"/>
    <s v="ALANKIT LIMITED"/>
    <n v="7.7"/>
    <n v="7.7"/>
    <n v="7.05"/>
    <n v="7.11"/>
    <n v="7.54"/>
    <n v="499248"/>
    <n v="1567"/>
    <n v="1927934091"/>
    <n v="271158100"/>
    <n v="-5.7029177718832855"/>
    <x v="182"/>
    <x v="0"/>
    <x v="1"/>
    <x v="1"/>
  </r>
  <r>
    <x v="187"/>
    <s v="ALBERT DAVID LIMITED"/>
    <n v="667.95"/>
    <n v="667.95"/>
    <n v="639"/>
    <n v="647.6"/>
    <n v="658.5"/>
    <n v="7066"/>
    <n v="604"/>
    <n v="3695958111"/>
    <n v="5707162"/>
    <n v="-1.6552771450265722"/>
    <x v="183"/>
    <x v="0"/>
    <x v="1"/>
    <x v="1"/>
  </r>
  <r>
    <x v="188"/>
    <s v="ALEMBIC LIMITED"/>
    <n v="77.78"/>
    <n v="78.37"/>
    <n v="74.930000000000007"/>
    <n v="75.33"/>
    <n v="79.900000000000006"/>
    <n v="490303"/>
    <n v="4703"/>
    <n v="19343375103"/>
    <n v="256781828"/>
    <n v="-5.7196495619524494"/>
    <x v="184"/>
    <x v="0"/>
    <x v="1"/>
    <x v="1"/>
  </r>
  <r>
    <x v="189"/>
    <s v="ALGOQUANT FINTECH LIMITED"/>
    <n v="54.16"/>
    <n v="54.49"/>
    <n v="47.8"/>
    <n v="50.16"/>
    <n v="54.65"/>
    <n v="915324"/>
    <n v="1975"/>
    <n v="14099776765"/>
    <n v="281096028"/>
    <n v="-8.2159194876486783"/>
    <x v="185"/>
    <x v="0"/>
    <x v="1"/>
    <x v="1"/>
  </r>
  <r>
    <x v="190"/>
    <s v="ALICON CASTALLOY LIMITED"/>
    <n v="650.79999999999995"/>
    <n v="652.70000000000005"/>
    <n v="598"/>
    <n v="607.6"/>
    <n v="647.35"/>
    <n v="11403"/>
    <n v="1214"/>
    <n v="9926263984"/>
    <n v="16336840"/>
    <n v="-6.1404186297984085"/>
    <x v="70"/>
    <x v="0"/>
    <x v="1"/>
    <x v="1"/>
  </r>
  <r>
    <x v="191"/>
    <s v="ALIVUS LIFE SCIENCES LTD"/>
    <n v="939"/>
    <n v="945"/>
    <n v="916.75"/>
    <n v="934.15"/>
    <n v="949.8"/>
    <n v="106165"/>
    <n v="7683"/>
    <n v="115000000000"/>
    <n v="122681348"/>
    <n v="-1.6477153084859948"/>
    <x v="186"/>
    <x v="0"/>
    <x v="2"/>
    <x v="1"/>
  </r>
  <r>
    <x v="192"/>
    <s v="ALKALI METALS LTD"/>
    <n v="55.2"/>
    <n v="56.23"/>
    <n v="53.1"/>
    <n v="53.91"/>
    <n v="55.14"/>
    <n v="11619"/>
    <n v="221"/>
    <n v="548938898.5"/>
    <n v="10182506"/>
    <n v="-2.2306855277475588"/>
    <x v="187"/>
    <x v="0"/>
    <x v="1"/>
    <x v="1"/>
  </r>
  <r>
    <x v="193"/>
    <s v="ALKEM LABORATORIES LTD."/>
    <n v="5260"/>
    <n v="5272.5"/>
    <n v="5111.5"/>
    <n v="5144.5"/>
    <n v="5257.5"/>
    <n v="110544"/>
    <n v="23945"/>
    <n v="615000000000"/>
    <n v="119565000"/>
    <n v="-2.1493105087969568"/>
    <x v="188"/>
    <x v="0"/>
    <x v="0"/>
    <x v="1"/>
  </r>
  <r>
    <x v="194"/>
    <s v="ALKYL AMINES CHEM. LTD"/>
    <n v="1290"/>
    <n v="1290"/>
    <n v="1235"/>
    <n v="1239.4000000000001"/>
    <n v="1292"/>
    <n v="52071"/>
    <n v="7246"/>
    <n v="63387845094"/>
    <n v="51143977"/>
    <n v="-4.0712074303405501"/>
    <x v="16"/>
    <x v="0"/>
    <x v="2"/>
    <x v="1"/>
  </r>
  <r>
    <x v="195"/>
    <s v="ALLCARGO LOGISTICS LTD"/>
    <n v="8"/>
    <n v="8"/>
    <n v="7.6"/>
    <n v="7.69"/>
    <n v="8.08"/>
    <n v="7021579"/>
    <n v="9526"/>
    <n v="11517916427"/>
    <n v="1497778469"/>
    <n v="-4.8267326732673226"/>
    <x v="189"/>
    <x v="0"/>
    <x v="1"/>
    <x v="0"/>
  </r>
  <r>
    <x v="196"/>
    <s v="ALLDIGI TECH LIMITED"/>
    <n v="734.05"/>
    <n v="735.15"/>
    <n v="719"/>
    <n v="722.4"/>
    <n v="733.8"/>
    <n v="6796"/>
    <n v="809"/>
    <n v="11008166702"/>
    <n v="15238326"/>
    <n v="-1.5535568274734231"/>
    <x v="190"/>
    <x v="0"/>
    <x v="1"/>
    <x v="1"/>
  </r>
  <r>
    <x v="197"/>
    <s v="ALL TIME PLASTICS LIMITED"/>
    <n v="209.9"/>
    <n v="209.9"/>
    <n v="198.7"/>
    <n v="202.7"/>
    <n v="210.78"/>
    <n v="100295"/>
    <n v="1807"/>
    <n v="13278426601"/>
    <n v="65507778"/>
    <n v="-3.8333807761647276"/>
    <x v="191"/>
    <x v="0"/>
    <x v="1"/>
    <x v="1"/>
  </r>
  <r>
    <x v="198"/>
    <s v="ALMONDZ GLOBAL SEC LTD"/>
    <n v="14.22"/>
    <n v="14.84"/>
    <n v="13.6"/>
    <n v="13.63"/>
    <n v="14.31"/>
    <n v="110825"/>
    <n v="351"/>
    <n v="2366805257"/>
    <n v="173646754"/>
    <n v="-4.7519217330538064"/>
    <x v="192"/>
    <x v="0"/>
    <x v="1"/>
    <x v="1"/>
  </r>
  <r>
    <x v="199"/>
    <s v="ALOK INDUSTRIES LIMITED"/>
    <n v="12.61"/>
    <n v="12.69"/>
    <n v="12.05"/>
    <n v="12.17"/>
    <n v="12.84"/>
    <n v="7398995"/>
    <n v="13384"/>
    <n v="60426975680"/>
    <n v="4965240401"/>
    <n v="-5.2180685358255445"/>
    <x v="193"/>
    <x v="0"/>
    <x v="2"/>
    <x v="0"/>
  </r>
  <r>
    <x v="200"/>
    <s v="ALPA LABORATORIES LTD"/>
    <n v="60.16"/>
    <n v="61.25"/>
    <n v="56.63"/>
    <n v="57.19"/>
    <n v="60.17"/>
    <n v="10921"/>
    <n v="344"/>
    <n v="1203311914"/>
    <n v="21040600"/>
    <n v="-4.9526342030912485"/>
    <x v="194"/>
    <x v="0"/>
    <x v="1"/>
    <x v="1"/>
  </r>
  <r>
    <x v="201"/>
    <s v="ALPHAGEO (INDIA) LIMITED"/>
    <n v="176.62"/>
    <n v="190.01"/>
    <n v="176.25"/>
    <n v="179.25"/>
    <n v="184.89"/>
    <n v="25725"/>
    <n v="1121"/>
    <n v="1140884485"/>
    <n v="6364767"/>
    <n v="-3.0504624371247697"/>
    <x v="195"/>
    <x v="1"/>
    <x v="1"/>
    <x v="1"/>
  </r>
  <r>
    <x v="202"/>
    <s v="AMAGI MEDIA LABS LIMITED"/>
    <n v="343.85"/>
    <n v="360"/>
    <n v="325.55"/>
    <n v="334.25"/>
    <n v="349.1"/>
    <n v="395431"/>
    <n v="9680"/>
    <n v="72311292032"/>
    <n v="216338944"/>
    <n v="-4.2537954740762025"/>
    <x v="196"/>
    <x v="0"/>
    <x v="2"/>
    <x v="1"/>
  </r>
  <r>
    <x v="203"/>
    <s v="AMANTA HEALTHCARE LIMITED"/>
    <n v="95.18"/>
    <n v="96.98"/>
    <n v="93"/>
    <n v="96.41"/>
    <n v="95.91"/>
    <n v="257741"/>
    <n v="787"/>
    <n v="3743537730"/>
    <n v="38829351"/>
    <n v="0.5213220727765614"/>
    <x v="197"/>
    <x v="1"/>
    <x v="1"/>
    <x v="1"/>
  </r>
  <r>
    <x v="204"/>
    <s v="AMBER ENTERPRISES (I) LTD"/>
    <n v="6574"/>
    <n v="6580"/>
    <n v="6206"/>
    <n v="6289"/>
    <n v="6654.5"/>
    <n v="314526"/>
    <n v="44402"/>
    <n v="221000000000"/>
    <n v="35172042"/>
    <n v="-5.492523856037268"/>
    <x v="198"/>
    <x v="0"/>
    <x v="0"/>
    <x v="1"/>
  </r>
  <r>
    <x v="205"/>
    <s v="AMBICA AGAR &amp; AROMAINDLTD"/>
    <n v="22.51"/>
    <n v="24"/>
    <n v="20"/>
    <n v="22.05"/>
    <n v="23.28"/>
    <n v="10788"/>
    <n v="282"/>
    <n v="378761670"/>
    <n v="17177400"/>
    <n v="-5.2835051546391769"/>
    <x v="199"/>
    <x v="0"/>
    <x v="1"/>
    <x v="1"/>
  </r>
  <r>
    <x v="206"/>
    <s v="AMBIKA COTTON MILL LTD."/>
    <n v="1235.0999999999999"/>
    <n v="1258.3"/>
    <n v="1200"/>
    <n v="1207.9000000000001"/>
    <n v="1275.7"/>
    <n v="12644"/>
    <n v="1488"/>
    <n v="6915227500"/>
    <n v="5725000"/>
    <n v="-5.3147291682997535"/>
    <x v="200"/>
    <x v="0"/>
    <x v="1"/>
    <x v="1"/>
  </r>
  <r>
    <x v="207"/>
    <s v="AMD INDUSTRIES LIMITED"/>
    <n v="38.450000000000003"/>
    <n v="38.450000000000003"/>
    <n v="35.200000000000003"/>
    <n v="35.869999999999997"/>
    <n v="38.07"/>
    <n v="6096"/>
    <n v="225"/>
    <n v="687511286.70000005"/>
    <n v="19166749"/>
    <n v="-5.7788284738639426"/>
    <x v="201"/>
    <x v="0"/>
    <x v="1"/>
    <x v="1"/>
  </r>
  <r>
    <x v="208"/>
    <s v="AMJ LAND HOLDINGS LIMITED"/>
    <n v="37.26"/>
    <n v="39.229999999999997"/>
    <n v="33.4"/>
    <n v="35.22"/>
    <n v="38.229999999999997"/>
    <n v="134243"/>
    <n v="1079"/>
    <n v="1444020000"/>
    <n v="41000000"/>
    <n v="-7.8733978550876227"/>
    <x v="202"/>
    <x v="0"/>
    <x v="1"/>
    <x v="1"/>
  </r>
  <r>
    <x v="209"/>
    <s v="AMINES &amp; PLASTICIZERS LTD"/>
    <n v="152.69"/>
    <n v="152.69"/>
    <n v="141"/>
    <n v="142.41"/>
    <n v="151.94"/>
    <n v="6978"/>
    <n v="220"/>
    <n v="7835398200"/>
    <n v="55020000"/>
    <n v="-6.2722127155456109"/>
    <x v="203"/>
    <x v="0"/>
    <x v="1"/>
    <x v="1"/>
  </r>
  <r>
    <x v="210"/>
    <s v="AMRUTAJAN HEALTH LTD"/>
    <n v="507.8"/>
    <n v="530.85"/>
    <n v="498"/>
    <n v="517.54999999999995"/>
    <n v="515.54999999999995"/>
    <n v="75662"/>
    <n v="2687"/>
    <n v="14962696557"/>
    <n v="28910630"/>
    <n v="0.38793521481912524"/>
    <x v="204"/>
    <x v="1"/>
    <x v="1"/>
    <x v="1"/>
  </r>
  <r>
    <x v="211"/>
    <s v="ANAND RATHI WEALTH LTD"/>
    <n v="2990"/>
    <n v="2990"/>
    <n v="2903"/>
    <n v="2912.4"/>
    <n v="3003.4"/>
    <n v="145086"/>
    <n v="21013"/>
    <n v="242000000000"/>
    <n v="83020634"/>
    <n v="-3.0298994472930678"/>
    <x v="205"/>
    <x v="0"/>
    <x v="0"/>
    <x v="1"/>
  </r>
  <r>
    <x v="212"/>
    <s v="ANANT RAJ LIMITED"/>
    <n v="455"/>
    <n v="456"/>
    <n v="440"/>
    <n v="442.15"/>
    <n v="465.85"/>
    <n v="1717859"/>
    <n v="41613"/>
    <n v="159000000000"/>
    <n v="359876930"/>
    <n v="-5.0874745089621216"/>
    <x v="206"/>
    <x v="0"/>
    <x v="2"/>
    <x v="0"/>
  </r>
  <r>
    <x v="213"/>
    <s v="ANDHRA PAPER LIMITED"/>
    <n v="59.79"/>
    <n v="61.83"/>
    <n v="59"/>
    <n v="59.94"/>
    <n v="60.4"/>
    <n v="252768"/>
    <n v="3551"/>
    <n v="11919080688"/>
    <n v="198850195"/>
    <n v="-0.76158940397351138"/>
    <x v="207"/>
    <x v="1"/>
    <x v="1"/>
    <x v="1"/>
  </r>
  <r>
    <x v="214"/>
    <s v="ANDHRA SUGARS LTD"/>
    <n v="69.099999999999994"/>
    <n v="70.5"/>
    <n v="67.47"/>
    <n v="69.56"/>
    <n v="70.959999999999994"/>
    <n v="202329"/>
    <n v="2436"/>
    <n v="9427841728"/>
    <n v="135535390"/>
    <n v="-1.9729425028184775"/>
    <x v="208"/>
    <x v="1"/>
    <x v="1"/>
    <x v="1"/>
  </r>
  <r>
    <x v="215"/>
    <s v="ANGEL ONE LIMITED"/>
    <n v="227"/>
    <n v="228.6"/>
    <n v="218.8"/>
    <n v="220.91"/>
    <n v="231.32"/>
    <n v="6295384"/>
    <n v="64087"/>
    <n v="201000000000"/>
    <n v="908393390"/>
    <n v="-4.5002593809441453"/>
    <x v="209"/>
    <x v="0"/>
    <x v="0"/>
    <x v="0"/>
  </r>
  <r>
    <x v="216"/>
    <s v="ANIK INDUSTRIES LTD"/>
    <n v="39.700000000000003"/>
    <n v="39.700000000000003"/>
    <n v="36"/>
    <n v="37.01"/>
    <n v="37.93"/>
    <n v="6227"/>
    <n v="146"/>
    <n v="1027156517"/>
    <n v="27753486"/>
    <n v="-2.425520696018987"/>
    <x v="210"/>
    <x v="0"/>
    <x v="1"/>
    <x v="1"/>
  </r>
  <r>
    <x v="217"/>
    <s v="ANMOL INDIA LIMITED"/>
    <n v="10.48"/>
    <n v="10.48"/>
    <n v="10.01"/>
    <n v="10.1"/>
    <n v="10.48"/>
    <n v="97655"/>
    <n v="386"/>
    <n v="574832915"/>
    <n v="56914150"/>
    <n v="-3.6259541984732899"/>
    <x v="211"/>
    <x v="0"/>
    <x v="1"/>
    <x v="1"/>
  </r>
  <r>
    <x v="218"/>
    <s v="ANTELOPUS SELAN ENRGY LTD"/>
    <n v="515"/>
    <n v="555"/>
    <n v="504"/>
    <n v="513.65"/>
    <n v="515.45000000000005"/>
    <n v="598797"/>
    <n v="19930"/>
    <n v="18061145187"/>
    <n v="35162358"/>
    <n v="-0.34920942865458687"/>
    <x v="212"/>
    <x v="0"/>
    <x v="1"/>
    <x v="1"/>
  </r>
  <r>
    <x v="219"/>
    <s v="ANTARCTICA LTD"/>
    <n v="0.81"/>
    <n v="0.81"/>
    <n v="0.71"/>
    <n v="0.74"/>
    <n v="0.77"/>
    <n v="146695"/>
    <n v="325"/>
    <n v="114707104"/>
    <n v="155009600"/>
    <n v="-3.8961038961038996"/>
    <x v="213"/>
    <x v="0"/>
    <x v="1"/>
    <x v="1"/>
  </r>
  <r>
    <x v="220"/>
    <s v="ANTHEM BIOSCIENCES LTD"/>
    <n v="635"/>
    <n v="635.79999999999995"/>
    <n v="625.20000000000005"/>
    <n v="628.45000000000005"/>
    <n v="644.85"/>
    <n v="166996"/>
    <n v="10723"/>
    <n v="353000000000"/>
    <n v="561610051"/>
    <n v="-2.5432271070791623"/>
    <x v="214"/>
    <x v="0"/>
    <x v="0"/>
    <x v="1"/>
  </r>
  <r>
    <x v="221"/>
    <s v="ANUH PHARMA LIMITED"/>
    <n v="75"/>
    <n v="75"/>
    <n v="70.25"/>
    <n v="71.400000000000006"/>
    <n v="74.31"/>
    <n v="77146"/>
    <n v="1542"/>
    <n v="7155993600"/>
    <n v="100224000"/>
    <n v="-3.9160274525635801"/>
    <x v="215"/>
    <x v="0"/>
    <x v="1"/>
    <x v="1"/>
  </r>
  <r>
    <x v="222"/>
    <s v="THE ANUP ENGINEERING LTD"/>
    <n v="1570"/>
    <n v="1570"/>
    <n v="1495.5"/>
    <n v="1507.7"/>
    <n v="1588.2"/>
    <n v="51617"/>
    <n v="8362"/>
    <n v="30201441288"/>
    <n v="20031466"/>
    <n v="-5.0686311547664022"/>
    <x v="216"/>
    <x v="0"/>
    <x v="1"/>
    <x v="1"/>
  </r>
  <r>
    <x v="223"/>
    <s v="ANUPAM RASAYAN INDIA LTD"/>
    <n v="1230"/>
    <n v="1248"/>
    <n v="1207"/>
    <n v="1241.8"/>
    <n v="1252.5"/>
    <n v="153377"/>
    <n v="6376"/>
    <n v="141000000000"/>
    <n v="113848310"/>
    <n v="-0.85429141716567225"/>
    <x v="97"/>
    <x v="1"/>
    <x v="2"/>
    <x v="1"/>
  </r>
  <r>
    <x v="224"/>
    <s v="APAR INDUSTRIES LTD."/>
    <n v="9645"/>
    <n v="9851"/>
    <n v="9315"/>
    <n v="9805"/>
    <n v="9673"/>
    <n v="110812"/>
    <n v="32304"/>
    <n v="394000000000"/>
    <n v="40168315"/>
    <n v="1.3646231779179159"/>
    <x v="217"/>
    <x v="1"/>
    <x v="0"/>
    <x v="1"/>
  </r>
  <r>
    <x v="225"/>
    <s v="ANJANI PORTLAND CEM LTD"/>
    <n v="114.7"/>
    <n v="119.79"/>
    <n v="108"/>
    <n v="108.76"/>
    <n v="112.87"/>
    <n v="9051"/>
    <n v="224"/>
    <n v="3194799333"/>
    <n v="29374764"/>
    <n v="-3.6413573137237525"/>
    <x v="110"/>
    <x v="0"/>
    <x v="1"/>
    <x v="1"/>
  </r>
  <r>
    <x v="226"/>
    <s v="APCOTEX INDUSTRIES LIMITE"/>
    <n v="349"/>
    <n v="350.7"/>
    <n v="333"/>
    <n v="343.75"/>
    <n v="351.05"/>
    <n v="69773"/>
    <n v="5309"/>
    <n v="17821705000"/>
    <n v="51844960"/>
    <n v="-2.0794758581398693"/>
    <x v="95"/>
    <x v="0"/>
    <x v="1"/>
    <x v="1"/>
  </r>
  <r>
    <x v="227"/>
    <s v="APEX FROZEN FOODS LIMITED"/>
    <n v="363.25"/>
    <n v="371.4"/>
    <n v="348.25"/>
    <n v="353.85"/>
    <n v="376.25"/>
    <n v="680631"/>
    <n v="14710"/>
    <n v="11057812500"/>
    <n v="31250000"/>
    <n v="-5.953488372093017"/>
    <x v="218"/>
    <x v="0"/>
    <x v="1"/>
    <x v="1"/>
  </r>
  <r>
    <x v="228"/>
    <s v="APL APOLLO TUBES LTD"/>
    <n v="1965.2"/>
    <n v="1965.2"/>
    <n v="1890"/>
    <n v="1893.9"/>
    <n v="1973.1"/>
    <n v="512633"/>
    <n v="47981"/>
    <n v="526000000000"/>
    <n v="277636026"/>
    <n v="-4.0139881404895759"/>
    <x v="219"/>
    <x v="0"/>
    <x v="0"/>
    <x v="1"/>
  </r>
  <r>
    <x v="229"/>
    <s v="ALEMBIC PHARMA LTD"/>
    <n v="666.3"/>
    <n v="670.5"/>
    <n v="635.79999999999995"/>
    <n v="646.54999999999995"/>
    <n v="677.3"/>
    <n v="139039"/>
    <n v="9110"/>
    <n v="127000000000"/>
    <n v="196563124"/>
    <n v="-4.5400856341355382"/>
    <x v="220"/>
    <x v="0"/>
    <x v="2"/>
    <x v="1"/>
  </r>
  <r>
    <x v="230"/>
    <s v="APOLLO MICRO SYSTEMS LTD"/>
    <n v="195.5"/>
    <n v="195.5"/>
    <n v="185.78"/>
    <n v="188.72"/>
    <n v="198.63"/>
    <n v="5339620"/>
    <n v="35518"/>
    <n v="66880801624"/>
    <n v="354391700"/>
    <n v="-4.9891758546040359"/>
    <x v="221"/>
    <x v="0"/>
    <x v="2"/>
    <x v="0"/>
  </r>
  <r>
    <x v="231"/>
    <s v="APOLLO PIPES LIMITED"/>
    <n v="386.95"/>
    <n v="410"/>
    <n v="372.45"/>
    <n v="403.4"/>
    <n v="386.95"/>
    <n v="1927165"/>
    <n v="37963"/>
    <n v="17769046300"/>
    <n v="44048206"/>
    <n v="4.2511952448636743"/>
    <x v="222"/>
    <x v="1"/>
    <x v="1"/>
    <x v="0"/>
  </r>
  <r>
    <x v="232"/>
    <s v="APOLLO TYRES LTD"/>
    <n v="418"/>
    <n v="418"/>
    <n v="397.85"/>
    <n v="399.5"/>
    <n v="420.85"/>
    <n v="590180"/>
    <n v="24491"/>
    <n v="254000000000"/>
    <n v="635100946"/>
    <n v="-5.0730664132113636"/>
    <x v="223"/>
    <x v="0"/>
    <x v="0"/>
    <x v="1"/>
  </r>
  <r>
    <x v="233"/>
    <s v="APOLLO SINDOORI HOTEL LTD"/>
    <n v="1067"/>
    <n v="1067.0999999999999"/>
    <n v="995.4"/>
    <n v="1037.0999999999999"/>
    <n v="1065.5"/>
    <n v="3997"/>
    <n v="400"/>
    <n v="2696874840"/>
    <n v="2600400"/>
    <n v="-2.6654152979821766"/>
    <x v="224"/>
    <x v="0"/>
    <x v="1"/>
    <x v="1"/>
  </r>
  <r>
    <x v="234"/>
    <s v="APTECH LIMITED"/>
    <n v="77.2"/>
    <n v="78.42"/>
    <n v="74.400000000000006"/>
    <n v="74.8"/>
    <n v="79.069999999999993"/>
    <n v="275064"/>
    <n v="3018"/>
    <n v="4340844090"/>
    <n v="58032675"/>
    <n v="-5.4002782344757767"/>
    <x v="225"/>
    <x v="0"/>
    <x v="1"/>
    <x v="1"/>
  </r>
  <r>
    <x v="235"/>
    <s v="APTUS VALUE HSG FIN I LTD"/>
    <n v="204.91"/>
    <n v="207.42"/>
    <n v="198.11"/>
    <n v="201.36"/>
    <n v="208.83"/>
    <n v="6033282"/>
    <n v="59816"/>
    <n v="101000000000"/>
    <n v="500722736"/>
    <n v="-3.5770722597327964"/>
    <x v="226"/>
    <x v="0"/>
    <x v="2"/>
    <x v="0"/>
  </r>
  <r>
    <x v="236"/>
    <s v="AQYLON NEXUS LIMITED"/>
    <n v="62.1"/>
    <n v="62.1"/>
    <n v="62.1"/>
    <n v="62.1"/>
    <n v="65.3"/>
    <n v="12167"/>
    <n v="208"/>
    <n v="15756667776"/>
    <n v="253730560"/>
    <n v="-4.9004594180704384"/>
    <x v="227"/>
    <x v="0"/>
    <x v="1"/>
    <x v="1"/>
  </r>
  <r>
    <x v="237"/>
    <s v="ARCHIDPLY IND. LTD"/>
    <n v="69.349999999999994"/>
    <n v="70.989999999999995"/>
    <n v="66.260000000000005"/>
    <n v="67.13"/>
    <n v="69.349999999999994"/>
    <n v="42562"/>
    <n v="640"/>
    <n v="1333537450"/>
    <n v="19865000"/>
    <n v="-3.2011535688536394"/>
    <x v="228"/>
    <x v="0"/>
    <x v="1"/>
    <x v="1"/>
  </r>
  <r>
    <x v="238"/>
    <s v="ARCHIES LTD"/>
    <n v="13.41"/>
    <n v="13.41"/>
    <n v="12.43"/>
    <n v="12.65"/>
    <n v="13.4"/>
    <n v="56224"/>
    <n v="260"/>
    <n v="427317000"/>
    <n v="33780000"/>
    <n v="-5.5970149253731343"/>
    <x v="229"/>
    <x v="0"/>
    <x v="1"/>
    <x v="1"/>
  </r>
  <r>
    <x v="239"/>
    <s v="AMARA RAJA ENERGY MOB LTD"/>
    <n v="757.95"/>
    <n v="757.95"/>
    <n v="720.15"/>
    <n v="727"/>
    <n v="759.15"/>
    <n v="569329"/>
    <n v="37082"/>
    <n v="133000000000"/>
    <n v="183025364"/>
    <n v="-4.2349996706843154"/>
    <x v="230"/>
    <x v="0"/>
    <x v="2"/>
    <x v="1"/>
  </r>
  <r>
    <x v="240"/>
    <s v="RAJDARSHAN INDUSTRIES LTD"/>
    <n v="38.99"/>
    <n v="39"/>
    <n v="34.61"/>
    <n v="35.06"/>
    <n v="39.21"/>
    <n v="18189"/>
    <n v="288"/>
    <n v="108976998"/>
    <n v="3108300"/>
    <n v="-10.584034685029325"/>
    <x v="231"/>
    <x v="0"/>
    <x v="1"/>
    <x v="1"/>
  </r>
  <r>
    <x v="241"/>
    <s v="ARFIN INDIA LIMITED"/>
    <n v="77.489999999999995"/>
    <n v="78"/>
    <n v="74.849999999999994"/>
    <n v="76.44"/>
    <n v="76.95"/>
    <n v="877301"/>
    <n v="5945"/>
    <n v="12897146524"/>
    <n v="168722482"/>
    <n v="-0.66276803118909045"/>
    <x v="232"/>
    <x v="0"/>
    <x v="1"/>
    <x v="1"/>
  </r>
  <r>
    <x v="242"/>
    <s v="ARIES AGRO LTD."/>
    <n v="332.35"/>
    <n v="355.4"/>
    <n v="320.05"/>
    <n v="350.4"/>
    <n v="339.05"/>
    <n v="75294"/>
    <n v="2339"/>
    <n v="4556720386"/>
    <n v="13004339"/>
    <n v="3.3475888512018779"/>
    <x v="233"/>
    <x v="1"/>
    <x v="1"/>
    <x v="1"/>
  </r>
  <r>
    <x v="243"/>
    <s v="ARIHANT CAPITAL MKTS LTD"/>
    <n v="68.010000000000005"/>
    <n v="68.040000000000006"/>
    <n v="64.81"/>
    <n v="65.17"/>
    <n v="68.010000000000005"/>
    <n v="314715"/>
    <n v="2107"/>
    <n v="6817616176"/>
    <n v="104612800"/>
    <n v="-4.1758564916924028"/>
    <x v="234"/>
    <x v="0"/>
    <x v="1"/>
    <x v="1"/>
  </r>
  <r>
    <x v="244"/>
    <s v="ARIHANT SUPERSTRUCT LTD"/>
    <n v="211.6"/>
    <n v="211.6"/>
    <n v="198.15"/>
    <n v="203.35"/>
    <n v="211.6"/>
    <n v="57311"/>
    <n v="323"/>
    <n v="8794885670"/>
    <n v="43249991"/>
    <n v="-3.8988657844990553"/>
    <x v="235"/>
    <x v="0"/>
    <x v="1"/>
    <x v="1"/>
  </r>
  <r>
    <x v="245"/>
    <s v="ARISINFRA SOLUTIONS LTD"/>
    <n v="103.74"/>
    <n v="103.74"/>
    <n v="96.5"/>
    <n v="100.74"/>
    <n v="103.77"/>
    <n v="893772"/>
    <n v="5598"/>
    <n v="8198426307"/>
    <n v="81382036"/>
    <n v="-2.9199190517490616"/>
    <x v="236"/>
    <x v="0"/>
    <x v="1"/>
    <x v="1"/>
  </r>
  <r>
    <x v="246"/>
    <s v="ARKADE DEVELOPERS LIMITED"/>
    <n v="102"/>
    <n v="102.9"/>
    <n v="97.66"/>
    <n v="100.58"/>
    <n v="103.22"/>
    <n v="556050"/>
    <n v="6156"/>
    <n v="18674046598"/>
    <n v="185663617"/>
    <n v="-2.5576438674675459"/>
    <x v="237"/>
    <x v="0"/>
    <x v="1"/>
    <x v="1"/>
  </r>
  <r>
    <x v="247"/>
    <s v="ARMAN FIN SERV LTD"/>
    <n v="1467.8"/>
    <n v="1510.8"/>
    <n v="1437.4"/>
    <n v="1459.9"/>
    <n v="1511.6"/>
    <n v="63030"/>
    <n v="5364"/>
    <n v="15347813368"/>
    <n v="10512921"/>
    <n v="-3.4202169886213163"/>
    <x v="238"/>
    <x v="0"/>
    <x v="1"/>
    <x v="1"/>
  </r>
  <r>
    <x v="248"/>
    <s v="ARO GRANITE IND. LTD."/>
    <n v="22.14"/>
    <n v="22.89"/>
    <n v="22.14"/>
    <n v="22.55"/>
    <n v="22.81"/>
    <n v="11205"/>
    <n v="86"/>
    <n v="345015000"/>
    <n v="15300000"/>
    <n v="-1.1398509425690402"/>
    <x v="239"/>
    <x v="1"/>
    <x v="1"/>
    <x v="1"/>
  </r>
  <r>
    <x v="249"/>
    <s v="ARROW GREENTECH LIMITED"/>
    <n v="375.35"/>
    <n v="375.35"/>
    <n v="356.05"/>
    <n v="362.3"/>
    <n v="378.45"/>
    <n v="35118"/>
    <n v="2098"/>
    <n v="5466359937"/>
    <n v="15087938"/>
    <n v="-4.2674065266217402"/>
    <x v="240"/>
    <x v="0"/>
    <x v="1"/>
    <x v="1"/>
  </r>
  <r>
    <x v="250"/>
    <s v="ANAND RATHI SH N STK BR L"/>
    <n v="455"/>
    <n v="457.95"/>
    <n v="434.5"/>
    <n v="439.05"/>
    <n v="460.4"/>
    <n v="290070"/>
    <n v="8205"/>
    <n v="27539521013"/>
    <n v="62725250"/>
    <n v="-4.6372719374456928"/>
    <x v="241"/>
    <x v="0"/>
    <x v="1"/>
    <x v="1"/>
  </r>
  <r>
    <x v="251"/>
    <s v="ARTEMIS MED SERVICE LTD"/>
    <n v="224.8"/>
    <n v="224.8"/>
    <n v="218.12"/>
    <n v="219.36"/>
    <n v="225.85"/>
    <n v="107699"/>
    <n v="4309"/>
    <n v="34702861022"/>
    <n v="158200497"/>
    <n v="-2.8735886650431617"/>
    <x v="242"/>
    <x v="0"/>
    <x v="1"/>
    <x v="1"/>
  </r>
  <r>
    <x v="252"/>
    <s v="ART NIRMAN LIMITED"/>
    <n v="34.270000000000003"/>
    <n v="34.270000000000003"/>
    <n v="34.270000000000003"/>
    <n v="34.270000000000003"/>
    <n v="34.29"/>
    <n v="500"/>
    <n v="2"/>
    <n v="855242120"/>
    <n v="24956000"/>
    <n v="-5.8326042577999476E-2"/>
    <x v="227"/>
    <x v="0"/>
    <x v="1"/>
    <x v="1"/>
  </r>
  <r>
    <x v="253"/>
    <s v="ARVIND LIMITED"/>
    <n v="356.95"/>
    <n v="356.95"/>
    <n v="342"/>
    <n v="346.1"/>
    <n v="359.25"/>
    <n v="265842"/>
    <n v="11057"/>
    <n v="90717876904"/>
    <n v="262114640"/>
    <n v="-3.6604036186499584"/>
    <x v="243"/>
    <x v="0"/>
    <x v="2"/>
    <x v="1"/>
  </r>
  <r>
    <x v="254"/>
    <s v="ARVIND FASHIONS LIMITED"/>
    <n v="388.8"/>
    <n v="392.1"/>
    <n v="375"/>
    <n v="378.55"/>
    <n v="396.7"/>
    <n v="119789"/>
    <n v="11553"/>
    <n v="50570756457"/>
    <n v="133590692"/>
    <n v="-4.5752457776657369"/>
    <x v="244"/>
    <x v="0"/>
    <x v="2"/>
    <x v="1"/>
  </r>
  <r>
    <x v="255"/>
    <s v="ARVIND SMARTSPACES LTD"/>
    <n v="525.6"/>
    <n v="526.65"/>
    <n v="504"/>
    <n v="513.04999999999995"/>
    <n v="534.20000000000005"/>
    <n v="83796"/>
    <n v="2202"/>
    <n v="23532053576"/>
    <n v="45866979"/>
    <n v="-3.9591913141145803"/>
    <x v="245"/>
    <x v="0"/>
    <x v="1"/>
    <x v="1"/>
  </r>
  <r>
    <x v="256"/>
    <s v="ASAHI INDIA GLASS LIMITED"/>
    <n v="807.1"/>
    <n v="826.95"/>
    <n v="782.1"/>
    <n v="801.85"/>
    <n v="810.45"/>
    <n v="1034045"/>
    <n v="59995"/>
    <n v="204000000000"/>
    <n v="254927192"/>
    <n v="-1.0611388734653615"/>
    <x v="246"/>
    <x v="0"/>
    <x v="0"/>
    <x v="0"/>
  </r>
  <r>
    <x v="257"/>
    <s v="ASAHI SONGWON COLOR LTD"/>
    <n v="204.11"/>
    <n v="207.89"/>
    <n v="195"/>
    <n v="200.23"/>
    <n v="206.92"/>
    <n v="24545"/>
    <n v="1004"/>
    <n v="2360163470"/>
    <n v="11787262"/>
    <n v="-3.2331335781944706"/>
    <x v="247"/>
    <x v="0"/>
    <x v="1"/>
    <x v="1"/>
  </r>
  <r>
    <x v="258"/>
    <s v="AUTOMOTIVE STAMPINGS &amp; AS"/>
    <n v="410.3"/>
    <n v="412.75"/>
    <n v="400"/>
    <n v="402.3"/>
    <n v="416.55"/>
    <n v="15761"/>
    <n v="869"/>
    <n v="6382246913"/>
    <n v="15864397"/>
    <n v="-3.420957868203097"/>
    <x v="248"/>
    <x v="0"/>
    <x v="1"/>
    <x v="1"/>
  </r>
  <r>
    <x v="259"/>
    <s v="ASSO ALCOHOLS &amp; BREW LTD"/>
    <n v="727.8"/>
    <n v="728.95"/>
    <n v="705"/>
    <n v="717.95"/>
    <n v="727.8"/>
    <n v="39761"/>
    <n v="2872"/>
    <n v="13626116640"/>
    <n v="18979200"/>
    <n v="-1.3533937895025983"/>
    <x v="249"/>
    <x v="0"/>
    <x v="1"/>
    <x v="1"/>
  </r>
  <r>
    <x v="260"/>
    <s v="ASHAPURA MINECHEM LTD"/>
    <n v="498.4"/>
    <n v="498.4"/>
    <n v="471.2"/>
    <n v="478.85"/>
    <n v="502.85"/>
    <n v="455207"/>
    <n v="11750"/>
    <n v="45742672027"/>
    <n v="95526098"/>
    <n v="-4.7727950681117628"/>
    <x v="250"/>
    <x v="0"/>
    <x v="1"/>
    <x v="1"/>
  </r>
  <r>
    <x v="261"/>
    <s v="ASHIANA HOUSING LTD"/>
    <n v="298.95"/>
    <n v="305.45"/>
    <n v="292"/>
    <n v="294.35000000000002"/>
    <n v="303.5"/>
    <n v="109162"/>
    <n v="4877"/>
    <n v="29589491658"/>
    <n v="100524857"/>
    <n v="-3.0148270181219035"/>
    <x v="235"/>
    <x v="0"/>
    <x v="1"/>
    <x v="1"/>
  </r>
  <r>
    <x v="262"/>
    <s v="ASHIMA LTD"/>
    <n v="13.52"/>
    <n v="13.93"/>
    <n v="12.91"/>
    <n v="13.05"/>
    <n v="14.07"/>
    <n v="248475"/>
    <n v="840"/>
    <n v="2501164018"/>
    <n v="191660078"/>
    <n v="-7.2494669509594853"/>
    <x v="251"/>
    <x v="0"/>
    <x v="1"/>
    <x v="1"/>
  </r>
  <r>
    <x v="263"/>
    <s v="ASHOKA BUILDCON LTD"/>
    <n v="112"/>
    <n v="112"/>
    <n v="105.5"/>
    <n v="106.3"/>
    <n v="113.73"/>
    <n v="1442744"/>
    <n v="14648"/>
    <n v="29840877967"/>
    <n v="280723217"/>
    <n v="-6.5330167941616164"/>
    <x v="252"/>
    <x v="0"/>
    <x v="1"/>
    <x v="0"/>
  </r>
  <r>
    <x v="264"/>
    <s v="ASHOKA METCAST LIMITED"/>
    <n v="14.26"/>
    <n v="15.5"/>
    <n v="13.62"/>
    <n v="14.07"/>
    <n v="14.26"/>
    <n v="55469"/>
    <n v="249"/>
    <n v="351693720"/>
    <n v="24996000"/>
    <n v="-1.3323983169705436"/>
    <x v="253"/>
    <x v="0"/>
    <x v="1"/>
    <x v="1"/>
  </r>
  <r>
    <x v="265"/>
    <s v="ASHOK LEYLAND LTD"/>
    <n v="167.06"/>
    <n v="167.06"/>
    <n v="160.91"/>
    <n v="161.97999999999999"/>
    <n v="168.89"/>
    <n v="23531787"/>
    <n v="203042"/>
    <n v="951000000000"/>
    <n v="5873854552"/>
    <n v="-4.0914204511812411"/>
    <x v="254"/>
    <x v="0"/>
    <x v="0"/>
    <x v="0"/>
  </r>
  <r>
    <x v="266"/>
    <s v="ASIAN ENERGY SERVICES LTD"/>
    <n v="282.45"/>
    <n v="282.45"/>
    <n v="260"/>
    <n v="263.10000000000002"/>
    <n v="282.45"/>
    <n v="97044"/>
    <n v="2662"/>
    <n v="11780156216"/>
    <n v="44774444"/>
    <n v="-6.8507700477960576"/>
    <x v="255"/>
    <x v="0"/>
    <x v="1"/>
    <x v="1"/>
  </r>
  <r>
    <x v="267"/>
    <s v="ASIAN HOTELS (NORTH) LTD"/>
    <n v="293.55"/>
    <n v="304"/>
    <n v="276.85000000000002"/>
    <n v="292.7"/>
    <n v="287.60000000000002"/>
    <n v="12431"/>
    <n v="321"/>
    <n v="5693960128"/>
    <n v="19453229"/>
    <n v="1.7732962447844107"/>
    <x v="256"/>
    <x v="0"/>
    <x v="1"/>
    <x v="1"/>
  </r>
  <r>
    <x v="268"/>
    <s v="ASIAN GRANITO IND. LTD."/>
    <n v="58.55"/>
    <n v="59.4"/>
    <n v="56.1"/>
    <n v="57.31"/>
    <n v="60.44"/>
    <n v="3205825"/>
    <n v="10797"/>
    <n v="13290856604"/>
    <n v="231911649"/>
    <n v="-5.1786896095301049"/>
    <x v="257"/>
    <x v="0"/>
    <x v="1"/>
    <x v="0"/>
  </r>
  <r>
    <x v="269"/>
    <s v="ASK AUTOMOTIVE LIMITED"/>
    <n v="410.4"/>
    <n v="410.4"/>
    <n v="392.3"/>
    <n v="394.75"/>
    <n v="409.2"/>
    <n v="173023"/>
    <n v="14248"/>
    <n v="77822041350"/>
    <n v="197142600"/>
    <n v="-3.5312805474095774"/>
    <x v="258"/>
    <x v="0"/>
    <x v="2"/>
    <x v="1"/>
  </r>
  <r>
    <x v="270"/>
    <s v="BARTRONICS INDIA LIMITED"/>
    <n v="7.78"/>
    <n v="7.92"/>
    <n v="7.32"/>
    <n v="7.51"/>
    <n v="7.77"/>
    <n v="1803451"/>
    <n v="5228"/>
    <n v="2287371317"/>
    <n v="304576740"/>
    <n v="-3.3462033462033434"/>
    <x v="259"/>
    <x v="0"/>
    <x v="1"/>
    <x v="0"/>
  </r>
  <r>
    <x v="271"/>
    <s v="ASPINWALL &amp; CO LTD"/>
    <n v="200.25"/>
    <n v="208"/>
    <n v="200.25"/>
    <n v="205.01"/>
    <n v="207.83"/>
    <n v="18284"/>
    <n v="72"/>
    <n v="1602827223"/>
    <n v="7818288"/>
    <n v="-1.3568782177741525"/>
    <x v="260"/>
    <x v="1"/>
    <x v="1"/>
    <x v="1"/>
  </r>
  <r>
    <x v="272"/>
    <s v="ASTEC LIFESCIENCES LTD"/>
    <n v="551.65"/>
    <n v="558"/>
    <n v="513.4"/>
    <n v="521.85"/>
    <n v="562.85"/>
    <n v="56867"/>
    <n v="2808"/>
    <n v="11627684793"/>
    <n v="22281661"/>
    <n v="-7.2843564004619346"/>
    <x v="261"/>
    <x v="0"/>
    <x v="1"/>
    <x v="1"/>
  </r>
  <r>
    <x v="273"/>
    <s v="ASTER DM HEALTHCARE LTD."/>
    <n v="625.29999999999995"/>
    <n v="626.95000000000005"/>
    <n v="603.79999999999995"/>
    <n v="621.29999999999995"/>
    <n v="626.95000000000005"/>
    <n v="671519"/>
    <n v="37760"/>
    <n v="322000000000"/>
    <n v="518121029"/>
    <n v="-0.90118829252732924"/>
    <x v="262"/>
    <x v="0"/>
    <x v="0"/>
    <x v="1"/>
  </r>
  <r>
    <x v="274"/>
    <s v="ASTRAL LIMITED"/>
    <n v="1586.6"/>
    <n v="1614.4"/>
    <n v="1546.9"/>
    <n v="1556.3"/>
    <n v="1631.8"/>
    <n v="524399"/>
    <n v="25769"/>
    <n v="418000000000"/>
    <n v="268650163"/>
    <n v="-4.6267924990807705"/>
    <x v="263"/>
    <x v="0"/>
    <x v="0"/>
    <x v="1"/>
  </r>
  <r>
    <x v="275"/>
    <s v="ASTRA MICROWAVE LTD"/>
    <n v="873"/>
    <n v="915"/>
    <n v="872.95"/>
    <n v="892.25"/>
    <n v="890.8"/>
    <n v="636013"/>
    <n v="41899"/>
    <n v="84714683388"/>
    <n v="94945008"/>
    <n v="0.16277503367759827"/>
    <x v="264"/>
    <x v="1"/>
    <x v="2"/>
    <x v="1"/>
  </r>
  <r>
    <x v="276"/>
    <s v="ASTRAZENECA PHARMA IND LT"/>
    <n v="8300"/>
    <n v="8300"/>
    <n v="8001"/>
    <n v="8154.5"/>
    <n v="8321"/>
    <n v="16039"/>
    <n v="3688"/>
    <n v="204000000000"/>
    <n v="25000000"/>
    <n v="-2.0009614229059007"/>
    <x v="265"/>
    <x v="0"/>
    <x v="0"/>
    <x v="1"/>
  </r>
  <r>
    <x v="277"/>
    <s v="ASTRON PAPER BORD MIL LTD"/>
    <n v="4.1900000000000004"/>
    <n v="4.1900000000000004"/>
    <n v="3.84"/>
    <n v="3.86"/>
    <n v="4.04"/>
    <n v="69639"/>
    <n v="227"/>
    <n v="179490000"/>
    <n v="46500000"/>
    <n v="-4.4554455445544594"/>
    <x v="266"/>
    <x v="0"/>
    <x v="1"/>
    <x v="1"/>
  </r>
  <r>
    <x v="278"/>
    <s v="ATAL REALTECH LIMITED"/>
    <n v="23.38"/>
    <n v="23.46"/>
    <n v="21.81"/>
    <n v="22.18"/>
    <n v="23.36"/>
    <n v="4980203"/>
    <n v="3162"/>
    <n v="2728056825"/>
    <n v="122996250"/>
    <n v="-5.0513698630136972"/>
    <x v="267"/>
    <x v="0"/>
    <x v="1"/>
    <x v="0"/>
  </r>
  <r>
    <x v="279"/>
    <s v="ATAM VALVES LIMITED"/>
    <n v="57.55"/>
    <n v="61"/>
    <n v="54"/>
    <n v="56.63"/>
    <n v="58.93"/>
    <n v="18157"/>
    <n v="343"/>
    <n v="649149690"/>
    <n v="11463000"/>
    <n v="-3.9029356864075972"/>
    <x v="268"/>
    <x v="0"/>
    <x v="1"/>
    <x v="1"/>
  </r>
  <r>
    <x v="280"/>
    <s v="ADANI TOTAL GAS LIMITED"/>
    <n v="547.5"/>
    <n v="547.5"/>
    <n v="510.1"/>
    <n v="513.6"/>
    <n v="551.9"/>
    <n v="3898645"/>
    <n v="63336"/>
    <n v="565000000000"/>
    <n v="1099810083"/>
    <n v="-6.9396629824243439"/>
    <x v="269"/>
    <x v="0"/>
    <x v="0"/>
    <x v="0"/>
  </r>
  <r>
    <x v="281"/>
    <s v="ATHER ENERGY LIMITED"/>
    <n v="789"/>
    <n v="789"/>
    <n v="717.05"/>
    <n v="749.05"/>
    <n v="780.6"/>
    <n v="4878841"/>
    <n v="125860"/>
    <n v="286000000000"/>
    <n v="381407309"/>
    <n v="-4.0417627466051842"/>
    <x v="270"/>
    <x v="0"/>
    <x v="0"/>
    <x v="0"/>
  </r>
  <r>
    <x v="282"/>
    <s v="ALLCARGO TERMINALS LTD"/>
    <n v="22.25"/>
    <n v="22.3"/>
    <n v="20.6"/>
    <n v="21.12"/>
    <n v="22.32"/>
    <n v="310289"/>
    <n v="1280"/>
    <n v="5323514043"/>
    <n v="252060324"/>
    <n v="-5.3763440860215024"/>
    <x v="131"/>
    <x v="0"/>
    <x v="1"/>
    <x v="1"/>
  </r>
  <r>
    <x v="283"/>
    <s v="ATLANTAA LIMITED"/>
    <n v="36"/>
    <n v="36.54"/>
    <n v="34.31"/>
    <n v="34.58"/>
    <n v="37.090000000000003"/>
    <n v="31478"/>
    <n v="487"/>
    <n v="2818270000"/>
    <n v="81500000"/>
    <n v="-6.7673227284982609"/>
    <x v="271"/>
    <x v="0"/>
    <x v="1"/>
    <x v="1"/>
  </r>
  <r>
    <x v="284"/>
    <s v="ATLANTA ELECTRICALS LTD"/>
    <n v="1170"/>
    <n v="1170"/>
    <n v="1066"/>
    <n v="1099.8499999999999"/>
    <n v="1179.2"/>
    <n v="510574"/>
    <n v="29551"/>
    <n v="84574753006"/>
    <n v="76896625"/>
    <n v="-6.7291383989145288"/>
    <x v="272"/>
    <x v="0"/>
    <x v="2"/>
    <x v="1"/>
  </r>
  <r>
    <x v="285"/>
    <s v="ATLAS CYCLE (HARYANA) LTD"/>
    <n v="81.27"/>
    <n v="82.79"/>
    <n v="76.150000000000006"/>
    <n v="78.12"/>
    <n v="81.260000000000005"/>
    <n v="7455"/>
    <n v="127"/>
    <n v="508079824.60000002"/>
    <n v="6503838"/>
    <n v="-3.864139798178686"/>
    <x v="273"/>
    <x v="0"/>
    <x v="1"/>
    <x v="1"/>
  </r>
  <r>
    <x v="286"/>
    <s v="ATUL LTD"/>
    <n v="6192"/>
    <n v="6248"/>
    <n v="6045.5"/>
    <n v="6102.5"/>
    <n v="6245"/>
    <n v="30831"/>
    <n v="8723"/>
    <n v="180000000000"/>
    <n v="29441755"/>
    <n v="-2.2818254603682946"/>
    <x v="274"/>
    <x v="0"/>
    <x v="2"/>
    <x v="1"/>
  </r>
  <r>
    <x v="287"/>
    <s v="ATUL AUTO LIMITED"/>
    <n v="408.85"/>
    <n v="411.95"/>
    <n v="390"/>
    <n v="391.1"/>
    <n v="417.05"/>
    <n v="138813"/>
    <n v="5499"/>
    <n v="10853525608"/>
    <n v="27751280"/>
    <n v="-6.2222755065339852"/>
    <x v="275"/>
    <x v="0"/>
    <x v="1"/>
    <x v="1"/>
  </r>
  <r>
    <x v="288"/>
    <s v="AU SMALL FINANCE BANK LTD"/>
    <n v="885.2"/>
    <n v="885.5"/>
    <n v="846.75"/>
    <n v="849.55"/>
    <n v="901.5"/>
    <n v="3406015"/>
    <n v="89803"/>
    <n v="635000000000"/>
    <n v="746932077"/>
    <n v="-5.7626178591236883"/>
    <x v="276"/>
    <x v="0"/>
    <x v="0"/>
    <x v="0"/>
  </r>
  <r>
    <x v="289"/>
    <s v="AURI GROW INDIA LIMITED"/>
    <n v="0.31"/>
    <n v="0.31"/>
    <n v="0.28999999999999998"/>
    <n v="0.28999999999999998"/>
    <n v="0.3"/>
    <n v="34119867"/>
    <n v="3066"/>
    <n v="428109600"/>
    <n v="1476240000"/>
    <n v="-3.3333333333333366"/>
    <x v="277"/>
    <x v="0"/>
    <x v="1"/>
    <x v="0"/>
  </r>
  <r>
    <x v="290"/>
    <s v="AURIONPRO SOLN LTD"/>
    <n v="808"/>
    <n v="812.85"/>
    <n v="762.65"/>
    <n v="773.3"/>
    <n v="815.5"/>
    <n v="189279"/>
    <n v="13285"/>
    <n v="42696622749"/>
    <n v="55213530"/>
    <n v="-5.1747394236664679"/>
    <x v="278"/>
    <x v="0"/>
    <x v="1"/>
    <x v="1"/>
  </r>
  <r>
    <x v="291"/>
    <s v="AUROBINDO PHARMA LTD"/>
    <n v="1291.5999999999999"/>
    <n v="1299"/>
    <n v="1268.3"/>
    <n v="1278.7"/>
    <n v="1291.4000000000001"/>
    <n v="1758274"/>
    <n v="60711"/>
    <n v="743000000000"/>
    <n v="580801623"/>
    <n v="-0.98342883692117433"/>
    <x v="279"/>
    <x v="0"/>
    <x v="0"/>
    <x v="0"/>
  </r>
  <r>
    <x v="292"/>
    <s v="AURUM PROPTECH LIMITED"/>
    <n v="167.29"/>
    <n v="170.42"/>
    <n v="160.63999999999999"/>
    <n v="162.58000000000001"/>
    <n v="170.69"/>
    <n v="62879"/>
    <n v="1286"/>
    <n v="12374816857"/>
    <n v="76115247"/>
    <n v="-4.7513035327201276"/>
    <x v="280"/>
    <x v="0"/>
    <x v="1"/>
    <x v="1"/>
  </r>
  <r>
    <x v="293"/>
    <s v="AUTOMOTIVE AXLES LIMITED"/>
    <n v="1640"/>
    <n v="1648.1"/>
    <n v="1566"/>
    <n v="1571.8"/>
    <n v="1666.7"/>
    <n v="15562"/>
    <n v="2111"/>
    <n v="23753002305"/>
    <n v="15111975"/>
    <n v="-5.6938861222775596"/>
    <x v="281"/>
    <x v="0"/>
    <x v="1"/>
    <x v="1"/>
  </r>
  <r>
    <x v="294"/>
    <s v="AUTOLINE INDUSTRIES LTD"/>
    <n v="59"/>
    <n v="59.09"/>
    <n v="55"/>
    <n v="56"/>
    <n v="59.73"/>
    <n v="185656"/>
    <n v="1755"/>
    <n v="2541022456"/>
    <n v="45375401"/>
    <n v="-6.2447681232211565"/>
    <x v="282"/>
    <x v="0"/>
    <x v="1"/>
    <x v="1"/>
  </r>
  <r>
    <x v="295"/>
    <s v="AVADH SUG &amp; ENERGY LTD"/>
    <n v="450"/>
    <n v="460.2"/>
    <n v="429.25"/>
    <n v="434.95"/>
    <n v="456.1"/>
    <n v="189993"/>
    <n v="6570"/>
    <n v="8707011779"/>
    <n v="20018420"/>
    <n v="-4.6371409778557409"/>
    <x v="283"/>
    <x v="0"/>
    <x v="1"/>
    <x v="1"/>
  </r>
  <r>
    <x v="296"/>
    <s v="AVALON TECHNOLOGIES LTD"/>
    <n v="932"/>
    <n v="939.9"/>
    <n v="881.2"/>
    <n v="885.2"/>
    <n v="951.9"/>
    <n v="153437"/>
    <n v="13729"/>
    <n v="59072962471"/>
    <n v="66734029"/>
    <n v="-7.0070385544700002"/>
    <x v="284"/>
    <x v="0"/>
    <x v="2"/>
    <x v="1"/>
  </r>
  <r>
    <x v="297"/>
    <s v="AVANTEL LIMITED"/>
    <n v="125"/>
    <n v="126.45"/>
    <n v="117.05"/>
    <n v="118.29"/>
    <n v="127.38"/>
    <n v="1635701"/>
    <n v="16411"/>
    <n v="31343244521"/>
    <n v="264969520"/>
    <n v="-7.1361281205840701"/>
    <x v="285"/>
    <x v="0"/>
    <x v="1"/>
    <x v="0"/>
  </r>
  <r>
    <x v="298"/>
    <s v="AVANTI FEEDS LIMITED"/>
    <n v="1180"/>
    <n v="1197.9000000000001"/>
    <n v="1102.3"/>
    <n v="1115"/>
    <n v="1206"/>
    <n v="370024"/>
    <n v="19372"/>
    <n v="152000000000"/>
    <n v="136245630"/>
    <n v="-7.5456053067993372"/>
    <x v="286"/>
    <x v="0"/>
    <x v="2"/>
    <x v="1"/>
  </r>
  <r>
    <x v="299"/>
    <s v="AVG LOGISTICS LIMITED"/>
    <n v="167.2"/>
    <n v="170.79"/>
    <n v="158.5"/>
    <n v="160.49"/>
    <n v="173.24"/>
    <n v="49812"/>
    <n v="1247"/>
    <n v="2416613483"/>
    <n v="15057720"/>
    <n v="-7.3597321634726391"/>
    <x v="287"/>
    <x v="0"/>
    <x v="1"/>
    <x v="1"/>
  </r>
  <r>
    <x v="300"/>
    <s v="ADITYA VISION LIMITED"/>
    <n v="450.9"/>
    <n v="464.7"/>
    <n v="445"/>
    <n v="459.8"/>
    <n v="457.75"/>
    <n v="215342"/>
    <n v="12265"/>
    <n v="59377675390"/>
    <n v="129138050"/>
    <n v="0.4478427089022417"/>
    <x v="288"/>
    <x v="1"/>
    <x v="2"/>
    <x v="1"/>
  </r>
  <r>
    <x v="301"/>
    <s v="AVONMORE CAP&amp;MGT SERV LTD"/>
    <n v="12.4"/>
    <n v="12.4"/>
    <n v="11.17"/>
    <n v="11.4"/>
    <n v="12.08"/>
    <n v="317520"/>
    <n v="1478"/>
    <n v="3216906047"/>
    <n v="282184741"/>
    <n v="-5.6291390728476793"/>
    <x v="289"/>
    <x v="0"/>
    <x v="1"/>
    <x v="1"/>
  </r>
  <r>
    <x v="302"/>
    <s v="AVRO INDIA LIMITED"/>
    <n v="118.2"/>
    <n v="124.35"/>
    <n v="118.18"/>
    <n v="118.18"/>
    <n v="124.4"/>
    <n v="10614"/>
    <n v="224"/>
    <n v="1573099889"/>
    <n v="13311050"/>
    <n v="-4.9999999999999991"/>
    <x v="290"/>
    <x v="0"/>
    <x v="1"/>
    <x v="1"/>
  </r>
  <r>
    <x v="303"/>
    <s v="AVT NATURAL PRODUCTS LTD"/>
    <n v="58.5"/>
    <n v="60"/>
    <n v="55"/>
    <n v="55.91"/>
    <n v="58.99"/>
    <n v="76780"/>
    <n v="1131"/>
    <n v="8514198440"/>
    <n v="152284000"/>
    <n v="-5.2212239362603921"/>
    <x v="291"/>
    <x v="0"/>
    <x v="1"/>
    <x v="1"/>
  </r>
  <r>
    <x v="304"/>
    <s v="AWFIS SPACE SOLUTIONS LTD"/>
    <n v="262"/>
    <n v="262.05"/>
    <n v="244.55"/>
    <n v="250.3"/>
    <n v="263.60000000000002"/>
    <n v="402620"/>
    <n v="10301"/>
    <n v="17898712962"/>
    <n v="71509041"/>
    <n v="-5.0455235204855882"/>
    <x v="292"/>
    <x v="0"/>
    <x v="1"/>
    <x v="1"/>
  </r>
  <r>
    <x v="305"/>
    <s v="ANTONY WASTE HDG CELL LTD"/>
    <n v="426"/>
    <n v="433.6"/>
    <n v="409.9"/>
    <n v="414.95"/>
    <n v="438.55"/>
    <n v="156629"/>
    <n v="6093"/>
    <n v="11777152395"/>
    <n v="28382100"/>
    <n v="-5.3813704252650831"/>
    <x v="293"/>
    <x v="0"/>
    <x v="1"/>
    <x v="1"/>
  </r>
  <r>
    <x v="306"/>
    <s v="AWL AGRI BUSINESS LIMITED"/>
    <n v="189.2"/>
    <n v="189.33"/>
    <n v="174"/>
    <n v="175.36"/>
    <n v="192.1"/>
    <n v="6266809"/>
    <n v="60063"/>
    <n v="228000000000"/>
    <n v="1299678605"/>
    <n v="-8.7142113482561072"/>
    <x v="294"/>
    <x v="0"/>
    <x v="0"/>
    <x v="0"/>
  </r>
  <r>
    <x v="307"/>
    <s v="AXISCADES TECH LTD"/>
    <n v="1400"/>
    <n v="1406.9"/>
    <n v="1358.7"/>
    <n v="1364.3"/>
    <n v="1426"/>
    <n v="134035"/>
    <n v="7835"/>
    <n v="58006473813"/>
    <n v="42517389"/>
    <n v="-4.3267882187938316"/>
    <x v="295"/>
    <x v="0"/>
    <x v="2"/>
    <x v="1"/>
  </r>
  <r>
    <x v="308"/>
    <s v="AYE FINANCE LIMITED"/>
    <n v="105"/>
    <n v="105"/>
    <n v="96.11"/>
    <n v="102.6"/>
    <n v="107.55"/>
    <n v="930011"/>
    <n v="11533"/>
    <n v="25320065692"/>
    <n v="246784266"/>
    <n v="-4.6025104602510494"/>
    <x v="296"/>
    <x v="0"/>
    <x v="1"/>
    <x v="1"/>
  </r>
  <r>
    <x v="309"/>
    <s v="AYM SYNTEX LIMITED"/>
    <n v="183.92"/>
    <n v="186.49"/>
    <n v="177.79"/>
    <n v="180.4"/>
    <n v="183.27"/>
    <n v="68933"/>
    <n v="1410"/>
    <n v="10568028816"/>
    <n v="58581091"/>
    <n v="-1.5659955257270719"/>
    <x v="297"/>
    <x v="0"/>
    <x v="1"/>
    <x v="1"/>
  </r>
  <r>
    <x v="310"/>
    <s v="AZAD ENGINEERING LIMITED"/>
    <n v="1440"/>
    <n v="1450"/>
    <n v="1360"/>
    <n v="1366.5"/>
    <n v="1469.4"/>
    <n v="391460"/>
    <n v="35492"/>
    <n v="88250951810"/>
    <n v="64581743"/>
    <n v="-7.0028583095140924"/>
    <x v="298"/>
    <x v="0"/>
    <x v="2"/>
    <x v="1"/>
  </r>
  <r>
    <x v="311"/>
    <s v="BAFNA PHARMACEUTICALS LTD"/>
    <n v="124.8"/>
    <n v="124.8"/>
    <n v="119.65"/>
    <n v="119.65"/>
    <n v="125.94"/>
    <n v="1898"/>
    <n v="32"/>
    <n v="2830480483"/>
    <n v="23656335"/>
    <n v="-4.9944417976814295"/>
    <x v="299"/>
    <x v="0"/>
    <x v="1"/>
    <x v="1"/>
  </r>
  <r>
    <x v="312"/>
    <s v="B.A.G FILMS AND MEDIA LTD"/>
    <n v="4.3099999999999996"/>
    <n v="4.5599999999999996"/>
    <n v="4.08"/>
    <n v="4.2"/>
    <n v="4.32"/>
    <n v="152110"/>
    <n v="317"/>
    <n v="830540545.79999995"/>
    <n v="197747749"/>
    <n v="-2.7777777777777799"/>
    <x v="300"/>
    <x v="0"/>
    <x v="1"/>
    <x v="1"/>
  </r>
  <r>
    <x v="313"/>
    <s v="BAID FINSERV LIMITED"/>
    <n v="11"/>
    <n v="11"/>
    <n v="10.5"/>
    <n v="10.54"/>
    <n v="10.82"/>
    <n v="108841"/>
    <n v="271"/>
    <n v="1581899853"/>
    <n v="150085375"/>
    <n v="-2.5878003696857776"/>
    <x v="301"/>
    <x v="0"/>
    <x v="1"/>
    <x v="1"/>
  </r>
  <r>
    <x v="314"/>
    <s v="BAJAJ CONSUMER CARE LTD"/>
    <n v="365"/>
    <n v="365"/>
    <n v="344.6"/>
    <n v="350.65"/>
    <n v="366.3"/>
    <n v="610284"/>
    <n v="15550"/>
    <n v="45801314259"/>
    <n v="130618321"/>
    <n v="-4.272454272454282"/>
    <x v="302"/>
    <x v="0"/>
    <x v="1"/>
    <x v="1"/>
  </r>
  <r>
    <x v="315"/>
    <s v="BAJAJ ELECT.LTD"/>
    <n v="353.4"/>
    <n v="364"/>
    <n v="335.5"/>
    <n v="355.3"/>
    <n v="353.65"/>
    <n v="376287"/>
    <n v="12129"/>
    <n v="40997512732"/>
    <n v="115388440"/>
    <n v="0.46656298600312007"/>
    <x v="303"/>
    <x v="1"/>
    <x v="1"/>
    <x v="1"/>
  </r>
  <r>
    <x v="316"/>
    <s v="BAJAJ HEALTHCARE LIMITED"/>
    <n v="312"/>
    <n v="313.2"/>
    <n v="295.5"/>
    <n v="303.8"/>
    <n v="312.95"/>
    <n v="288855"/>
    <n v="9373"/>
    <n v="9594991958"/>
    <n v="31583252"/>
    <n v="-2.9237897427704036"/>
    <x v="95"/>
    <x v="0"/>
    <x v="1"/>
    <x v="1"/>
  </r>
  <r>
    <x v="317"/>
    <s v="BAJAJ HINDUSTHAN SUGAR LT"/>
    <n v="16.149999999999999"/>
    <n v="16.29"/>
    <n v="15.21"/>
    <n v="15.32"/>
    <n v="16.16"/>
    <n v="11590199"/>
    <n v="14958"/>
    <n v="19569154311"/>
    <n v="1277359942"/>
    <n v="-5.1980198019801973"/>
    <x v="304"/>
    <x v="0"/>
    <x v="1"/>
    <x v="0"/>
  </r>
  <r>
    <x v="318"/>
    <s v="INDEF MANUFACTURING LTD"/>
    <n v="234.02"/>
    <n v="234.02"/>
    <n v="219"/>
    <n v="222.01"/>
    <n v="232.85"/>
    <n v="25609"/>
    <n v="561"/>
    <n v="7104320000"/>
    <n v="32000000"/>
    <n v="-4.6553575263044893"/>
    <x v="305"/>
    <x v="0"/>
    <x v="1"/>
    <x v="1"/>
  </r>
  <r>
    <x v="319"/>
    <s v="BAJEL PROJECTS LIMITED"/>
    <n v="158.54"/>
    <n v="159.61000000000001"/>
    <n v="150.77000000000001"/>
    <n v="156.1"/>
    <n v="163"/>
    <n v="807020"/>
    <n v="9487"/>
    <n v="18054301216"/>
    <n v="115658560"/>
    <n v="-4.2331288343558313"/>
    <x v="306"/>
    <x v="0"/>
    <x v="1"/>
    <x v="1"/>
  </r>
  <r>
    <x v="320"/>
    <s v="SHREE TIRUPATI BALAJEE L"/>
    <n v="23.6"/>
    <n v="24.85"/>
    <n v="23.5"/>
    <n v="23.69"/>
    <n v="24.71"/>
    <n v="355610"/>
    <n v="1120"/>
    <n v="1932413484"/>
    <n v="81570852"/>
    <n v="-4.1278834479967603"/>
    <x v="307"/>
    <x v="1"/>
    <x v="1"/>
    <x v="1"/>
  </r>
  <r>
    <x v="321"/>
    <s v="BALAJI TELEFILMS LIMITED."/>
    <n v="82"/>
    <n v="82.96"/>
    <n v="75.83"/>
    <n v="76.67"/>
    <n v="83.66"/>
    <n v="366937"/>
    <n v="3347"/>
    <n v="9199237990"/>
    <n v="119984844"/>
    <n v="-8.3552474300741029"/>
    <x v="308"/>
    <x v="0"/>
    <x v="1"/>
    <x v="1"/>
  </r>
  <r>
    <x v="322"/>
    <s v="BALAJI AMINES LIMITED"/>
    <n v="1051"/>
    <n v="1051.5999999999999"/>
    <n v="997.2"/>
    <n v="1002.8"/>
    <n v="1067.0999999999999"/>
    <n v="89838"/>
    <n v="7130"/>
    <n v="32491722800"/>
    <n v="32401000"/>
    <n v="-6.0256770686908405"/>
    <x v="309"/>
    <x v="0"/>
    <x v="1"/>
    <x v="1"/>
  </r>
  <r>
    <x v="323"/>
    <s v="BALAXI PHARMA LTD"/>
    <n v="17.649999999999999"/>
    <n v="17.66"/>
    <n v="17.07"/>
    <n v="17.27"/>
    <n v="17.649999999999999"/>
    <n v="606277"/>
    <n v="336"/>
    <n v="953433525"/>
    <n v="55207500"/>
    <n v="-2.1529745042492863"/>
    <x v="310"/>
    <x v="0"/>
    <x v="1"/>
    <x v="1"/>
  </r>
  <r>
    <x v="324"/>
    <s v="BALKRISHNA PAPER MILLS L"/>
    <n v="15.31"/>
    <n v="15.97"/>
    <n v="15.25"/>
    <n v="15.25"/>
    <n v="15.28"/>
    <n v="11879"/>
    <n v="60"/>
    <n v="491347863"/>
    <n v="32219532"/>
    <n v="-0.19633507853402724"/>
    <x v="311"/>
    <x v="0"/>
    <x v="1"/>
    <x v="1"/>
  </r>
  <r>
    <x v="325"/>
    <s v="BALKRISHNA IND. LTD"/>
    <n v="2090"/>
    <n v="2094"/>
    <n v="2032.4"/>
    <n v="2040.2"/>
    <n v="2105.1"/>
    <n v="106792"/>
    <n v="14298"/>
    <n v="394000000000"/>
    <n v="193317190"/>
    <n v="-3.0829889316421961"/>
    <x v="312"/>
    <x v="0"/>
    <x v="0"/>
    <x v="1"/>
  </r>
  <r>
    <x v="326"/>
    <s v="BALMER LAWRIE &amp; CO LTD"/>
    <n v="161"/>
    <n v="161"/>
    <n v="156.11000000000001"/>
    <n v="157.63999999999999"/>
    <n v="162.19"/>
    <n v="256871"/>
    <n v="4012"/>
    <n v="26957046283"/>
    <n v="171003846"/>
    <n v="-2.8053517479499424"/>
    <x v="313"/>
    <x v="0"/>
    <x v="1"/>
    <x v="1"/>
  </r>
  <r>
    <x v="327"/>
    <s v="BAL PHARMA LTD."/>
    <n v="68.98"/>
    <n v="68.98"/>
    <n v="66.010000000000005"/>
    <n v="66.040000000000006"/>
    <n v="67.900000000000006"/>
    <n v="12889"/>
    <n v="120"/>
    <n v="1051414387"/>
    <n v="15920872"/>
    <n v="-2.7393225331369653"/>
    <x v="314"/>
    <x v="0"/>
    <x v="1"/>
    <x v="1"/>
  </r>
  <r>
    <x v="328"/>
    <s v="BALRAMPUR CHINI MILLS LTD"/>
    <n v="485.9"/>
    <n v="485.9"/>
    <n v="463.55"/>
    <n v="473.5"/>
    <n v="485.9"/>
    <n v="891916"/>
    <n v="27421"/>
    <n v="95623531446"/>
    <n v="201950436"/>
    <n v="-2.55196542498456"/>
    <x v="315"/>
    <x v="0"/>
    <x v="2"/>
    <x v="1"/>
  </r>
  <r>
    <x v="329"/>
    <s v="BALU FORGE INDUSTRIES LTD"/>
    <n v="432.9"/>
    <n v="432.9"/>
    <n v="410"/>
    <n v="412.9"/>
    <n v="437.75"/>
    <n v="624282"/>
    <n v="12234"/>
    <n v="47067255510"/>
    <n v="113991900"/>
    <n v="-5.6767561393489485"/>
    <x v="316"/>
    <x v="0"/>
    <x v="1"/>
    <x v="1"/>
  </r>
  <r>
    <x v="330"/>
    <s v="BANARAS BEADS LTD"/>
    <n v="110"/>
    <n v="110"/>
    <n v="102.6"/>
    <n v="104.43"/>
    <n v="110"/>
    <n v="2216"/>
    <n v="47"/>
    <n v="693020663.5"/>
    <n v="6636222"/>
    <n v="-5.0636363636363573"/>
    <x v="317"/>
    <x v="0"/>
    <x v="1"/>
    <x v="1"/>
  </r>
  <r>
    <x v="331"/>
    <s v="BANNARI AMMAN SUGARS LTD"/>
    <n v="3609.5"/>
    <n v="3650.1"/>
    <n v="3552.1"/>
    <n v="3596.6"/>
    <n v="3602.9"/>
    <n v="878"/>
    <n v="126"/>
    <n v="45100285020"/>
    <n v="12539700"/>
    <n v="-0.17485914124733359"/>
    <x v="318"/>
    <x v="0"/>
    <x v="1"/>
    <x v="1"/>
  </r>
  <r>
    <x v="332"/>
    <s v="BANCO PRODUCTS (I) LTD"/>
    <n v="545"/>
    <n v="545.79999999999995"/>
    <n v="516.1"/>
    <n v="522.35"/>
    <n v="553.70000000000005"/>
    <n v="292630"/>
    <n v="15272"/>
    <n v="74715533655"/>
    <n v="143037300"/>
    <n v="-5.6619107820119234"/>
    <x v="319"/>
    <x v="0"/>
    <x v="2"/>
    <x v="1"/>
  </r>
  <r>
    <x v="333"/>
    <s v="BANDHAN BANK LIMITED"/>
    <n v="156.5"/>
    <n v="156.57"/>
    <n v="145.77000000000001"/>
    <n v="148.34"/>
    <n v="158.44"/>
    <n v="16048372"/>
    <n v="63344"/>
    <n v="239000000000"/>
    <n v="1610971405"/>
    <n v="-6.3746528654380175"/>
    <x v="320"/>
    <x v="0"/>
    <x v="0"/>
    <x v="0"/>
  </r>
  <r>
    <x v="334"/>
    <s v="BANG OVERSEAS LTD."/>
    <n v="35.15"/>
    <n v="35.21"/>
    <n v="33.130000000000003"/>
    <n v="33.53"/>
    <n v="34.79"/>
    <n v="22085"/>
    <n v="110"/>
    <n v="454666800"/>
    <n v="13560000"/>
    <n v="-3.621730382293757"/>
    <x v="321"/>
    <x v="0"/>
    <x v="1"/>
    <x v="1"/>
  </r>
  <r>
    <x v="335"/>
    <s v="BANKA BIOLOO LIMITED"/>
    <n v="48"/>
    <n v="48"/>
    <n v="45.11"/>
    <n v="45.24"/>
    <n v="48.73"/>
    <n v="15239"/>
    <n v="98"/>
    <n v="492792850.69999999"/>
    <n v="10892857"/>
    <n v="-7.1619125795197931"/>
    <x v="322"/>
    <x v="0"/>
    <x v="1"/>
    <x v="1"/>
  </r>
  <r>
    <x v="336"/>
    <s v="BANK OF INDIA"/>
    <n v="148.80000000000001"/>
    <n v="148.80000000000001"/>
    <n v="143.01"/>
    <n v="143.72999999999999"/>
    <n v="150.49"/>
    <n v="9048350"/>
    <n v="49558"/>
    <n v="654000000000"/>
    <n v="4552667866"/>
    <n v="-4.4919928234434314"/>
    <x v="323"/>
    <x v="0"/>
    <x v="0"/>
    <x v="0"/>
  </r>
  <r>
    <x v="337"/>
    <s v="BANSAL WIRE INDUSTRIES L"/>
    <n v="249.5"/>
    <n v="252.85"/>
    <n v="230"/>
    <n v="234.25"/>
    <n v="247.55"/>
    <n v="97014"/>
    <n v="4539"/>
    <n v="36673231756"/>
    <n v="156555952"/>
    <n v="-5.3726519894970757"/>
    <x v="324"/>
    <x v="0"/>
    <x v="1"/>
    <x v="1"/>
  </r>
  <r>
    <x v="338"/>
    <s v="BANSWARA SYNTEX LIMITED"/>
    <n v="111.05"/>
    <n v="111.1"/>
    <n v="104.87"/>
    <n v="105.44"/>
    <n v="112.38"/>
    <n v="45571"/>
    <n v="663"/>
    <n v="3609430937"/>
    <n v="34232084"/>
    <n v="-6.1754760633564674"/>
    <x v="325"/>
    <x v="0"/>
    <x v="1"/>
    <x v="1"/>
  </r>
  <r>
    <x v="339"/>
    <s v="BASF INDIA LTD"/>
    <n v="3245"/>
    <n v="3288"/>
    <n v="3122.2"/>
    <n v="3163.4"/>
    <n v="3312.2"/>
    <n v="31011"/>
    <n v="8146"/>
    <n v="137000000000"/>
    <n v="43285640"/>
    <n v="-4.4924823380230583"/>
    <x v="326"/>
    <x v="0"/>
    <x v="2"/>
    <x v="1"/>
  </r>
  <r>
    <x v="340"/>
    <s v="BANNARI AM SPIN MILL LTD."/>
    <n v="20.16"/>
    <n v="20.190000000000001"/>
    <n v="18.52"/>
    <n v="18.95"/>
    <n v="20.010000000000002"/>
    <n v="348152"/>
    <n v="1236"/>
    <n v="1514510056"/>
    <n v="79921375"/>
    <n v="-5.2973513243378418"/>
    <x v="327"/>
    <x v="0"/>
    <x v="1"/>
    <x v="1"/>
  </r>
  <r>
    <x v="341"/>
    <s v="BATA INDIA LTD"/>
    <n v="660"/>
    <n v="660"/>
    <n v="622.04999999999995"/>
    <n v="625.75"/>
    <n v="663.3"/>
    <n v="303782"/>
    <n v="19904"/>
    <n v="80426108155"/>
    <n v="128527540"/>
    <n v="-5.661088496909386"/>
    <x v="328"/>
    <x v="0"/>
    <x v="2"/>
    <x v="1"/>
  </r>
  <r>
    <x v="342"/>
    <s v="BAYER CROPSCIENCE LTD"/>
    <n v="4688"/>
    <n v="4688"/>
    <n v="4401"/>
    <n v="4488.8"/>
    <n v="4717.5"/>
    <n v="25601"/>
    <n v="8414"/>
    <n v="202000000000"/>
    <n v="44942092"/>
    <n v="-4.8479067302596679"/>
    <x v="329"/>
    <x v="0"/>
    <x v="0"/>
    <x v="1"/>
  </r>
  <r>
    <x v="343"/>
    <s v="BHARAT BIJLEE LTD"/>
    <n v="2255"/>
    <n v="2310"/>
    <n v="2159"/>
    <n v="2227.5"/>
    <n v="2310.5"/>
    <n v="44925"/>
    <n v="4950"/>
    <n v="25177699800"/>
    <n v="11303120"/>
    <n v="-3.5922960398182213"/>
    <x v="330"/>
    <x v="0"/>
    <x v="1"/>
    <x v="1"/>
  </r>
  <r>
    <x v="344"/>
    <s v="BLACK BOX LIMITED"/>
    <n v="496"/>
    <n v="499.95"/>
    <n v="466.75"/>
    <n v="478.65"/>
    <n v="504.35"/>
    <n v="308960"/>
    <n v="14039"/>
    <n v="81443828701"/>
    <n v="170153199"/>
    <n v="-5.0956676910875469"/>
    <x v="331"/>
    <x v="0"/>
    <x v="2"/>
    <x v="1"/>
  </r>
  <r>
    <x v="345"/>
    <s v="BOMBAY BURMAH TRADING COR"/>
    <n v="1479.3"/>
    <n v="1491.2"/>
    <n v="1380"/>
    <n v="1396.5"/>
    <n v="1504.6"/>
    <n v="89467"/>
    <n v="11374"/>
    <n v="97436458350"/>
    <n v="69771900"/>
    <n v="-7.1846337897115458"/>
    <x v="332"/>
    <x v="0"/>
    <x v="2"/>
    <x v="1"/>
  </r>
  <r>
    <x v="346"/>
    <s v="B&amp;B TRIPLEWALL CONT LTD"/>
    <n v="170.86"/>
    <n v="171"/>
    <n v="165"/>
    <n v="165.98"/>
    <n v="170"/>
    <n v="17367"/>
    <n v="112"/>
    <n v="3404455615"/>
    <n v="20511240"/>
    <n v="-2.3647058823529474"/>
    <x v="333"/>
    <x v="0"/>
    <x v="1"/>
    <x v="1"/>
  </r>
  <r>
    <x v="347"/>
    <s v="BCL INDUSTRIES LIMITED"/>
    <n v="26.7"/>
    <n v="26.98"/>
    <n v="25.53"/>
    <n v="25.68"/>
    <n v="27.1"/>
    <n v="807861"/>
    <n v="3419"/>
    <n v="7579794571"/>
    <n v="295163340"/>
    <n v="-5.2398523985239915"/>
    <x v="334"/>
    <x v="0"/>
    <x v="1"/>
    <x v="1"/>
  </r>
  <r>
    <x v="348"/>
    <s v="BRAND CONCEPTS LIMITED"/>
    <n v="228.3"/>
    <n v="232.45"/>
    <n v="212"/>
    <n v="216.4"/>
    <n v="228.3"/>
    <n v="191143"/>
    <n v="784"/>
    <n v="2701078183"/>
    <n v="12481877"/>
    <n v="-5.2124397722295246"/>
    <x v="335"/>
    <x v="0"/>
    <x v="1"/>
    <x v="1"/>
  </r>
  <r>
    <x v="349"/>
    <s v="BHARAT DYNAMICS LIMITED"/>
    <n v="1231.5999999999999"/>
    <n v="1231.5999999999999"/>
    <n v="1151"/>
    <n v="1158.5"/>
    <n v="1249.9000000000001"/>
    <n v="1773436"/>
    <n v="63995"/>
    <n v="425000000000"/>
    <n v="366562500"/>
    <n v="-7.3125850068005507"/>
    <x v="336"/>
    <x v="0"/>
    <x v="0"/>
    <x v="0"/>
  </r>
  <r>
    <x v="350"/>
    <s v="BEARDSELL LIMITED"/>
    <n v="22.6"/>
    <n v="26"/>
    <n v="22.6"/>
    <n v="23.52"/>
    <n v="23.53"/>
    <n v="29592"/>
    <n v="379"/>
    <n v="927558240"/>
    <n v="39437000"/>
    <n v="-4.2498937526568477E-2"/>
    <x v="111"/>
    <x v="1"/>
    <x v="1"/>
    <x v="1"/>
  </r>
  <r>
    <x v="351"/>
    <s v="MRS BECTORS FOOD SPE LTD"/>
    <n v="182.84"/>
    <n v="182.84"/>
    <n v="175"/>
    <n v="176.02"/>
    <n v="182.84"/>
    <n v="382810"/>
    <n v="14876"/>
    <n v="54036484532"/>
    <n v="306990595"/>
    <n v="-3.7300371909866517"/>
    <x v="337"/>
    <x v="0"/>
    <x v="2"/>
    <x v="1"/>
  </r>
  <r>
    <x v="352"/>
    <s v="BELLA CASA FASH AND RET L"/>
    <n v="256.05"/>
    <n v="266.8"/>
    <n v="251.45"/>
    <n v="257.7"/>
    <n v="259.39999999999998"/>
    <n v="25524"/>
    <n v="1637"/>
    <n v="3449958750"/>
    <n v="13387500"/>
    <n v="-0.65535851966075132"/>
    <x v="11"/>
    <x v="1"/>
    <x v="1"/>
    <x v="1"/>
  </r>
  <r>
    <x v="353"/>
    <s v="BELRISE INDUSTRIES LTD"/>
    <n v="186"/>
    <n v="187"/>
    <n v="181.05"/>
    <n v="183.17"/>
    <n v="189"/>
    <n v="5064805"/>
    <n v="35670"/>
    <n v="163000000000"/>
    <n v="889879192"/>
    <n v="-3.0846560846560913"/>
    <x v="338"/>
    <x v="0"/>
    <x v="2"/>
    <x v="0"/>
  </r>
  <r>
    <x v="354"/>
    <s v="BEML LIMITED"/>
    <n v="1499.9"/>
    <n v="1499.9"/>
    <n v="1385"/>
    <n v="1399.1"/>
    <n v="1514.6"/>
    <n v="336647"/>
    <n v="29540"/>
    <n v="117000000000"/>
    <n v="83289000"/>
    <n v="-7.6257757823847889"/>
    <x v="339"/>
    <x v="0"/>
    <x v="2"/>
    <x v="1"/>
  </r>
  <r>
    <x v="355"/>
    <s v="BHANSALI ENG. POLYMERS LT"/>
    <n v="85.2"/>
    <n v="85.24"/>
    <n v="81.900000000000006"/>
    <n v="82.44"/>
    <n v="86.53"/>
    <n v="564121"/>
    <n v="4617"/>
    <n v="20515891442"/>
    <n v="248858460"/>
    <n v="-4.7266843869178361"/>
    <x v="340"/>
    <x v="0"/>
    <x v="1"/>
    <x v="1"/>
  </r>
  <r>
    <x v="356"/>
    <s v="BERGER PAINTS (I) LTD"/>
    <n v="410.9"/>
    <n v="414.75"/>
    <n v="403.65"/>
    <n v="405.45"/>
    <n v="416.7"/>
    <n v="356953"/>
    <n v="24029"/>
    <n v="473000000000"/>
    <n v="1165927190"/>
    <n v="-2.6997840172786178"/>
    <x v="341"/>
    <x v="0"/>
    <x v="0"/>
    <x v="1"/>
  </r>
  <r>
    <x v="357"/>
    <s v="BETA DRUGS LIMITED"/>
    <n v="1090"/>
    <n v="1098"/>
    <n v="1051.5"/>
    <n v="1067.8"/>
    <n v="1106.0999999999999"/>
    <n v="9585"/>
    <n v="1112"/>
    <n v="10778963693"/>
    <n v="10094553"/>
    <n v="-3.4626163999638333"/>
    <x v="342"/>
    <x v="0"/>
    <x v="1"/>
    <x v="1"/>
  </r>
  <r>
    <x v="358"/>
    <s v="BF INVESTMENT LIMITED"/>
    <n v="362.9"/>
    <n v="367.2"/>
    <n v="343.95"/>
    <n v="347.15"/>
    <n v="370.9"/>
    <n v="33732"/>
    <n v="1537"/>
    <n v="13076317060"/>
    <n v="37667628"/>
    <n v="-6.4033432191965485"/>
    <x v="343"/>
    <x v="0"/>
    <x v="1"/>
    <x v="1"/>
  </r>
  <r>
    <x v="359"/>
    <s v="BHAGIRADHA CHEM &amp; INDS L"/>
    <n v="182"/>
    <n v="199"/>
    <n v="173.45"/>
    <n v="182.79"/>
    <n v="180.43"/>
    <n v="1155784"/>
    <n v="18723"/>
    <n v="23702211133"/>
    <n v="129669080"/>
    <n v="1.3079864767499778"/>
    <x v="344"/>
    <x v="1"/>
    <x v="1"/>
    <x v="0"/>
  </r>
  <r>
    <x v="360"/>
    <s v="BHAGERIA INDUSTRIES LTD"/>
    <n v="143"/>
    <n v="143"/>
    <n v="135"/>
    <n v="135.35"/>
    <n v="141.43"/>
    <n v="58565"/>
    <n v="1206"/>
    <n v="5907239763"/>
    <n v="43644180"/>
    <n v="-4.2989464752881377"/>
    <x v="345"/>
    <x v="0"/>
    <x v="1"/>
    <x v="1"/>
  </r>
  <r>
    <x v="361"/>
    <s v="BHAGYANAGAR INDIA LIMITED"/>
    <n v="145"/>
    <n v="145"/>
    <n v="135"/>
    <n v="136.09"/>
    <n v="145.83000000000001"/>
    <n v="114711"/>
    <n v="2288"/>
    <n v="4354199550"/>
    <n v="31995000"/>
    <n v="-6.6790098059384269"/>
    <x v="161"/>
    <x v="0"/>
    <x v="1"/>
    <x v="1"/>
  </r>
  <r>
    <x v="362"/>
    <s v="BHANDARI HOSIERY EXP LTD"/>
    <n v="2.5499999999999998"/>
    <n v="2.56"/>
    <n v="2.36"/>
    <n v="2.4500000000000002"/>
    <n v="2.5499999999999998"/>
    <n v="853529"/>
    <n v="887"/>
    <n v="1058618966"/>
    <n v="432089374"/>
    <n v="-3.9215686274509665"/>
    <x v="346"/>
    <x v="0"/>
    <x v="1"/>
    <x v="1"/>
  </r>
  <r>
    <x v="363"/>
    <s v="BHARAT COKING COAL LTD"/>
    <n v="33.9"/>
    <n v="33.96"/>
    <n v="31.71"/>
    <n v="31.9"/>
    <n v="33.9"/>
    <n v="11242454"/>
    <n v="42722"/>
    <n v="149000000000"/>
    <n v="4657000000"/>
    <n v="-5.8997050147492622"/>
    <x v="347"/>
    <x v="0"/>
    <x v="2"/>
    <x v="0"/>
  </r>
  <r>
    <x v="364"/>
    <s v="BHARAT FORGE LTD"/>
    <n v="1700"/>
    <n v="1700"/>
    <n v="1634"/>
    <n v="1648.6"/>
    <n v="1711.5"/>
    <n v="1394239"/>
    <n v="77702"/>
    <n v="788000000000"/>
    <n v="478088632"/>
    <n v="-3.675138767163312"/>
    <x v="125"/>
    <x v="0"/>
    <x v="0"/>
    <x v="0"/>
  </r>
  <r>
    <x v="365"/>
    <s v="BHARAT GEARS LTD."/>
    <n v="96"/>
    <n v="96.14"/>
    <n v="92.06"/>
    <n v="92.82"/>
    <n v="98.1"/>
    <n v="22385"/>
    <n v="819"/>
    <n v="1425256484"/>
    <n v="15355058"/>
    <n v="-5.3822629969418969"/>
    <x v="348"/>
    <x v="0"/>
    <x v="1"/>
    <x v="1"/>
  </r>
  <r>
    <x v="366"/>
    <s v="BHARAT RASAYAN LTD"/>
    <n v="1262"/>
    <n v="1269.9000000000001"/>
    <n v="1229.0999999999999"/>
    <n v="1236.2"/>
    <n v="1275.8"/>
    <n v="14309"/>
    <n v="2039"/>
    <n v="20546969206"/>
    <n v="16621072"/>
    <n v="-3.1039347860166098"/>
    <x v="349"/>
    <x v="0"/>
    <x v="1"/>
    <x v="1"/>
  </r>
  <r>
    <x v="367"/>
    <s v="BHARAT SEATS LIMITED"/>
    <n v="159.49"/>
    <n v="159.49"/>
    <n v="146.74"/>
    <n v="148.32"/>
    <n v="159.04"/>
    <n v="170463"/>
    <n v="4411"/>
    <n v="9314496000"/>
    <n v="62800000"/>
    <n v="-6.7404426559356132"/>
    <x v="248"/>
    <x v="0"/>
    <x v="1"/>
    <x v="1"/>
  </r>
  <r>
    <x v="368"/>
    <s v="BHARAT WIRE ROPES LTD."/>
    <n v="161.38"/>
    <n v="162"/>
    <n v="153.1"/>
    <n v="154.26"/>
    <n v="164.25"/>
    <n v="88839"/>
    <n v="1582"/>
    <n v="10579867801"/>
    <n v="68584648"/>
    <n v="-6.0821917808219235"/>
    <x v="350"/>
    <x v="0"/>
    <x v="1"/>
    <x v="1"/>
  </r>
  <r>
    <x v="369"/>
    <s v="BHARTI HEXACOM LIMITED"/>
    <n v="1553"/>
    <n v="1593"/>
    <n v="1530.9"/>
    <n v="1575.7"/>
    <n v="1584.1"/>
    <n v="113304"/>
    <n v="19701"/>
    <n v="788000000000"/>
    <n v="500000000"/>
    <n v="-0.53026955368978379"/>
    <x v="351"/>
    <x v="1"/>
    <x v="0"/>
    <x v="1"/>
  </r>
  <r>
    <x v="370"/>
    <s v="BHEL"/>
    <n v="260.2"/>
    <n v="260.25"/>
    <n v="249.25"/>
    <n v="252.85"/>
    <n v="262.05"/>
    <n v="11692333"/>
    <n v="124041"/>
    <n v="880000000000"/>
    <n v="3482063355"/>
    <n v="-3.5107803854226356"/>
    <x v="59"/>
    <x v="0"/>
    <x v="0"/>
    <x v="0"/>
  </r>
  <r>
    <x v="371"/>
    <s v="BIGBLOC CONSTRUCTION LTD"/>
    <n v="49.6"/>
    <n v="49.65"/>
    <n v="46"/>
    <n v="46.32"/>
    <n v="50.12"/>
    <n v="146053"/>
    <n v="2171"/>
    <n v="6557788740"/>
    <n v="141575750"/>
    <n v="-7.5818036711891414"/>
    <x v="352"/>
    <x v="0"/>
    <x v="1"/>
    <x v="1"/>
  </r>
  <r>
    <x v="372"/>
    <s v="BIKAJI FOODS INTERN LTD"/>
    <n v="622.1"/>
    <n v="622.1"/>
    <n v="603.25"/>
    <n v="610.20000000000005"/>
    <n v="629.70000000000005"/>
    <n v="275586"/>
    <n v="20508"/>
    <n v="153000000000"/>
    <n v="250592710"/>
    <n v="-3.0967127203430205"/>
    <x v="353"/>
    <x v="0"/>
    <x v="2"/>
    <x v="1"/>
  </r>
  <r>
    <x v="373"/>
    <s v="BHARTIYA INTERNATIONAL"/>
    <n v="709.75"/>
    <n v="709.75"/>
    <n v="663"/>
    <n v="675.05"/>
    <n v="706.25"/>
    <n v="32060"/>
    <n v="211"/>
    <n v="9052697946"/>
    <n v="13410411"/>
    <n v="-4.4176991150442539"/>
    <x v="354"/>
    <x v="0"/>
    <x v="1"/>
    <x v="1"/>
  </r>
  <r>
    <x v="374"/>
    <s v="BIOCON LIMITED."/>
    <n v="378"/>
    <n v="378.4"/>
    <n v="365.55"/>
    <n v="367.15"/>
    <n v="380.95"/>
    <n v="3017643"/>
    <n v="28397"/>
    <n v="595000000000"/>
    <n v="1620907773"/>
    <n v="-3.6225226407665083"/>
    <x v="355"/>
    <x v="0"/>
    <x v="0"/>
    <x v="0"/>
  </r>
  <r>
    <x v="375"/>
    <s v="BIOFIL CHEM &amp; PHARMA LTD"/>
    <n v="30.49"/>
    <n v="30.49"/>
    <n v="28.52"/>
    <n v="29.01"/>
    <n v="29.93"/>
    <n v="15647"/>
    <n v="301"/>
    <n v="472102938"/>
    <n v="16273800"/>
    <n v="-3.0738389575676517"/>
    <x v="356"/>
    <x v="0"/>
    <x v="1"/>
    <x v="1"/>
  </r>
  <r>
    <x v="376"/>
    <s v="BIRLA CABLE LIMITED"/>
    <n v="124.11"/>
    <n v="127"/>
    <n v="113.26"/>
    <n v="115.21"/>
    <n v="128.52000000000001"/>
    <n v="183660"/>
    <n v="3849"/>
    <n v="3456300000"/>
    <n v="30000000"/>
    <n v="-10.356364768129486"/>
    <x v="357"/>
    <x v="0"/>
    <x v="1"/>
    <x v="1"/>
  </r>
  <r>
    <x v="377"/>
    <s v="BIRLA CORPORATION LTD"/>
    <n v="812"/>
    <n v="814.3"/>
    <n v="789.6"/>
    <n v="804.8"/>
    <n v="815.1"/>
    <n v="129553"/>
    <n v="10089"/>
    <n v="61973903266"/>
    <n v="77005347"/>
    <n v="-1.2636486320696929"/>
    <x v="358"/>
    <x v="0"/>
    <x v="2"/>
    <x v="1"/>
  </r>
  <r>
    <x v="378"/>
    <s v="ADITYA BIRLA MONEY LTD"/>
    <n v="110"/>
    <n v="111.15"/>
    <n v="102.2"/>
    <n v="103.74"/>
    <n v="111.95"/>
    <n v="92689"/>
    <n v="2475"/>
    <n v="5862264512"/>
    <n v="56509201"/>
    <n v="-7.3336310853059476"/>
    <x v="359"/>
    <x v="0"/>
    <x v="1"/>
    <x v="1"/>
  </r>
  <r>
    <x v="379"/>
    <s v="BIRLANU LIMITED"/>
    <n v="1249.9000000000001"/>
    <n v="1249.9000000000001"/>
    <n v="1199.7"/>
    <n v="1216.2"/>
    <n v="1240.9000000000001"/>
    <n v="19240"/>
    <n v="1925"/>
    <n v="9171241364"/>
    <n v="7540899"/>
    <n v="-1.990490772826178"/>
    <x v="278"/>
    <x v="0"/>
    <x v="1"/>
    <x v="1"/>
  </r>
  <r>
    <x v="380"/>
    <s v="BLACKBUCK LIMITED"/>
    <n v="609.04999999999995"/>
    <n v="609.04999999999995"/>
    <n v="558.20000000000005"/>
    <n v="587"/>
    <n v="615.79999999999995"/>
    <n v="1027819"/>
    <n v="43350"/>
    <n v="106000000000"/>
    <n v="181171147"/>
    <n v="-4.6768431308866445"/>
    <x v="360"/>
    <x v="0"/>
    <x v="2"/>
    <x v="0"/>
  </r>
  <r>
    <x v="381"/>
    <s v="BEML LAND ASSETS LIMITED"/>
    <n v="163.01"/>
    <n v="164.5"/>
    <n v="160.26"/>
    <n v="160.37"/>
    <n v="164.26"/>
    <n v="52783"/>
    <n v="1077"/>
    <n v="6678528465"/>
    <n v="41644500"/>
    <n v="-2.3681967612321846"/>
    <x v="361"/>
    <x v="0"/>
    <x v="1"/>
    <x v="1"/>
  </r>
  <r>
    <x v="382"/>
    <s v="BLISS GVS PHARMA LTD"/>
    <n v="210"/>
    <n v="210.01"/>
    <n v="193.07"/>
    <n v="194.43"/>
    <n v="210.23"/>
    <n v="815939"/>
    <n v="11324"/>
    <n v="20555643563"/>
    <n v="105722592"/>
    <n v="-7.5155781762831104"/>
    <x v="362"/>
    <x v="0"/>
    <x v="1"/>
    <x v="1"/>
  </r>
  <r>
    <x v="383"/>
    <s v="B.L.KASHYAP &amp; SON LTD"/>
    <n v="48.9"/>
    <n v="49.1"/>
    <n v="45.4"/>
    <n v="46.31"/>
    <n v="49.4"/>
    <n v="622575"/>
    <n v="2415"/>
    <n v="10440126400"/>
    <n v="225440000"/>
    <n v="-6.2550607287449322"/>
    <x v="210"/>
    <x v="0"/>
    <x v="1"/>
    <x v="1"/>
  </r>
  <r>
    <x v="384"/>
    <s v="BLS INTL SERVS LTD"/>
    <n v="240"/>
    <n v="240.05"/>
    <n v="218.9"/>
    <n v="221.75"/>
    <n v="240.6"/>
    <n v="2673833"/>
    <n v="55790"/>
    <n v="91303546349"/>
    <n v="411740908"/>
    <n v="-7.8345802161263478"/>
    <x v="363"/>
    <x v="0"/>
    <x v="2"/>
    <x v="0"/>
  </r>
  <r>
    <x v="385"/>
    <s v="BLS E-SERVICES LIMITED"/>
    <n v="142.18"/>
    <n v="153.08000000000001"/>
    <n v="140.5"/>
    <n v="150.37"/>
    <n v="144.35"/>
    <n v="1417376"/>
    <n v="14599"/>
    <n v="13662089649"/>
    <n v="90856485"/>
    <n v="4.17041912019398"/>
    <x v="364"/>
    <x v="1"/>
    <x v="1"/>
    <x v="0"/>
  </r>
  <r>
    <x v="386"/>
    <s v="BLUE COAST HOTELS LIMITED"/>
    <n v="20.010000000000002"/>
    <n v="21.01"/>
    <n v="19.21"/>
    <n v="20.78"/>
    <n v="20.010000000000002"/>
    <n v="6937"/>
    <n v="59"/>
    <n v="357259256.5"/>
    <n v="17192457"/>
    <n v="3.8480759620189882"/>
    <x v="365"/>
    <x v="1"/>
    <x v="1"/>
    <x v="1"/>
  </r>
  <r>
    <x v="387"/>
    <s v="BLUE DART EXPRESS LTD"/>
    <n v="5095"/>
    <n v="5095"/>
    <n v="4900"/>
    <n v="4932.5"/>
    <n v="5101.5"/>
    <n v="19579"/>
    <n v="7506"/>
    <n v="117000000000"/>
    <n v="23727934"/>
    <n v="-3.3127511516220718"/>
    <x v="366"/>
    <x v="0"/>
    <x v="2"/>
    <x v="1"/>
  </r>
  <r>
    <x v="388"/>
    <s v="BLUE JET HEALTHCARE LTD"/>
    <n v="358"/>
    <n v="374.9"/>
    <n v="335.8"/>
    <n v="341.3"/>
    <n v="357.95"/>
    <n v="1654959"/>
    <n v="35951"/>
    <n v="59203749553"/>
    <n v="173465425"/>
    <n v="-4.6514876379382537"/>
    <x v="367"/>
    <x v="0"/>
    <x v="2"/>
    <x v="0"/>
  </r>
  <r>
    <x v="389"/>
    <s v="BLUE STAR LIMITED"/>
    <n v="1688.7"/>
    <n v="1693"/>
    <n v="1602"/>
    <n v="1621.1"/>
    <n v="1708.6"/>
    <n v="687659"/>
    <n v="38240"/>
    <n v="333000000000"/>
    <n v="205614788"/>
    <n v="-5.1211518202036759"/>
    <x v="368"/>
    <x v="0"/>
    <x v="0"/>
    <x v="1"/>
  </r>
  <r>
    <x v="390"/>
    <s v="BLUESTONE JEWEL LFSTL LTD"/>
    <n v="537"/>
    <n v="537"/>
    <n v="511"/>
    <n v="522.45000000000005"/>
    <n v="543.79999999999995"/>
    <n v="284040"/>
    <n v="21212"/>
    <n v="79057328351"/>
    <n v="151320372"/>
    <n v="-3.9260757631481997"/>
    <x v="171"/>
    <x v="0"/>
    <x v="2"/>
    <x v="1"/>
  </r>
  <r>
    <x v="391"/>
    <s v="BLUSPRING ENTERPRISES LTD"/>
    <n v="45.67"/>
    <n v="52.45"/>
    <n v="43.98"/>
    <n v="50.22"/>
    <n v="45.67"/>
    <n v="6047264"/>
    <n v="22530"/>
    <n v="7480239521"/>
    <n v="148949413"/>
    <n v="9.9627764396759293"/>
    <x v="369"/>
    <x v="1"/>
    <x v="1"/>
    <x v="0"/>
  </r>
  <r>
    <x v="392"/>
    <s v="BMW VENTURES LIMITED"/>
    <n v="58.01"/>
    <n v="58.01"/>
    <n v="53.12"/>
    <n v="54.71"/>
    <n v="58.24"/>
    <n v="124921"/>
    <n v="1493"/>
    <n v="4744177650"/>
    <n v="86715000"/>
    <n v="-6.0611263736263759"/>
    <x v="370"/>
    <x v="0"/>
    <x v="1"/>
    <x v="1"/>
  </r>
  <r>
    <x v="393"/>
    <s v="BODAL CHEMICALS LTD"/>
    <n v="54.37"/>
    <n v="58.25"/>
    <n v="51.03"/>
    <n v="56.81"/>
    <n v="54.65"/>
    <n v="1473850"/>
    <n v="7799"/>
    <n v="7154882333"/>
    <n v="125944065"/>
    <n v="3.9524245196706378"/>
    <x v="371"/>
    <x v="1"/>
    <x v="1"/>
    <x v="0"/>
  </r>
  <r>
    <x v="394"/>
    <s v="BOMBAY DYEING &amp; MFG. CO L"/>
    <n v="101.2"/>
    <n v="101.9"/>
    <n v="94.6"/>
    <n v="95.98"/>
    <n v="103.16"/>
    <n v="1274096"/>
    <n v="10440"/>
    <n v="19823219702"/>
    <n v="206534900"/>
    <n v="-6.9600620395502064"/>
    <x v="372"/>
    <x v="0"/>
    <x v="1"/>
    <x v="0"/>
  </r>
  <r>
    <x v="395"/>
    <s v="BOROSIL LIMITED"/>
    <n v="222.01"/>
    <n v="225"/>
    <n v="213.73"/>
    <n v="215.6"/>
    <n v="222.01"/>
    <n v="173494"/>
    <n v="5052"/>
    <n v="25781577144"/>
    <n v="119580599"/>
    <n v="-2.8872573307508658"/>
    <x v="373"/>
    <x v="0"/>
    <x v="1"/>
    <x v="1"/>
  </r>
  <r>
    <x v="396"/>
    <s v="BOROSIL RENEWABLES LTD"/>
    <n v="415"/>
    <n v="419.95"/>
    <n v="396.9"/>
    <n v="398.85"/>
    <n v="420.9"/>
    <n v="509417"/>
    <n v="17374"/>
    <n v="55914320828"/>
    <n v="140188845"/>
    <n v="-5.238774055595143"/>
    <x v="374"/>
    <x v="0"/>
    <x v="2"/>
    <x v="1"/>
  </r>
  <r>
    <x v="397"/>
    <s v="BOROSIL SCIENTIFIC LTD"/>
    <n v="103.6"/>
    <n v="105.69"/>
    <n v="102"/>
    <n v="102.6"/>
    <n v="104.52"/>
    <n v="126825"/>
    <n v="2427"/>
    <n v="9125967330"/>
    <n v="88947050"/>
    <n v="-1.8369690011481075"/>
    <x v="375"/>
    <x v="0"/>
    <x v="1"/>
    <x v="1"/>
  </r>
  <r>
    <x v="398"/>
    <s v="BOSCH HOME COMFRT IND LTD"/>
    <n v="1255"/>
    <n v="1270.0999999999999"/>
    <n v="1220.2"/>
    <n v="1233.5"/>
    <n v="1281.0999999999999"/>
    <n v="14762"/>
    <n v="1241"/>
    <n v="33539955414"/>
    <n v="27190884"/>
    <n v="-3.7155569432518862"/>
    <x v="376"/>
    <x v="0"/>
    <x v="1"/>
    <x v="1"/>
  </r>
  <r>
    <x v="399"/>
    <s v="BPL LTD"/>
    <n v="47.62"/>
    <n v="47.62"/>
    <n v="44.16"/>
    <n v="44.42"/>
    <n v="47.1"/>
    <n v="125212"/>
    <n v="1472"/>
    <n v="2175502859"/>
    <n v="48975751"/>
    <n v="-5.6900212314225049"/>
    <x v="377"/>
    <x v="0"/>
    <x v="1"/>
    <x v="1"/>
  </r>
  <r>
    <x v="400"/>
    <s v="BRIGADE ENTER. LTD"/>
    <n v="643.9"/>
    <n v="643.9"/>
    <n v="601"/>
    <n v="634.70000000000005"/>
    <n v="643.9"/>
    <n v="205893"/>
    <n v="13542"/>
    <n v="155000000000"/>
    <n v="244498273"/>
    <n v="-1.4287932908836671"/>
    <x v="378"/>
    <x v="0"/>
    <x v="2"/>
    <x v="1"/>
  </r>
  <r>
    <x v="401"/>
    <s v="BRIGADE HOTEL VENTURE LTD"/>
    <n v="59.02"/>
    <n v="59.31"/>
    <n v="57.2"/>
    <n v="57.67"/>
    <n v="59.78"/>
    <n v="151382"/>
    <n v="1448"/>
    <n v="21905520724"/>
    <n v="379842565"/>
    <n v="-3.5296085647373694"/>
    <x v="379"/>
    <x v="0"/>
    <x v="1"/>
    <x v="1"/>
  </r>
  <r>
    <x v="402"/>
    <s v="BHARAT ROAD NETWORK LTD"/>
    <n v="18.63"/>
    <n v="18.87"/>
    <n v="18.3"/>
    <n v="18.36"/>
    <n v="18.829999999999998"/>
    <n v="52764"/>
    <n v="364"/>
    <n v="1541322000"/>
    <n v="83950000"/>
    <n v="-2.4960169941582526"/>
    <x v="380"/>
    <x v="0"/>
    <x v="1"/>
    <x v="1"/>
  </r>
  <r>
    <x v="403"/>
    <s v="BROOKS LAB LIMITED"/>
    <n v="52.64"/>
    <n v="52.64"/>
    <n v="45.27"/>
    <n v="46.03"/>
    <n v="52.64"/>
    <n v="194432"/>
    <n v="2363"/>
    <n v="1355917125"/>
    <n v="29457248"/>
    <n v="-12.556990881458965"/>
    <x v="381"/>
    <x v="0"/>
    <x v="1"/>
    <x v="1"/>
  </r>
  <r>
    <x v="404"/>
    <s v="BSE LIMITED"/>
    <n v="2770"/>
    <n v="2776.8"/>
    <n v="2688"/>
    <n v="2714.4"/>
    <n v="2806.1"/>
    <n v="4616085"/>
    <n v="159663"/>
    <n v="1110000000000"/>
    <n v="407884077"/>
    <n v="-3.2678806885000475"/>
    <x v="382"/>
    <x v="0"/>
    <x v="0"/>
    <x v="0"/>
  </r>
  <r>
    <x v="405"/>
    <s v="BOMBAY SUPER HYBRID SEEDS"/>
    <n v="78.430000000000007"/>
    <n v="78.7"/>
    <n v="75.650000000000006"/>
    <n v="76.489999999999995"/>
    <n v="78.430000000000007"/>
    <n v="9978"/>
    <n v="173"/>
    <n v="8026652547"/>
    <n v="104937280"/>
    <n v="-2.473543287007538"/>
    <x v="383"/>
    <x v="0"/>
    <x v="1"/>
    <x v="1"/>
  </r>
  <r>
    <x v="406"/>
    <s v="BSL LTD"/>
    <n v="126.89"/>
    <n v="126.89"/>
    <n v="111.9"/>
    <n v="115.72"/>
    <n v="123.36"/>
    <n v="7735"/>
    <n v="258"/>
    <n v="1191009681"/>
    <n v="10292168"/>
    <n v="-6.1932555123216604"/>
    <x v="384"/>
    <x v="0"/>
    <x v="1"/>
    <x v="1"/>
  </r>
  <r>
    <x v="407"/>
    <s v="BIRLASOFT LIMITED"/>
    <n v="355.55"/>
    <n v="356.5"/>
    <n v="337.05"/>
    <n v="339.2"/>
    <n v="358.05"/>
    <n v="1086249"/>
    <n v="28501"/>
    <n v="94531710752"/>
    <n v="278690185"/>
    <n v="-5.2646278452730133"/>
    <x v="385"/>
    <x v="0"/>
    <x v="2"/>
    <x v="0"/>
  </r>
  <r>
    <x v="408"/>
    <s v="BODHI TREE MULTIMEDIA LTD"/>
    <n v="6.49"/>
    <n v="6.49"/>
    <n v="5.62"/>
    <n v="5.87"/>
    <n v="6.47"/>
    <n v="1007356"/>
    <n v="957"/>
    <n v="1059521951"/>
    <n v="180497777"/>
    <n v="-9.2735703245749566"/>
    <x v="386"/>
    <x v="0"/>
    <x v="1"/>
    <x v="0"/>
  </r>
  <r>
    <x v="409"/>
    <s v="SHANKARA BUILDPRO LIMITED"/>
    <n v="949.7"/>
    <n v="949.7"/>
    <n v="901.2"/>
    <n v="916.55"/>
    <n v="945.65"/>
    <n v="154736"/>
    <n v="2641"/>
    <n v="22225719745"/>
    <n v="24249326"/>
    <n v="-3.0772484534447231"/>
    <x v="387"/>
    <x v="0"/>
    <x v="1"/>
    <x v="1"/>
  </r>
  <r>
    <x v="410"/>
    <s v="BTRFLY GANDHI APPL LTD"/>
    <n v="633"/>
    <n v="703"/>
    <n v="605.1"/>
    <n v="627.25"/>
    <n v="640.85"/>
    <n v="1506667"/>
    <n v="53707"/>
    <n v="11214948365"/>
    <n v="17879551"/>
    <n v="-2.1221814777249"/>
    <x v="388"/>
    <x v="0"/>
    <x v="1"/>
    <x v="0"/>
  </r>
  <r>
    <x v="411"/>
    <s v="BARAK VALLEY CEM. LTD."/>
    <n v="39.85"/>
    <n v="39.85"/>
    <n v="37"/>
    <n v="37.53"/>
    <n v="39.44"/>
    <n v="8918"/>
    <n v="181"/>
    <n v="831664800"/>
    <n v="22160000"/>
    <n v="-4.8427991886409654"/>
    <x v="389"/>
    <x v="0"/>
    <x v="1"/>
    <x v="1"/>
  </r>
  <r>
    <x v="412"/>
    <s v="THE BYKE HOSPITALITY LTD"/>
    <n v="32.1"/>
    <n v="32.99"/>
    <n v="27.76"/>
    <n v="28.92"/>
    <n v="32.880000000000003"/>
    <n v="369456"/>
    <n v="3237"/>
    <n v="1511917356"/>
    <n v="52279300"/>
    <n v="-12.043795620437958"/>
    <x v="390"/>
    <x v="0"/>
    <x v="1"/>
    <x v="1"/>
  </r>
  <r>
    <x v="413"/>
    <s v="CALIFORNIA SOFTWARE CO LT"/>
    <n v="12.9"/>
    <n v="12.9"/>
    <n v="11.98"/>
    <n v="12"/>
    <n v="12.68"/>
    <n v="20998"/>
    <n v="261"/>
    <n v="185485272"/>
    <n v="15457106"/>
    <n v="-5.3627760252365908"/>
    <x v="391"/>
    <x v="0"/>
    <x v="1"/>
    <x v="1"/>
  </r>
  <r>
    <x v="414"/>
    <s v="CAMLIN FINE SCIENCES LTD"/>
    <n v="117"/>
    <n v="118.04"/>
    <n v="110"/>
    <n v="110.69"/>
    <n v="118.71"/>
    <n v="529040"/>
    <n v="9586"/>
    <n v="21262067193"/>
    <n v="192086613"/>
    <n v="-6.7559599022828714"/>
    <x v="392"/>
    <x v="0"/>
    <x v="1"/>
    <x v="1"/>
  </r>
  <r>
    <x v="415"/>
    <s v="CAMPUS ACTIVEWEAR LIMITED"/>
    <n v="221"/>
    <n v="222.9"/>
    <n v="216.7"/>
    <n v="219.15"/>
    <n v="225"/>
    <n v="265443"/>
    <n v="10755"/>
    <n v="66956972258"/>
    <n v="305530332"/>
    <n v="-2.5999999999999974"/>
    <x v="393"/>
    <x v="0"/>
    <x v="2"/>
    <x v="1"/>
  </r>
  <r>
    <x v="416"/>
    <s v="COMPUTER AGE MNGT SER LTD"/>
    <n v="636"/>
    <n v="638.04999999999995"/>
    <n v="611.4"/>
    <n v="622.45000000000005"/>
    <n v="640.70000000000005"/>
    <n v="1805078"/>
    <n v="48633"/>
    <n v="154000000000"/>
    <n v="247650635"/>
    <n v="-2.8484470110816291"/>
    <x v="96"/>
    <x v="0"/>
    <x v="2"/>
    <x v="0"/>
  </r>
  <r>
    <x v="417"/>
    <s v="CAN FIN HOMES LTD"/>
    <n v="810"/>
    <n v="834"/>
    <n v="772"/>
    <n v="821.05"/>
    <n v="820.3"/>
    <n v="146080"/>
    <n v="12661"/>
    <n v="109000000000"/>
    <n v="133154125"/>
    <n v="9.142996464708035E-2"/>
    <x v="394"/>
    <x v="1"/>
    <x v="2"/>
    <x v="1"/>
  </r>
  <r>
    <x v="418"/>
    <s v="CANARA HSBC LIFE INS CO L"/>
    <n v="145.02000000000001"/>
    <n v="145.15"/>
    <n v="140"/>
    <n v="141.02000000000001"/>
    <n v="145.66"/>
    <n v="407992"/>
    <n v="13353"/>
    <n v="134000000000"/>
    <n v="950000000"/>
    <n v="-3.1855004805711835"/>
    <x v="395"/>
    <x v="0"/>
    <x v="2"/>
    <x v="1"/>
  </r>
  <r>
    <x v="419"/>
    <s v="CANTABIL RETAIL LTD"/>
    <n v="235.8"/>
    <n v="235.8"/>
    <n v="221"/>
    <n v="223.45"/>
    <n v="237.05"/>
    <n v="233579"/>
    <n v="2954"/>
    <n v="18688920038"/>
    <n v="83638040"/>
    <n v="-5.7371862476270925"/>
    <x v="396"/>
    <x v="0"/>
    <x v="1"/>
    <x v="1"/>
  </r>
  <r>
    <x v="420"/>
    <s v="CAPACITE INFRAPROJECT LTD"/>
    <n v="218"/>
    <n v="219.27"/>
    <n v="208.1"/>
    <n v="210.48"/>
    <n v="223.88"/>
    <n v="774306"/>
    <n v="10918"/>
    <n v="17807458971"/>
    <n v="84604043"/>
    <n v="-5.985349294264787"/>
    <x v="397"/>
    <x v="0"/>
    <x v="1"/>
    <x v="1"/>
  </r>
  <r>
    <x v="421"/>
    <s v="CAPILLARY TECHNO INDIA L"/>
    <n v="509.95"/>
    <n v="509.95"/>
    <n v="471.5"/>
    <n v="475.8"/>
    <n v="507.4"/>
    <n v="44570"/>
    <n v="1576"/>
    <n v="37736541593"/>
    <n v="79311773"/>
    <n v="-6.2278281434765406"/>
    <x v="398"/>
    <x v="0"/>
    <x v="1"/>
    <x v="1"/>
  </r>
  <r>
    <x v="422"/>
    <s v="CAPITAL SMALL FIN BANK L"/>
    <n v="237"/>
    <n v="237.9"/>
    <n v="222.8"/>
    <n v="223.15"/>
    <n v="240.05"/>
    <n v="102952"/>
    <n v="1725"/>
    <n v="10135198749"/>
    <n v="45418771"/>
    <n v="-7.0401999583420141"/>
    <x v="399"/>
    <x v="0"/>
    <x v="1"/>
    <x v="1"/>
  </r>
  <r>
    <x v="423"/>
    <s v="CAPLIN POINT LAB LTD."/>
    <n v="1600"/>
    <n v="1604.1"/>
    <n v="1555.2"/>
    <n v="1560.3"/>
    <n v="1604.1"/>
    <n v="101864"/>
    <n v="10189"/>
    <n v="119000000000"/>
    <n v="76011696"/>
    <n v="-2.7305030858425261"/>
    <x v="400"/>
    <x v="0"/>
    <x v="2"/>
    <x v="1"/>
  </r>
  <r>
    <x v="424"/>
    <s v="CARBORUNDUM UNIVERSAL LTD"/>
    <n v="754.3"/>
    <n v="759.4"/>
    <n v="735.2"/>
    <n v="755.45"/>
    <n v="756.95"/>
    <n v="157123"/>
    <n v="14059"/>
    <n v="144000000000"/>
    <n v="190440988"/>
    <n v="-0.19816368320232514"/>
    <x v="401"/>
    <x v="1"/>
    <x v="2"/>
    <x v="1"/>
  </r>
  <r>
    <x v="425"/>
    <s v="CARE RATINGS LIMITED"/>
    <n v="1537"/>
    <n v="1537"/>
    <n v="1392.7"/>
    <n v="1412.5"/>
    <n v="1537.7"/>
    <n v="59587"/>
    <n v="6173"/>
    <n v="42410353463"/>
    <n v="30025029"/>
    <n v="-8.1420303050009792"/>
    <x v="402"/>
    <x v="0"/>
    <x v="1"/>
    <x v="1"/>
  </r>
  <r>
    <x v="426"/>
    <s v="CARRARO INDIA LIMITED"/>
    <n v="438"/>
    <n v="438"/>
    <n v="416"/>
    <n v="423.1"/>
    <n v="441.95"/>
    <n v="72788"/>
    <n v="4367"/>
    <n v="24053885728"/>
    <n v="56851538"/>
    <n v="-4.2651883697250748"/>
    <x v="403"/>
    <x v="0"/>
    <x v="1"/>
    <x v="1"/>
  </r>
  <r>
    <x v="427"/>
    <s v="CARTRADE TECH LIMITED"/>
    <n v="1680"/>
    <n v="1712"/>
    <n v="1670"/>
    <n v="1695.1"/>
    <n v="1696.9"/>
    <n v="201549"/>
    <n v="22465"/>
    <n v="81098559119"/>
    <n v="47842935"/>
    <n v="-0.10607578525547656"/>
    <x v="404"/>
    <x v="1"/>
    <x v="2"/>
    <x v="1"/>
  </r>
  <r>
    <x v="428"/>
    <s v="CARYSIL LIMITED"/>
    <n v="777.65"/>
    <n v="777.65"/>
    <n v="745.5"/>
    <n v="749.05"/>
    <n v="781.65"/>
    <n v="99344"/>
    <n v="5698"/>
    <n v="21304934024"/>
    <n v="28442606"/>
    <n v="-4.1706646197147093"/>
    <x v="405"/>
    <x v="0"/>
    <x v="1"/>
    <x v="1"/>
  </r>
  <r>
    <x v="429"/>
    <s v="CASTROL INDIA LIMITED"/>
    <n v="182.5"/>
    <n v="183.7"/>
    <n v="177.1"/>
    <n v="177.29"/>
    <n v="187.34"/>
    <n v="3759032"/>
    <n v="31711"/>
    <n v="175000000000"/>
    <n v="989122384"/>
    <n v="-5.3645777730329938"/>
    <x v="406"/>
    <x v="0"/>
    <x v="2"/>
    <x v="0"/>
  </r>
  <r>
    <x v="430"/>
    <s v="AVENUESAI LIMITED"/>
    <n v="14.1"/>
    <n v="14.15"/>
    <n v="13.26"/>
    <n v="13.35"/>
    <n v="14.2"/>
    <n v="9159849"/>
    <n v="15690"/>
    <n v="46418535251"/>
    <n v="3477043839"/>
    <n v="-5.9859154929577443"/>
    <x v="407"/>
    <x v="0"/>
    <x v="1"/>
    <x v="0"/>
  </r>
  <r>
    <x v="431"/>
    <s v="CONS. CONST. CONSORT LTD"/>
    <n v="15.19"/>
    <n v="15.19"/>
    <n v="13.92"/>
    <n v="14.32"/>
    <n v="14.97"/>
    <n v="449285"/>
    <n v="803"/>
    <n v="6397595338"/>
    <n v="446759451"/>
    <n v="-4.3420173680694747"/>
    <x v="408"/>
    <x v="0"/>
    <x v="1"/>
    <x v="1"/>
  </r>
  <r>
    <x v="432"/>
    <s v="COUNTRY CLUB HOSP HOL LTD"/>
    <n v="11.61"/>
    <n v="13"/>
    <n v="11.12"/>
    <n v="11.48"/>
    <n v="12.24"/>
    <n v="291282"/>
    <n v="983"/>
    <n v="1876575158"/>
    <n v="163464735"/>
    <n v="-6.209150326797384"/>
    <x v="253"/>
    <x v="0"/>
    <x v="1"/>
    <x v="1"/>
  </r>
  <r>
    <x v="433"/>
    <s v="CCL PRODUCTS (I) LTD"/>
    <n v="1082.2"/>
    <n v="1082.2"/>
    <n v="1042.2"/>
    <n v="1067.9000000000001"/>
    <n v="1087.5999999999999"/>
    <n v="270231"/>
    <n v="24095"/>
    <n v="143000000000"/>
    <n v="133527920"/>
    <n v="-1.8113276940051322"/>
    <x v="130"/>
    <x v="0"/>
    <x v="2"/>
    <x v="1"/>
  </r>
  <r>
    <x v="434"/>
    <s v="CENTRAL DEPO SER (I) LTD"/>
    <n v="1175.5999999999999"/>
    <n v="1176.9000000000001"/>
    <n v="1130"/>
    <n v="1133.8"/>
    <n v="1190.8"/>
    <n v="2661615"/>
    <n v="107781"/>
    <n v="237000000000"/>
    <n v="209000000"/>
    <n v="-4.7866980181390666"/>
    <x v="409"/>
    <x v="0"/>
    <x v="0"/>
    <x v="0"/>
  </r>
  <r>
    <x v="435"/>
    <s v="CEAT LIMITED"/>
    <n v="3477.9"/>
    <n v="3487.8"/>
    <n v="3360"/>
    <n v="3386.4"/>
    <n v="3537.5"/>
    <n v="98765"/>
    <n v="18140"/>
    <n v="137000000000"/>
    <n v="40450092"/>
    <n v="-4.2713780918727888"/>
    <x v="410"/>
    <x v="0"/>
    <x v="2"/>
    <x v="1"/>
  </r>
  <r>
    <x v="436"/>
    <s v="CEIGALL INDIA LIMITED"/>
    <n v="274.25"/>
    <n v="274.25"/>
    <n v="260"/>
    <n v="263.35000000000002"/>
    <n v="270.5"/>
    <n v="441665"/>
    <n v="6238"/>
    <n v="45876850144"/>
    <n v="174204861"/>
    <n v="-2.6432532347504538"/>
    <x v="411"/>
    <x v="0"/>
    <x v="1"/>
    <x v="1"/>
  </r>
  <r>
    <x v="437"/>
    <s v="CEINSYS TECH LIMITED"/>
    <n v="937.95"/>
    <n v="937.95"/>
    <n v="867"/>
    <n v="888.35"/>
    <n v="938.7"/>
    <n v="102701"/>
    <n v="5619"/>
    <n v="15849182049"/>
    <n v="17841146"/>
    <n v="-5.3638010013848962"/>
    <x v="412"/>
    <x v="0"/>
    <x v="1"/>
    <x v="1"/>
  </r>
  <r>
    <x v="438"/>
    <s v="CELEBRITY FASHIONS LTD"/>
    <n v="7.4"/>
    <n v="7.64"/>
    <n v="6.6"/>
    <n v="6.65"/>
    <n v="7.25"/>
    <n v="63808"/>
    <n v="430"/>
    <n v="396861446.5"/>
    <n v="59678413"/>
    <n v="-8.2758620689655125"/>
    <x v="413"/>
    <x v="0"/>
    <x v="1"/>
    <x v="1"/>
  </r>
  <r>
    <x v="439"/>
    <s v="CELLO WORLD LIMITED"/>
    <n v="422.5"/>
    <n v="422.5"/>
    <n v="393.25"/>
    <n v="397.6"/>
    <n v="423.45"/>
    <n v="446825"/>
    <n v="13976"/>
    <n v="87823889518"/>
    <n v="220885034"/>
    <n v="-6.1046168378793171"/>
    <x v="414"/>
    <x v="0"/>
    <x v="2"/>
    <x v="1"/>
  </r>
  <r>
    <x v="440"/>
    <s v="CEMINDIA PROJECTS LIMITED"/>
    <n v="534.95000000000005"/>
    <n v="535.79999999999995"/>
    <n v="503.3"/>
    <n v="509.7"/>
    <n v="539.6"/>
    <n v="435621"/>
    <n v="16911"/>
    <n v="87560131565"/>
    <n v="171787584"/>
    <n v="-5.5411415863602729"/>
    <x v="415"/>
    <x v="0"/>
    <x v="2"/>
    <x v="1"/>
  </r>
  <r>
    <x v="441"/>
    <s v="CENTURY ENKA LTD"/>
    <n v="419.85"/>
    <n v="419.85"/>
    <n v="393"/>
    <n v="396.05"/>
    <n v="417.15"/>
    <n v="29261"/>
    <n v="1138"/>
    <n v="8653925773"/>
    <n v="21850589"/>
    <n v="-5.0581325662231729"/>
    <x v="416"/>
    <x v="0"/>
    <x v="1"/>
    <x v="1"/>
  </r>
  <r>
    <x v="442"/>
    <s v="CENTURY EXTRUSIONS LTD"/>
    <n v="18.14"/>
    <n v="18.38"/>
    <n v="17.489999999999998"/>
    <n v="18.13"/>
    <n v="18.690000000000001"/>
    <n v="189680"/>
    <n v="862"/>
    <n v="1450400000"/>
    <n v="80000000"/>
    <n v="-2.9962546816479518"/>
    <x v="407"/>
    <x v="0"/>
    <x v="1"/>
    <x v="1"/>
  </r>
  <r>
    <x v="443"/>
    <s v="CENTRAL BANK OF INDIA"/>
    <n v="33.6"/>
    <n v="33.69"/>
    <n v="32.4"/>
    <n v="32.56"/>
    <n v="34.17"/>
    <n v="12336817"/>
    <n v="25507"/>
    <n v="295000000000"/>
    <n v="9051401274"/>
    <n v="-4.7117354404448326"/>
    <x v="417"/>
    <x v="0"/>
    <x v="0"/>
    <x v="0"/>
  </r>
  <r>
    <x v="444"/>
    <s v="CENTRUM CAPITAL LIMITED"/>
    <n v="25.67"/>
    <n v="25.67"/>
    <n v="23.56"/>
    <n v="24.47"/>
    <n v="25.94"/>
    <n v="685751"/>
    <n v="2243"/>
    <n v="11245902877"/>
    <n v="459579194"/>
    <n v="-5.6669236700077192"/>
    <x v="418"/>
    <x v="0"/>
    <x v="1"/>
    <x v="1"/>
  </r>
  <r>
    <x v="445"/>
    <s v="CENTUM ELECTRONICS LTD"/>
    <n v="2935"/>
    <n v="2967.1"/>
    <n v="2698"/>
    <n v="2744.4"/>
    <n v="2987.8"/>
    <n v="123752"/>
    <n v="16743"/>
    <n v="40441890060"/>
    <n v="14736150"/>
    <n v="-8.1464622799384188"/>
    <x v="419"/>
    <x v="0"/>
    <x v="1"/>
    <x v="1"/>
  </r>
  <r>
    <x v="446"/>
    <s v="CENTURY PLYBOARDS (I) LTD"/>
    <n v="641.1"/>
    <n v="660"/>
    <n v="618.5"/>
    <n v="647.45000000000005"/>
    <n v="650.9"/>
    <n v="57365"/>
    <n v="7318"/>
    <n v="144000000000"/>
    <n v="222172990"/>
    <n v="-0.53003533568903549"/>
    <x v="420"/>
    <x v="1"/>
    <x v="2"/>
    <x v="1"/>
  </r>
  <r>
    <x v="447"/>
    <s v="CERA SANITARYWARE LTD"/>
    <n v="4700"/>
    <n v="4738"/>
    <n v="4535.8"/>
    <n v="4582.8999999999996"/>
    <n v="4753.7"/>
    <n v="13908"/>
    <n v="4976"/>
    <n v="59108140649"/>
    <n v="12897541"/>
    <n v="-3.5929907230157596"/>
    <x v="421"/>
    <x v="0"/>
    <x v="2"/>
    <x v="1"/>
  </r>
  <r>
    <x v="448"/>
    <s v="CESC LTD"/>
    <n v="151.80000000000001"/>
    <n v="152.44"/>
    <n v="147.11000000000001"/>
    <n v="148.69999999999999"/>
    <n v="152.74"/>
    <n v="1512973"/>
    <n v="26319"/>
    <n v="197000000000"/>
    <n v="1325570430"/>
    <n v="-2.64501767709835"/>
    <x v="422"/>
    <x v="0"/>
    <x v="2"/>
    <x v="0"/>
  </r>
  <r>
    <x v="449"/>
    <s v="CONCORD ENVIRO SYSTEMS L"/>
    <n v="275.64999999999998"/>
    <n v="281.8"/>
    <n v="262.89999999999998"/>
    <n v="267.2"/>
    <n v="282.95"/>
    <n v="101674"/>
    <n v="4933"/>
    <n v="5530033458"/>
    <n v="20696233"/>
    <n v="-5.5663544795900339"/>
    <x v="423"/>
    <x v="0"/>
    <x v="1"/>
    <x v="1"/>
  </r>
  <r>
    <x v="450"/>
    <s v="CAPRI GLOBAL CAPITAL LTD"/>
    <n v="166.71"/>
    <n v="167.47"/>
    <n v="157.1"/>
    <n v="159.78"/>
    <n v="170.08"/>
    <n v="1637109"/>
    <n v="20029"/>
    <n v="154000000000"/>
    <n v="962153962"/>
    <n v="-6.0559736594543807"/>
    <x v="424"/>
    <x v="0"/>
    <x v="2"/>
    <x v="0"/>
  </r>
  <r>
    <x v="451"/>
    <s v="CHALET HOTELS LIMITED"/>
    <n v="713.5"/>
    <n v="719.65"/>
    <n v="698.4"/>
    <n v="712.75"/>
    <n v="723.5"/>
    <n v="172572"/>
    <n v="12353"/>
    <n v="156000000000"/>
    <n v="218739432"/>
    <n v="-1.4858327574291639"/>
    <x v="425"/>
    <x v="0"/>
    <x v="2"/>
    <x v="1"/>
  </r>
  <r>
    <x v="452"/>
    <s v="CHAMBAL FERTILIZERS LTD"/>
    <n v="426"/>
    <n v="426"/>
    <n v="410.85"/>
    <n v="414"/>
    <n v="428.55"/>
    <n v="792969"/>
    <n v="24501"/>
    <n v="166000000000"/>
    <n v="400652297"/>
    <n v="-3.3951697584879272"/>
    <x v="426"/>
    <x v="0"/>
    <x v="2"/>
    <x v="1"/>
  </r>
  <r>
    <x v="453"/>
    <s v="CHEMBOND MATERIALTECH LTD"/>
    <n v="126"/>
    <n v="128.80000000000001"/>
    <n v="118.95"/>
    <n v="121.96"/>
    <n v="126.32"/>
    <n v="12825"/>
    <n v="339"/>
    <n v="1640153205"/>
    <n v="13448288"/>
    <n v="-3.451551614946168"/>
    <x v="427"/>
    <x v="0"/>
    <x v="1"/>
    <x v="1"/>
  </r>
  <r>
    <x v="454"/>
    <s v="CHEMBOND CHEMICAL LIMITED"/>
    <n v="124.1"/>
    <n v="124.98"/>
    <n v="118"/>
    <n v="119.52"/>
    <n v="127.99"/>
    <n v="22217"/>
    <n v="453"/>
    <n v="3214678764"/>
    <n v="26896576"/>
    <n v="-6.6177045081646995"/>
    <x v="428"/>
    <x v="0"/>
    <x v="1"/>
    <x v="1"/>
  </r>
  <r>
    <x v="455"/>
    <s v="CHEMCON SPECIAL CHEM LTD"/>
    <n v="145.30000000000001"/>
    <n v="146.96"/>
    <n v="137.69"/>
    <n v="138.88999999999999"/>
    <n v="146.56"/>
    <n v="68528"/>
    <n v="2557"/>
    <n v="5087638062"/>
    <n v="36630701"/>
    <n v="-5.2333515283842909"/>
    <x v="429"/>
    <x v="0"/>
    <x v="1"/>
    <x v="1"/>
  </r>
  <r>
    <x v="456"/>
    <s v="CHEMFAB ALKALIS LIMITED"/>
    <n v="355.15"/>
    <n v="361.95"/>
    <n v="333.1"/>
    <n v="339.75"/>
    <n v="357.2"/>
    <n v="23979"/>
    <n v="2156"/>
    <n v="4883465255"/>
    <n v="14373702"/>
    <n v="-4.8852183650615872"/>
    <x v="430"/>
    <x v="0"/>
    <x v="1"/>
    <x v="1"/>
  </r>
  <r>
    <x v="457"/>
    <s v="CHEMPLAST SANMAR LIMITED"/>
    <n v="276.70999999999998"/>
    <n v="276.70999999999998"/>
    <n v="255.5"/>
    <n v="259.08"/>
    <n v="280.33"/>
    <n v="653856"/>
    <n v="11020"/>
    <n v="40963028432"/>
    <n v="158109574"/>
    <n v="-7.5803517283201947"/>
    <x v="431"/>
    <x v="0"/>
    <x v="1"/>
    <x v="1"/>
  </r>
  <r>
    <x v="458"/>
    <s v="CHENNAI PETROLEUM CORP LT"/>
    <n v="1064"/>
    <n v="1094.4000000000001"/>
    <n v="998"/>
    <n v="1004.55"/>
    <n v="1064.75"/>
    <n v="2612734"/>
    <n v="76234"/>
    <n v="150000000000"/>
    <n v="148911400"/>
    <n v="-5.6539093683963415"/>
    <x v="432"/>
    <x v="0"/>
    <x v="2"/>
    <x v="0"/>
  </r>
  <r>
    <x v="459"/>
    <s v="CHEVIOT COMPANY LIMITED"/>
    <n v="985.6"/>
    <n v="985.6"/>
    <n v="945.1"/>
    <n v="950.7"/>
    <n v="985.6"/>
    <n v="4478"/>
    <n v="426"/>
    <n v="5553870563"/>
    <n v="5841875"/>
    <n v="-3.5409902597402572"/>
    <x v="433"/>
    <x v="0"/>
    <x v="1"/>
    <x v="1"/>
  </r>
  <r>
    <x v="460"/>
    <s v="CHOICE INTERNATIONAL LTD"/>
    <n v="604.9"/>
    <n v="607.29999999999995"/>
    <n v="568.70000000000005"/>
    <n v="583.95000000000005"/>
    <n v="614.9"/>
    <n v="1108595"/>
    <n v="19443"/>
    <n v="130000000000"/>
    <n v="222776500"/>
    <n v="-5.0333387542689758"/>
    <x v="434"/>
    <x v="0"/>
    <x v="2"/>
    <x v="0"/>
  </r>
  <r>
    <x v="461"/>
    <s v="CHOLAMANDALAM FIN HOL LTD"/>
    <n v="1407"/>
    <n v="1407.6"/>
    <n v="1305"/>
    <n v="1350.9"/>
    <n v="1407.6"/>
    <n v="403354"/>
    <n v="30102"/>
    <n v="254000000000"/>
    <n v="187777462"/>
    <n v="-4.028132992327353"/>
    <x v="435"/>
    <x v="0"/>
    <x v="0"/>
    <x v="1"/>
  </r>
  <r>
    <x v="462"/>
    <s v="CIE AUTOMOTIVE INDIA LTD"/>
    <n v="459.75"/>
    <n v="460.75"/>
    <n v="439.85"/>
    <n v="445.65"/>
    <n v="461.15"/>
    <n v="143029"/>
    <n v="10537"/>
    <n v="169000000000"/>
    <n v="379362377"/>
    <n v="-3.3611623116122735"/>
    <x v="436"/>
    <x v="0"/>
    <x v="2"/>
    <x v="1"/>
  </r>
  <r>
    <x v="463"/>
    <s v="CAPITAL INDIA FINANCE LTD"/>
    <n v="25.49"/>
    <n v="25.49"/>
    <n v="23.21"/>
    <n v="23.64"/>
    <n v="25.63"/>
    <n v="199067"/>
    <n v="801"/>
    <n v="9212716032"/>
    <n v="389708800"/>
    <n v="-7.7643386656262141"/>
    <x v="437"/>
    <x v="0"/>
    <x v="1"/>
    <x v="1"/>
  </r>
  <r>
    <x v="464"/>
    <s v="CIGNITI TECHNOLOGIES LTD"/>
    <n v="1048.3"/>
    <n v="1081"/>
    <n v="1043.0999999999999"/>
    <n v="1073.4000000000001"/>
    <n v="1068.3"/>
    <n v="211209"/>
    <n v="5155"/>
    <n v="29568905791"/>
    <n v="27546959"/>
    <n v="0.47739399045213299"/>
    <x v="438"/>
    <x v="1"/>
    <x v="1"/>
    <x v="1"/>
  </r>
  <r>
    <x v="465"/>
    <s v="CINELINE INDIA LIMITED"/>
    <n v="87.69"/>
    <n v="87.69"/>
    <n v="81.81"/>
    <n v="83.51"/>
    <n v="88.01"/>
    <n v="26025"/>
    <n v="723"/>
    <n v="2861589903"/>
    <n v="34266434"/>
    <n v="-5.1130553346210652"/>
    <x v="439"/>
    <x v="0"/>
    <x v="1"/>
    <x v="1"/>
  </r>
  <r>
    <x v="466"/>
    <s v="CINEVISTA LIMITED"/>
    <n v="15.23"/>
    <n v="15.23"/>
    <n v="14.51"/>
    <n v="14.73"/>
    <n v="15.24"/>
    <n v="13456"/>
    <n v="70"/>
    <n v="846039276.79999995"/>
    <n v="57436475"/>
    <n v="-3.3464566929133839"/>
    <x v="311"/>
    <x v="0"/>
    <x v="1"/>
    <x v="1"/>
  </r>
  <r>
    <x v="467"/>
    <s v="CLEAN SCIENCE &amp; TECH LTD"/>
    <n v="689"/>
    <n v="693.25"/>
    <n v="674.95"/>
    <n v="676.85"/>
    <n v="698.6"/>
    <n v="269188"/>
    <n v="18054"/>
    <n v="71933248348"/>
    <n v="106276499"/>
    <n v="-3.1133695963355281"/>
    <x v="440"/>
    <x v="0"/>
    <x v="2"/>
    <x v="1"/>
  </r>
  <r>
    <x v="468"/>
    <s v="CLEAN MAX ENVIRO EN SOL L"/>
    <n v="876.6"/>
    <n v="877"/>
    <n v="801.1"/>
    <n v="834.8"/>
    <n v="889.9"/>
    <n v="216063"/>
    <n v="12401"/>
    <n v="97737694455"/>
    <n v="117079174"/>
    <n v="-6.1917069333633021"/>
    <x v="441"/>
    <x v="0"/>
    <x v="2"/>
    <x v="1"/>
  </r>
  <r>
    <x v="469"/>
    <s v="CHAMAN LAL SETIA EXP LTD"/>
    <n v="231.05"/>
    <n v="237.15"/>
    <n v="220.5"/>
    <n v="221.5"/>
    <n v="233"/>
    <n v="60142"/>
    <n v="1886"/>
    <n v="11014224830"/>
    <n v="49725620"/>
    <n v="-4.9356223175965663"/>
    <x v="442"/>
    <x v="0"/>
    <x v="1"/>
    <x v="1"/>
  </r>
  <r>
    <x v="470"/>
    <s v="CMS INFO SYSTEMS LIMITED"/>
    <n v="283"/>
    <n v="283.95"/>
    <n v="270"/>
    <n v="271.45"/>
    <n v="283.95"/>
    <n v="844023"/>
    <n v="24957"/>
    <n v="44646071254"/>
    <n v="164472541"/>
    <n v="-4.4021834830075717"/>
    <x v="443"/>
    <x v="0"/>
    <x v="1"/>
    <x v="1"/>
  </r>
  <r>
    <x v="471"/>
    <s v="CREATIVE NEWTECH LIMITED"/>
    <n v="589"/>
    <n v="594.70000000000005"/>
    <n v="530.04999999999995"/>
    <n v="571.4"/>
    <n v="578.9"/>
    <n v="20847"/>
    <n v="1024"/>
    <n v="8580528095"/>
    <n v="15016675"/>
    <n v="-1.2955605458628434"/>
    <x v="444"/>
    <x v="0"/>
    <x v="1"/>
    <x v="1"/>
  </r>
  <r>
    <x v="472"/>
    <s v="COASTAL CORPORATION LTD"/>
    <n v="42.09"/>
    <n v="45.12"/>
    <n v="42.07"/>
    <n v="42.8"/>
    <n v="43.27"/>
    <n v="105598"/>
    <n v="932"/>
    <n v="2866625444"/>
    <n v="66977230"/>
    <n v="-1.0862029119482457"/>
    <x v="383"/>
    <x v="1"/>
    <x v="1"/>
    <x v="1"/>
  </r>
  <r>
    <x v="473"/>
    <s v="COCHIN SHIPYARD LIMITED"/>
    <n v="1330.9"/>
    <n v="1333.5"/>
    <n v="1260.0999999999999"/>
    <n v="1269.2"/>
    <n v="1341.5"/>
    <n v="1034950"/>
    <n v="53664"/>
    <n v="334000000000"/>
    <n v="263080780"/>
    <n v="-5.3894893775624269"/>
    <x v="445"/>
    <x v="0"/>
    <x v="0"/>
    <x v="0"/>
  </r>
  <r>
    <x v="474"/>
    <s v="COFFEE DAY ENTERPRISE LTD"/>
    <n v="24"/>
    <n v="24.2"/>
    <n v="22.14"/>
    <n v="22.34"/>
    <n v="23.83"/>
    <n v="2185734"/>
    <n v="4397"/>
    <n v="4719363402"/>
    <n v="211251719"/>
    <n v="-6.2526227444397762"/>
    <x v="446"/>
    <x v="0"/>
    <x v="1"/>
    <x v="0"/>
  </r>
  <r>
    <x v="475"/>
    <s v="COFORGE LIMITED"/>
    <n v="1077"/>
    <n v="1107.5"/>
    <n v="1064.9000000000001"/>
    <n v="1100.4000000000001"/>
    <n v="1089.3"/>
    <n v="3639224"/>
    <n v="86787"/>
    <n v="369000000000"/>
    <n v="335041808"/>
    <n v="1.0190030294684786"/>
    <x v="447"/>
    <x v="1"/>
    <x v="0"/>
    <x v="0"/>
  </r>
  <r>
    <x v="476"/>
    <s v="COHANCE LIFESCIENCES LTD"/>
    <n v="294.05"/>
    <n v="302.39999999999998"/>
    <n v="292.7"/>
    <n v="300.45"/>
    <n v="299.25"/>
    <n v="683429"/>
    <n v="25560"/>
    <n v="115000000000"/>
    <n v="382567140"/>
    <n v="0.40100250626566036"/>
    <x v="448"/>
    <x v="1"/>
    <x v="2"/>
    <x v="1"/>
  </r>
  <r>
    <x v="477"/>
    <s v="COLGATE PALMOLIVE LTD."/>
    <n v="1894"/>
    <n v="1894"/>
    <n v="1838.1"/>
    <n v="1849.2"/>
    <n v="1896.1"/>
    <n v="336417"/>
    <n v="25173"/>
    <n v="503000000000"/>
    <n v="271985634"/>
    <n v="-2.4734982332155409"/>
    <x v="449"/>
    <x v="0"/>
    <x v="0"/>
    <x v="1"/>
  </r>
  <r>
    <x v="478"/>
    <s v="COMPUCOM SOFTWARE LTD"/>
    <n v="12.4"/>
    <n v="12.68"/>
    <n v="12.3"/>
    <n v="12.37"/>
    <n v="13.01"/>
    <n v="91940"/>
    <n v="392"/>
    <n v="978778575.60000002"/>
    <n v="79125188"/>
    <n v="-4.9192928516525791"/>
    <x v="450"/>
    <x v="0"/>
    <x v="1"/>
    <x v="1"/>
  </r>
  <r>
    <x v="479"/>
    <s v="COMMERCIAL SYN BAGS LTD"/>
    <n v="153.01"/>
    <n v="153.80000000000001"/>
    <n v="152.6"/>
    <n v="153.27000000000001"/>
    <n v="153.41"/>
    <n v="206629"/>
    <n v="638"/>
    <n v="6123473694"/>
    <n v="39952200"/>
    <n v="-9.1258718466844635E-2"/>
    <x v="451"/>
    <x v="1"/>
    <x v="1"/>
    <x v="1"/>
  </r>
  <r>
    <x v="480"/>
    <s v="CONTAINER CORP OF IND LTD"/>
    <n v="442.95"/>
    <n v="442.95"/>
    <n v="421.45"/>
    <n v="423.75"/>
    <n v="447.3"/>
    <n v="2538797"/>
    <n v="53473"/>
    <n v="323000000000"/>
    <n v="761617935"/>
    <n v="-5.264922870556676"/>
    <x v="452"/>
    <x v="0"/>
    <x v="0"/>
    <x v="0"/>
  </r>
  <r>
    <x v="481"/>
    <s v="CONCORD BIOTECH LIMITED"/>
    <n v="1092.3"/>
    <n v="1093.5999999999999"/>
    <n v="1020.1"/>
    <n v="1032.5999999999999"/>
    <n v="1092.3"/>
    <n v="102825"/>
    <n v="11405"/>
    <n v="108000000000"/>
    <n v="104616204"/>
    <n v="-5.4655314474045635"/>
    <x v="453"/>
    <x v="0"/>
    <x v="2"/>
    <x v="1"/>
  </r>
  <r>
    <x v="482"/>
    <s v="CONFIDENCE PETRO IND LTD."/>
    <n v="37"/>
    <n v="39.33"/>
    <n v="33.75"/>
    <n v="34.03"/>
    <n v="36.28"/>
    <n v="3782656"/>
    <n v="19507"/>
    <n v="11306162693"/>
    <n v="332241043"/>
    <n v="-6.2017640573318626"/>
    <x v="454"/>
    <x v="0"/>
    <x v="1"/>
    <x v="0"/>
  </r>
  <r>
    <x v="483"/>
    <s v="CONTROL PRINT LIMITED"/>
    <n v="613.6"/>
    <n v="628"/>
    <n v="604"/>
    <n v="606"/>
    <n v="622.54999999999995"/>
    <n v="19176"/>
    <n v="1514"/>
    <n v="9692492472"/>
    <n v="15994212"/>
    <n v="-2.6584210103606063"/>
    <x v="68"/>
    <x v="0"/>
    <x v="1"/>
    <x v="1"/>
  </r>
  <r>
    <x v="484"/>
    <s v="CORAL INDIA FIN &amp; HOUS LT"/>
    <n v="30.75"/>
    <n v="30.75"/>
    <n v="27.61"/>
    <n v="28.67"/>
    <n v="30.74"/>
    <n v="15578"/>
    <n v="240"/>
    <n v="1155464791"/>
    <n v="40302225"/>
    <n v="-6.7338972023422148"/>
    <x v="455"/>
    <x v="0"/>
    <x v="1"/>
    <x v="1"/>
  </r>
  <r>
    <x v="485"/>
    <s v="CORDS CABLE INDUS LTD."/>
    <n v="145"/>
    <n v="149.97"/>
    <n v="137.19999999999999"/>
    <n v="139.08000000000001"/>
    <n v="148.37"/>
    <n v="36796"/>
    <n v="1668"/>
    <n v="1797995642"/>
    <n v="12927780"/>
    <n v="-6.2613735930444099"/>
    <x v="456"/>
    <x v="0"/>
    <x v="1"/>
    <x v="1"/>
  </r>
  <r>
    <x v="486"/>
    <s v="COROMANDEL INTERNTL. LTD"/>
    <n v="1901"/>
    <n v="1904.5"/>
    <n v="1818.1"/>
    <n v="1846.5"/>
    <n v="1911"/>
    <n v="347151"/>
    <n v="34074"/>
    <n v="545000000000"/>
    <n v="294995409"/>
    <n v="-3.3751962323390892"/>
    <x v="457"/>
    <x v="0"/>
    <x v="0"/>
    <x v="1"/>
  </r>
  <r>
    <x v="487"/>
    <s v="CORONA REMEDIES LIMITED"/>
    <n v="1632"/>
    <n v="1637"/>
    <n v="1579.1"/>
    <n v="1591.4"/>
    <n v="1650.5"/>
    <n v="20204"/>
    <n v="2387"/>
    <n v="97330164043"/>
    <n v="61160088"/>
    <n v="-3.5807331111784255"/>
    <x v="458"/>
    <x v="0"/>
    <x v="2"/>
    <x v="1"/>
  </r>
  <r>
    <x v="488"/>
    <s v="COSMO FIRST LIMITED"/>
    <n v="623.15"/>
    <n v="623.15"/>
    <n v="586"/>
    <n v="588.9"/>
    <n v="624.54999999999995"/>
    <n v="81615"/>
    <n v="4267"/>
    <n v="15458464230"/>
    <n v="26249727"/>
    <n v="-5.7081098390841376"/>
    <x v="459"/>
    <x v="0"/>
    <x v="1"/>
    <x v="1"/>
  </r>
  <r>
    <x v="489"/>
    <s v="COUNTRY CONDO S LIMITED"/>
    <n v="4.2"/>
    <n v="4.28"/>
    <n v="3.9"/>
    <n v="3.94"/>
    <n v="4.18"/>
    <n v="91130"/>
    <n v="342"/>
    <n v="305733362"/>
    <n v="77597300"/>
    <n v="-5.7416267942583676"/>
    <x v="460"/>
    <x v="0"/>
    <x v="1"/>
    <x v="1"/>
  </r>
  <r>
    <x v="490"/>
    <s v="CP CAPITAL LIMITED"/>
    <n v="82"/>
    <n v="84.9"/>
    <n v="80.2"/>
    <n v="83.29"/>
    <n v="83.4"/>
    <n v="45347"/>
    <n v="303"/>
    <n v="1515289889"/>
    <n v="18192939"/>
    <n v="-0.13189448441246934"/>
    <x v="461"/>
    <x v="1"/>
    <x v="1"/>
    <x v="1"/>
  </r>
  <r>
    <x v="491"/>
    <s v="CAREER POINT EDUTECH LTD"/>
    <n v="164.33"/>
    <n v="164.33"/>
    <n v="154.02000000000001"/>
    <n v="156.99"/>
    <n v="164.33"/>
    <n v="8504"/>
    <n v="501"/>
    <n v="2856109494"/>
    <n v="18192939"/>
    <n v="-4.4666220410150324"/>
    <x v="462"/>
    <x v="0"/>
    <x v="1"/>
    <x v="1"/>
  </r>
  <r>
    <x v="492"/>
    <s v="ADITYA INFOTECH LIMITED"/>
    <n v="1709.6"/>
    <n v="1720.1"/>
    <n v="1630.7"/>
    <n v="1642.2"/>
    <n v="1719.3"/>
    <n v="246092"/>
    <n v="27740"/>
    <n v="193000000000"/>
    <n v="117545019"/>
    <n v="-4.4843831792008322"/>
    <x v="463"/>
    <x v="0"/>
    <x v="2"/>
    <x v="1"/>
  </r>
  <r>
    <x v="493"/>
    <s v="CRAFTSMAN AUTOMATION LTD"/>
    <n v="6822"/>
    <n v="6828.5"/>
    <n v="6451.5"/>
    <n v="6546.5"/>
    <n v="6912"/>
    <n v="33079"/>
    <n v="7793"/>
    <n v="156000000000"/>
    <n v="23855583"/>
    <n v="-5.2879050925925926"/>
    <x v="464"/>
    <x v="0"/>
    <x v="2"/>
    <x v="1"/>
  </r>
  <r>
    <x v="494"/>
    <s v="CANARA ROBECO AMC LIMITED"/>
    <n v="237"/>
    <n v="237"/>
    <n v="226.95"/>
    <n v="228.1"/>
    <n v="237.3"/>
    <n v="311200"/>
    <n v="8018"/>
    <n v="45487115327"/>
    <n v="199417428"/>
    <n v="-3.8769490096923791"/>
    <x v="465"/>
    <x v="0"/>
    <x v="1"/>
    <x v="1"/>
  </r>
  <r>
    <x v="495"/>
    <s v="CREATIVE EYE LIMITED"/>
    <n v="6.37"/>
    <n v="6.58"/>
    <n v="6.07"/>
    <n v="6.19"/>
    <n v="6.4"/>
    <n v="14221"/>
    <n v="186"/>
    <n v="124160567.5"/>
    <n v="20058250"/>
    <n v="-3.2812499999999996"/>
    <x v="466"/>
    <x v="0"/>
    <x v="1"/>
    <x v="1"/>
  </r>
  <r>
    <x v="496"/>
    <s v="CREDITACCESS GRAMEEN LTD"/>
    <n v="1159.5999999999999"/>
    <n v="1164"/>
    <n v="1113"/>
    <n v="1134.9000000000001"/>
    <n v="1156.9000000000001"/>
    <n v="331410"/>
    <n v="25913"/>
    <n v="182000000000"/>
    <n v="160013081"/>
    <n v="-1.9016336762036474"/>
    <x v="212"/>
    <x v="0"/>
    <x v="2"/>
    <x v="1"/>
  </r>
  <r>
    <x v="497"/>
    <s v="CREST VENTURES LIMITED"/>
    <n v="323"/>
    <n v="331.6"/>
    <n v="316.55"/>
    <n v="318.25"/>
    <n v="330.25"/>
    <n v="5174"/>
    <n v="166"/>
    <n v="9054212500"/>
    <n v="28450000"/>
    <n v="-3.6336109008327027"/>
    <x v="467"/>
    <x v="0"/>
    <x v="1"/>
    <x v="1"/>
  </r>
  <r>
    <x v="498"/>
    <s v="CRISIL LTD"/>
    <n v="3984.1"/>
    <n v="4028"/>
    <n v="3874.9"/>
    <n v="3999.4"/>
    <n v="4000.4"/>
    <n v="61457"/>
    <n v="14340"/>
    <n v="292000000000"/>
    <n v="73130017"/>
    <n v="-2.4997500249975001E-2"/>
    <x v="468"/>
    <x v="1"/>
    <x v="0"/>
    <x v="1"/>
  </r>
  <r>
    <x v="499"/>
    <s v="CRIZAC LIMITED"/>
    <n v="197.15"/>
    <n v="199"/>
    <n v="183.15"/>
    <n v="185.77"/>
    <n v="202.47"/>
    <n v="745262"/>
    <n v="12198"/>
    <n v="32506499025"/>
    <n v="174982500"/>
    <n v="-8.2481355262507972"/>
    <x v="469"/>
    <x v="0"/>
    <x v="1"/>
    <x v="1"/>
  </r>
  <r>
    <x v="500"/>
    <s v="CROMPT GREA CON ELEC LTD"/>
    <n v="241.8"/>
    <n v="241.8"/>
    <n v="230.35"/>
    <n v="233.2"/>
    <n v="243.15"/>
    <n v="2243916"/>
    <n v="46674"/>
    <n v="150000000000"/>
    <n v="643914875"/>
    <n v="-4.0921242031667759"/>
    <x v="470"/>
    <x v="0"/>
    <x v="2"/>
    <x v="0"/>
  </r>
  <r>
    <x v="501"/>
    <s v="CROWN LIFTERS LIMITED"/>
    <n v="114.3"/>
    <n v="117.98"/>
    <n v="110"/>
    <n v="112.47"/>
    <n v="116.63"/>
    <n v="24084"/>
    <n v="655"/>
    <n v="1268194175"/>
    <n v="11275844"/>
    <n v="-3.5668352910914831"/>
    <x v="471"/>
    <x v="0"/>
    <x v="1"/>
    <x v="1"/>
  </r>
  <r>
    <x v="502"/>
    <s v="CSB BANK LIMITED"/>
    <n v="357.5"/>
    <n v="360"/>
    <n v="340.2"/>
    <n v="344.25"/>
    <n v="361.3"/>
    <n v="681936"/>
    <n v="16983"/>
    <n v="59722495945"/>
    <n v="173485827"/>
    <n v="-4.7190700249100503"/>
    <x v="472"/>
    <x v="0"/>
    <x v="2"/>
    <x v="1"/>
  </r>
  <r>
    <x v="503"/>
    <s v="CSL FINANCE LIMITED"/>
    <n v="245.95"/>
    <n v="245.95"/>
    <n v="242"/>
    <n v="242.35"/>
    <n v="246.95"/>
    <n v="94844"/>
    <n v="490"/>
    <n v="5521368199"/>
    <n v="22782621"/>
    <n v="-1.8627252480259138"/>
    <x v="473"/>
    <x v="0"/>
    <x v="1"/>
    <x v="1"/>
  </r>
  <r>
    <x v="504"/>
    <s v="CAMBRIDGE TECH ENTER LTD"/>
    <n v="23.47"/>
    <n v="23.96"/>
    <n v="21.2"/>
    <n v="21.42"/>
    <n v="23.47"/>
    <n v="45480"/>
    <n v="562"/>
    <n v="420496341.30000001"/>
    <n v="19631015"/>
    <n v="-8.7345547507456214"/>
    <x v="474"/>
    <x v="0"/>
    <x v="1"/>
    <x v="1"/>
  </r>
  <r>
    <x v="505"/>
    <s v="CITY UNION BANK LTD"/>
    <n v="239.95"/>
    <n v="239.95"/>
    <n v="230.75"/>
    <n v="234.3"/>
    <n v="241.35"/>
    <n v="1600262"/>
    <n v="31714"/>
    <n v="174000000000"/>
    <n v="742098317"/>
    <n v="-2.9210689869484079"/>
    <x v="475"/>
    <x v="0"/>
    <x v="2"/>
    <x v="0"/>
  </r>
  <r>
    <x v="506"/>
    <s v="CUBEX TUBINGS LTD"/>
    <n v="87.71"/>
    <n v="88.95"/>
    <n v="81"/>
    <n v="82.04"/>
    <n v="89.05"/>
    <n v="122580"/>
    <n v="2295"/>
    <n v="1174728709"/>
    <n v="14318975"/>
    <n v="-7.8719820325659651"/>
    <x v="476"/>
    <x v="0"/>
    <x v="1"/>
    <x v="1"/>
  </r>
  <r>
    <x v="507"/>
    <s v="CUMMINS INDIA LTD"/>
    <n v="4581"/>
    <n v="4583.8999999999996"/>
    <n v="4394"/>
    <n v="4518"/>
    <n v="4615.3"/>
    <n v="972428"/>
    <n v="100504"/>
    <n v="1250000000000"/>
    <n v="277200000"/>
    <n v="-2.1082053170974837"/>
    <x v="477"/>
    <x v="0"/>
    <x v="0"/>
    <x v="1"/>
  </r>
  <r>
    <x v="508"/>
    <s v="CUPID LIMITED"/>
    <n v="79.599999999999994"/>
    <n v="81.2"/>
    <n v="77"/>
    <n v="80.099999999999994"/>
    <n v="79.599999999999994"/>
    <n v="10772919"/>
    <n v="32809"/>
    <n v="108000000000"/>
    <n v="1342335700"/>
    <n v="0.62814070351758799"/>
    <x v="478"/>
    <x v="1"/>
    <x v="2"/>
    <x v="0"/>
  </r>
  <r>
    <x v="509"/>
    <s v="CYBER MEDIA (INDIA) LTD."/>
    <n v="14.07"/>
    <n v="14.07"/>
    <n v="12.5"/>
    <n v="12.96"/>
    <n v="13.12"/>
    <n v="16906"/>
    <n v="175"/>
    <n v="203047456.30000001"/>
    <n v="15667242"/>
    <n v="-1.2195121951219388"/>
    <x v="479"/>
    <x v="0"/>
    <x v="1"/>
    <x v="1"/>
  </r>
  <r>
    <x v="510"/>
    <s v="CYBERTECH SYSTEMS &amp; SOFTW"/>
    <n v="105.7"/>
    <n v="107.19"/>
    <n v="99.5"/>
    <n v="100.95"/>
    <n v="110.12"/>
    <n v="67873"/>
    <n v="2493"/>
    <n v="3142633363"/>
    <n v="31130593"/>
    <n v="-8.3272793316382145"/>
    <x v="480"/>
    <x v="0"/>
    <x v="1"/>
    <x v="1"/>
  </r>
  <r>
    <x v="511"/>
    <s v="CYIENT LIMITED"/>
    <n v="820"/>
    <n v="825.35"/>
    <n v="788.25"/>
    <n v="791.4"/>
    <n v="825.35"/>
    <n v="309297"/>
    <n v="23686"/>
    <n v="87926277123"/>
    <n v="111102195"/>
    <n v="-4.1134064336342213"/>
    <x v="481"/>
    <x v="0"/>
    <x v="2"/>
    <x v="1"/>
  </r>
  <r>
    <x v="512"/>
    <s v="CYIENT DLM LIMITED"/>
    <n v="300.05"/>
    <n v="301.7"/>
    <n v="276.14999999999998"/>
    <n v="280.14999999999998"/>
    <n v="303.8"/>
    <n v="765989"/>
    <n v="17617"/>
    <n v="22233935539"/>
    <n v="79364396"/>
    <n v="-7.7847267939433946"/>
    <x v="344"/>
    <x v="0"/>
    <x v="1"/>
    <x v="1"/>
  </r>
  <r>
    <x v="513"/>
    <s v="DABUR INDIA LTD"/>
    <n v="428.95"/>
    <n v="428.95"/>
    <n v="416.05"/>
    <n v="417.35"/>
    <n v="430.7"/>
    <n v="3382496"/>
    <n v="42285"/>
    <n v="740000000000"/>
    <n v="1773690172"/>
    <n v="-3.0996052937079095"/>
    <x v="482"/>
    <x v="0"/>
    <x v="0"/>
    <x v="0"/>
  </r>
  <r>
    <x v="514"/>
    <s v="DALMIA BHARAT LIMITED"/>
    <n v="1821.3"/>
    <n v="1831"/>
    <n v="1717.3"/>
    <n v="1746.1"/>
    <n v="1841"/>
    <n v="434989"/>
    <n v="19017"/>
    <n v="328000000000"/>
    <n v="187565161"/>
    <n v="-5.1548071700163005"/>
    <x v="483"/>
    <x v="0"/>
    <x v="0"/>
    <x v="1"/>
  </r>
  <r>
    <x v="515"/>
    <s v="DALMIA BHARAT SUG IN LTD"/>
    <n v="315"/>
    <n v="320.55"/>
    <n v="303"/>
    <n v="304.8"/>
    <n v="320.60000000000002"/>
    <n v="182293"/>
    <n v="4885"/>
    <n v="24670299554"/>
    <n v="80939303"/>
    <n v="-4.928259513412355"/>
    <x v="484"/>
    <x v="0"/>
    <x v="1"/>
    <x v="1"/>
  </r>
  <r>
    <x v="516"/>
    <s v="DAM CAPITAL ADVISORS LTD"/>
    <n v="126"/>
    <n v="128.15"/>
    <n v="122"/>
    <n v="122.84"/>
    <n v="129.85"/>
    <n v="530624"/>
    <n v="7677"/>
    <n v="8683068240"/>
    <n v="70686000"/>
    <n v="-5.3985367731998393"/>
    <x v="254"/>
    <x v="0"/>
    <x v="1"/>
    <x v="1"/>
  </r>
  <r>
    <x v="517"/>
    <s v="DAMODAR INDUSTRIES LTD"/>
    <n v="24"/>
    <n v="24.11"/>
    <n v="22.25"/>
    <n v="22.34"/>
    <n v="23.99"/>
    <n v="6146"/>
    <n v="128"/>
    <n v="520522000"/>
    <n v="23300000"/>
    <n v="-6.8778657774072478"/>
    <x v="485"/>
    <x v="0"/>
    <x v="1"/>
    <x v="1"/>
  </r>
  <r>
    <x v="518"/>
    <s v="DANGEE DUMS LIMITED"/>
    <n v="2.77"/>
    <n v="2.84"/>
    <n v="2.5499999999999998"/>
    <n v="2.6"/>
    <n v="2.77"/>
    <n v="71392"/>
    <n v="213"/>
    <n v="400335000"/>
    <n v="153975000"/>
    <n v="-6.1371841155234632"/>
    <x v="486"/>
    <x v="0"/>
    <x v="1"/>
    <x v="1"/>
  </r>
  <r>
    <x v="519"/>
    <s v="DATAMATICS GLOBAL SER LTD"/>
    <n v="676.05"/>
    <n v="683.85"/>
    <n v="658.1"/>
    <n v="669.7"/>
    <n v="686.35"/>
    <n v="98843"/>
    <n v="4674"/>
    <n v="39583548713"/>
    <n v="59106389"/>
    <n v="-2.4258760107816677"/>
    <x v="487"/>
    <x v="0"/>
    <x v="1"/>
    <x v="1"/>
  </r>
  <r>
    <x v="520"/>
    <s v="DATA PATTERNS INDIA LTD"/>
    <n v="3206.3"/>
    <n v="3241.9"/>
    <n v="3012.6"/>
    <n v="3072.6"/>
    <n v="3230.8"/>
    <n v="766107"/>
    <n v="65723"/>
    <n v="172000000000"/>
    <n v="55983969"/>
    <n v="-4.8966200321901781"/>
    <x v="488"/>
    <x v="0"/>
    <x v="2"/>
    <x v="1"/>
  </r>
  <r>
    <x v="521"/>
    <s v="DAVANGERE SUGAR COMPANY L"/>
    <n v="4.1399999999999997"/>
    <n v="4.1399999999999997"/>
    <n v="3.67"/>
    <n v="3.79"/>
    <n v="4.05"/>
    <n v="6583863"/>
    <n v="3178"/>
    <n v="5419665124"/>
    <n v="1429990798"/>
    <n v="-6.4197530864197478"/>
    <x v="489"/>
    <x v="0"/>
    <x v="1"/>
    <x v="0"/>
  </r>
  <r>
    <x v="522"/>
    <s v="D.B.CORP LTD"/>
    <n v="204"/>
    <n v="204"/>
    <n v="194.7"/>
    <n v="200.15"/>
    <n v="207.61"/>
    <n v="99823"/>
    <n v="3131"/>
    <n v="35675207754"/>
    <n v="178242357"/>
    <n v="-3.5932758537642733"/>
    <x v="490"/>
    <x v="0"/>
    <x v="1"/>
    <x v="1"/>
  </r>
  <r>
    <x v="523"/>
    <s v="DEEPAK BUILDERS &amp; ENG I L"/>
    <n v="71.06"/>
    <n v="71.069999999999993"/>
    <n v="66"/>
    <n v="66.56"/>
    <n v="73.08"/>
    <n v="124930"/>
    <n v="2161"/>
    <n v="3100422042"/>
    <n v="46580860"/>
    <n v="-8.9217296113847784"/>
    <x v="491"/>
    <x v="0"/>
    <x v="1"/>
    <x v="1"/>
  </r>
  <r>
    <x v="524"/>
    <s v="DILIP BUILDCON LIMITED"/>
    <n v="405"/>
    <n v="407.9"/>
    <n v="387.3"/>
    <n v="390.2"/>
    <n v="411.4"/>
    <n v="311119"/>
    <n v="8151"/>
    <n v="63385973837"/>
    <n v="162444833"/>
    <n v="-5.1531356344190549"/>
    <x v="492"/>
    <x v="0"/>
    <x v="2"/>
    <x v="1"/>
  </r>
  <r>
    <x v="525"/>
    <s v="DHAMPUR BIO ORGANICS LTD"/>
    <n v="98"/>
    <n v="100.94"/>
    <n v="95"/>
    <n v="95.75"/>
    <n v="98.9"/>
    <n v="85888"/>
    <n v="1170"/>
    <n v="6356611743"/>
    <n v="66387590"/>
    <n v="-3.1850353892821084"/>
    <x v="493"/>
    <x v="0"/>
    <x v="1"/>
    <x v="1"/>
  </r>
  <r>
    <x v="526"/>
    <s v="VALOR ESTATE LIMITED"/>
    <n v="96.5"/>
    <n v="97.14"/>
    <n v="90.11"/>
    <n v="91.03"/>
    <n v="98.07"/>
    <n v="2199976"/>
    <n v="16361"/>
    <n v="49083779354"/>
    <n v="539204431"/>
    <n v="-7.1785459365759072"/>
    <x v="494"/>
    <x v="0"/>
    <x v="1"/>
    <x v="0"/>
  </r>
  <r>
    <x v="527"/>
    <s v="DB (INT) STOCK BROKERS"/>
    <n v="25"/>
    <n v="25.66"/>
    <n v="24.81"/>
    <n v="24.87"/>
    <n v="25.04"/>
    <n v="8156"/>
    <n v="77"/>
    <n v="870450000"/>
    <n v="35000000"/>
    <n v="-0.67891373801916199"/>
    <x v="495"/>
    <x v="0"/>
    <x v="1"/>
    <x v="1"/>
  </r>
  <r>
    <x v="528"/>
    <s v="DISHMAN CARBO AMCIS LTD"/>
    <n v="155.9"/>
    <n v="158"/>
    <n v="141.1"/>
    <n v="142.78"/>
    <n v="158.05000000000001"/>
    <n v="819770"/>
    <n v="10721"/>
    <n v="22385490304"/>
    <n v="156783095"/>
    <n v="-9.6614995254666294"/>
    <x v="496"/>
    <x v="0"/>
    <x v="1"/>
    <x v="1"/>
  </r>
  <r>
    <x v="529"/>
    <s v="DCB BANK LIMITED"/>
    <n v="168"/>
    <n v="168"/>
    <n v="162"/>
    <n v="164.02"/>
    <n v="169.82"/>
    <n v="1842015"/>
    <n v="18675"/>
    <n v="52767250954"/>
    <n v="321712297"/>
    <n v="-3.415380991638195"/>
    <x v="333"/>
    <x v="0"/>
    <x v="2"/>
    <x v="0"/>
  </r>
  <r>
    <x v="530"/>
    <s v="DC INFOTECH AND COMUN LTD"/>
    <n v="284"/>
    <n v="292"/>
    <n v="282.89999999999998"/>
    <n v="284.25"/>
    <n v="282.5"/>
    <n v="25936"/>
    <n v="1055"/>
    <n v="4548000000"/>
    <n v="16000000"/>
    <n v="0.61946902654867253"/>
    <x v="497"/>
    <x v="1"/>
    <x v="1"/>
    <x v="1"/>
  </r>
  <r>
    <x v="531"/>
    <s v="DCM LTD"/>
    <n v="62.4"/>
    <n v="62.4"/>
    <n v="55.12"/>
    <n v="58.52"/>
    <n v="61.24"/>
    <n v="11818"/>
    <n v="248"/>
    <n v="1093021872"/>
    <n v="18677749"/>
    <n v="-4.4415414761593714"/>
    <x v="498"/>
    <x v="0"/>
    <x v="1"/>
    <x v="1"/>
  </r>
  <r>
    <x v="532"/>
    <s v="DCM NOUVELLE LIMITED"/>
    <n v="110.05"/>
    <n v="114.99"/>
    <n v="105.25"/>
    <n v="107.27"/>
    <n v="111.55"/>
    <n v="9287"/>
    <n v="329"/>
    <n v="2003562135"/>
    <n v="18677749"/>
    <n v="-3.8368444643657567"/>
    <x v="142"/>
    <x v="0"/>
    <x v="1"/>
    <x v="1"/>
  </r>
  <r>
    <x v="533"/>
    <s v="DCM SHRIRAM LIMITED"/>
    <n v="1031.5"/>
    <n v="1042.7"/>
    <n v="1000"/>
    <n v="1026.5999999999999"/>
    <n v="1041"/>
    <n v="105018"/>
    <n v="17817"/>
    <n v="160000000000"/>
    <n v="155942296"/>
    <n v="-1.3832853025936687"/>
    <x v="499"/>
    <x v="0"/>
    <x v="2"/>
    <x v="1"/>
  </r>
  <r>
    <x v="534"/>
    <s v="DCM SHRIRAM IND LTD"/>
    <n v="36"/>
    <n v="36.74"/>
    <n v="32.869999999999997"/>
    <n v="33.22"/>
    <n v="35.32"/>
    <n v="221108"/>
    <n v="1537"/>
    <n v="2889880386"/>
    <n v="86992185"/>
    <n v="-5.9456398640996646"/>
    <x v="500"/>
    <x v="0"/>
    <x v="1"/>
    <x v="1"/>
  </r>
  <r>
    <x v="535"/>
    <s v="DCW LTD"/>
    <n v="39.96"/>
    <n v="39.96"/>
    <n v="37.26"/>
    <n v="37.49"/>
    <n v="40.17"/>
    <n v="2049783"/>
    <n v="8136"/>
    <n v="11065361587"/>
    <n v="295155017"/>
    <n v="-6.6716455065969615"/>
    <x v="501"/>
    <x v="0"/>
    <x v="1"/>
    <x v="0"/>
  </r>
  <r>
    <x v="536"/>
    <s v="DCX SYSTEMS LIMITED"/>
    <n v="173"/>
    <n v="187"/>
    <n v="170.6"/>
    <n v="175.19"/>
    <n v="163.72"/>
    <n v="86911179"/>
    <n v="477110"/>
    <n v="19513788146"/>
    <n v="111386427"/>
    <n v="7.0058636696799406"/>
    <x v="502"/>
    <x v="1"/>
    <x v="1"/>
    <x v="0"/>
  </r>
  <r>
    <x v="537"/>
    <s v="DDEV PLASTIKS IND LTD"/>
    <n v="228"/>
    <n v="228"/>
    <n v="214.65"/>
    <n v="215.5"/>
    <n v="229.5"/>
    <n v="182061"/>
    <n v="3751"/>
    <n v="22299221092"/>
    <n v="103476664"/>
    <n v="-6.1002178649237475"/>
    <x v="503"/>
    <x v="0"/>
    <x v="1"/>
    <x v="1"/>
  </r>
  <r>
    <x v="538"/>
    <s v="DECCAN CEMENTS LIMITED"/>
    <n v="635.29999999999995"/>
    <n v="640.29999999999995"/>
    <n v="603"/>
    <n v="605.20000000000005"/>
    <n v="651.75"/>
    <n v="32635"/>
    <n v="1467"/>
    <n v="8477339000"/>
    <n v="14007500"/>
    <n v="-7.1423091676256174"/>
    <x v="6"/>
    <x v="0"/>
    <x v="1"/>
    <x v="1"/>
  </r>
  <r>
    <x v="539"/>
    <s v="DEE DEVELOPMENT ENG LTD"/>
    <n v="265"/>
    <n v="265"/>
    <n v="241.35"/>
    <n v="249.8"/>
    <n v="267.45"/>
    <n v="1675945"/>
    <n v="16494"/>
    <n v="17301982832"/>
    <n v="69263342"/>
    <n v="-6.5993643671714262"/>
    <x v="504"/>
    <x v="0"/>
    <x v="1"/>
    <x v="0"/>
  </r>
  <r>
    <x v="540"/>
    <s v="DEEPAK FERTILIZERS &amp; PETR"/>
    <n v="903"/>
    <n v="905"/>
    <n v="866.4"/>
    <n v="872.1"/>
    <n v="908.55"/>
    <n v="290930"/>
    <n v="20397"/>
    <n v="110000000000"/>
    <n v="126237825"/>
    <n v="-4.0118870728083138"/>
    <x v="505"/>
    <x v="0"/>
    <x v="2"/>
    <x v="1"/>
  </r>
  <r>
    <x v="541"/>
    <s v="DEEPAK NITRITE LTD"/>
    <n v="1380"/>
    <n v="1382.8"/>
    <n v="1312"/>
    <n v="1317.5"/>
    <n v="1390.3"/>
    <n v="195886"/>
    <n v="24620"/>
    <n v="180000000000"/>
    <n v="136393041"/>
    <n v="-5.2362799395813822"/>
    <x v="506"/>
    <x v="0"/>
    <x v="2"/>
    <x v="1"/>
  </r>
  <r>
    <x v="542"/>
    <s v="DEEP INDUSTRIES LIMITED"/>
    <n v="397.15"/>
    <n v="403"/>
    <n v="376.1"/>
    <n v="395.55"/>
    <n v="409.75"/>
    <n v="1200072"/>
    <n v="30706"/>
    <n v="25315200000"/>
    <n v="64000000"/>
    <n v="-3.4655277608297714"/>
    <x v="18"/>
    <x v="0"/>
    <x v="1"/>
    <x v="0"/>
  </r>
  <r>
    <x v="543"/>
    <s v="DELHIVERY LIMITED"/>
    <n v="418.75"/>
    <n v="418.95"/>
    <n v="402"/>
    <n v="411.4"/>
    <n v="422.85"/>
    <n v="1377471"/>
    <n v="35033"/>
    <n v="308000000000"/>
    <n v="748095781"/>
    <n v="-2.7078160104055917"/>
    <x v="507"/>
    <x v="0"/>
    <x v="0"/>
    <x v="0"/>
  </r>
  <r>
    <x v="544"/>
    <s v="DELPHI WORLD MONEY LTD"/>
    <n v="9.6999999999999993"/>
    <n v="9.98"/>
    <n v="8.8000000000000007"/>
    <n v="8.9"/>
    <n v="9.8800000000000008"/>
    <n v="1146304"/>
    <n v="2529"/>
    <n v="2182883198"/>
    <n v="245267775"/>
    <n v="-9.9190283400809758"/>
    <x v="508"/>
    <x v="0"/>
    <x v="1"/>
    <x v="0"/>
  </r>
  <r>
    <x v="545"/>
    <s v="DELTA CORP LIMITED"/>
    <n v="52.5"/>
    <n v="53.09"/>
    <n v="50.1"/>
    <n v="50.49"/>
    <n v="53.89"/>
    <n v="2344608"/>
    <n v="19465"/>
    <n v="13519762688"/>
    <n v="267771097"/>
    <n v="-6.3091482649842243"/>
    <x v="509"/>
    <x v="0"/>
    <x v="1"/>
    <x v="0"/>
  </r>
  <r>
    <x v="546"/>
    <s v="DELTA MANUFACTURING LTD"/>
    <n v="53.1"/>
    <n v="53.99"/>
    <n v="50"/>
    <n v="52.54"/>
    <n v="53.43"/>
    <n v="13549"/>
    <n v="169"/>
    <n v="570117844.79999995"/>
    <n v="10851120"/>
    <n v="-1.6657308628111558"/>
    <x v="510"/>
    <x v="0"/>
    <x v="1"/>
    <x v="1"/>
  </r>
  <r>
    <x v="547"/>
    <s v="DEN NETWORKS LTD"/>
    <n v="25.75"/>
    <n v="25.78"/>
    <n v="25.07"/>
    <n v="25.15"/>
    <n v="25.95"/>
    <n v="606357"/>
    <n v="2566"/>
    <n v="12002179702"/>
    <n v="477223845"/>
    <n v="-3.0828516377649353"/>
    <x v="511"/>
    <x v="0"/>
    <x v="1"/>
    <x v="1"/>
  </r>
  <r>
    <x v="548"/>
    <s v="DE NORA INDIA LIMITED"/>
    <n v="675"/>
    <n v="700"/>
    <n v="663"/>
    <n v="679.25"/>
    <n v="698.25"/>
    <n v="15585"/>
    <n v="1485"/>
    <n v="3605889645"/>
    <n v="5308634"/>
    <n v="-2.7210884353741496"/>
    <x v="512"/>
    <x v="1"/>
    <x v="1"/>
    <x v="1"/>
  </r>
  <r>
    <x v="549"/>
    <s v="DENTA WATER N INFRA SOL L"/>
    <n v="238"/>
    <n v="239.55"/>
    <n v="224.5"/>
    <n v="226.3"/>
    <n v="241.6"/>
    <n v="137247"/>
    <n v="3937"/>
    <n v="6042210000"/>
    <n v="26700000"/>
    <n v="-6.3327814569536356"/>
    <x v="467"/>
    <x v="0"/>
    <x v="1"/>
    <x v="1"/>
  </r>
  <r>
    <x v="550"/>
    <s v="DEV INFO TECHNOLOGY LTD"/>
    <n v="27.58"/>
    <n v="27.58"/>
    <n v="25"/>
    <n v="25.26"/>
    <n v="27.58"/>
    <n v="147633"/>
    <n v="1562"/>
    <n v="1423027986"/>
    <n v="56335233"/>
    <n v="-8.4118926758520551"/>
    <x v="513"/>
    <x v="0"/>
    <x v="1"/>
    <x v="1"/>
  </r>
  <r>
    <x v="551"/>
    <s v="DEV ACCELERATOR LIMITED"/>
    <n v="37.76"/>
    <n v="37.76"/>
    <n v="35.5"/>
    <n v="36.35"/>
    <n v="37.770000000000003"/>
    <n v="118364"/>
    <n v="815"/>
    <n v="3278316170"/>
    <n v="90187515"/>
    <n v="-3.7595975642043991"/>
    <x v="514"/>
    <x v="0"/>
    <x v="1"/>
    <x v="1"/>
  </r>
  <r>
    <x v="552"/>
    <s v="DEVYANI INTERNATIONAL LTD"/>
    <n v="103"/>
    <n v="103.98"/>
    <n v="98.31"/>
    <n v="101.16"/>
    <n v="104.17"/>
    <n v="2919189"/>
    <n v="45171"/>
    <n v="125000000000"/>
    <n v="1232872291"/>
    <n v="-2.8895075357588609"/>
    <x v="515"/>
    <x v="0"/>
    <x v="2"/>
    <x v="0"/>
  </r>
  <r>
    <x v="553"/>
    <s v="DIGICONTENT LIMITED"/>
    <n v="23.99"/>
    <n v="23.99"/>
    <n v="22.4"/>
    <n v="22.7"/>
    <n v="23.97"/>
    <n v="14346"/>
    <n v="121"/>
    <n v="1320846671"/>
    <n v="58187078"/>
    <n v="-5.2982895285773868"/>
    <x v="516"/>
    <x v="0"/>
    <x v="1"/>
    <x v="1"/>
  </r>
  <r>
    <x v="554"/>
    <s v="DHAMPUR SUGAR MILLS LTD."/>
    <n v="125.05"/>
    <n v="127.68"/>
    <n v="120.45"/>
    <n v="121.99"/>
    <n v="126.66"/>
    <n v="495659"/>
    <n v="6902"/>
    <n v="7844751033"/>
    <n v="64306509"/>
    <n v="-3.687036159797886"/>
    <x v="517"/>
    <x v="0"/>
    <x v="1"/>
    <x v="1"/>
  </r>
  <r>
    <x v="555"/>
    <s v="DHANLAXMI BANK LIMITED"/>
    <n v="22.33"/>
    <n v="22.33"/>
    <n v="20.8"/>
    <n v="21.02"/>
    <n v="22.33"/>
    <n v="798812"/>
    <n v="3058"/>
    <n v="8296569848"/>
    <n v="394698851"/>
    <n v="-5.8665472458575856"/>
    <x v="518"/>
    <x v="0"/>
    <x v="1"/>
    <x v="1"/>
  </r>
  <r>
    <x v="556"/>
    <s v="DHANUKA AGRITECH LTD"/>
    <n v="955"/>
    <n v="957.3"/>
    <n v="927"/>
    <n v="931.8"/>
    <n v="962.1"/>
    <n v="45800"/>
    <n v="4166"/>
    <n v="42003982303"/>
    <n v="45078324"/>
    <n v="-3.1493607733083948"/>
    <x v="519"/>
    <x v="0"/>
    <x v="1"/>
    <x v="1"/>
  </r>
  <r>
    <x v="557"/>
    <s v="DHARMAJ CROP GUARD LTD"/>
    <n v="236"/>
    <n v="236.58"/>
    <n v="228"/>
    <n v="230.01"/>
    <n v="240.31"/>
    <n v="94838"/>
    <n v="1765"/>
    <n v="7773716053"/>
    <n v="33797296"/>
    <n v="-4.2861304148807839"/>
    <x v="520"/>
    <x v="0"/>
    <x v="1"/>
    <x v="1"/>
  </r>
  <r>
    <x v="558"/>
    <s v="DHRUV CONSULTANCY SER LTD"/>
    <n v="30.04"/>
    <n v="30.98"/>
    <n v="28.28"/>
    <n v="29.33"/>
    <n v="30.04"/>
    <n v="18076"/>
    <n v="392"/>
    <n v="556289468.79999995"/>
    <n v="18966569"/>
    <n v="-2.3635153129161148"/>
    <x v="521"/>
    <x v="0"/>
    <x v="1"/>
    <x v="1"/>
  </r>
  <r>
    <x v="559"/>
    <s v="DHUNSERI INVESTMENTS LTD"/>
    <n v="769"/>
    <n v="769"/>
    <n v="737"/>
    <n v="746.25"/>
    <n v="766.95"/>
    <n v="2968"/>
    <n v="241"/>
    <n v="4550019083"/>
    <n v="6097178"/>
    <n v="-2.6990025425386328"/>
    <x v="522"/>
    <x v="0"/>
    <x v="1"/>
    <x v="1"/>
  </r>
  <r>
    <x v="560"/>
    <s v="DIAMOND POWER INFRA LTD"/>
    <n v="123.84"/>
    <n v="125.28"/>
    <n v="117.1"/>
    <n v="117.94"/>
    <n v="127.15"/>
    <n v="1650476"/>
    <n v="10037"/>
    <n v="62150966816"/>
    <n v="526971060"/>
    <n v="-7.2434132913881299"/>
    <x v="523"/>
    <x v="0"/>
    <x v="2"/>
    <x v="0"/>
  </r>
  <r>
    <x v="561"/>
    <s v="DIAMINES &amp; CHEMICALS LTD"/>
    <n v="216.78"/>
    <n v="219.98"/>
    <n v="213"/>
    <n v="215.46"/>
    <n v="222.08"/>
    <n v="20292"/>
    <n v="1129"/>
    <n v="2108058485"/>
    <n v="9783990"/>
    <n v="-2.980907780979829"/>
    <x v="524"/>
    <x v="0"/>
    <x v="1"/>
    <x v="1"/>
  </r>
  <r>
    <x v="562"/>
    <s v="PRATAAP SNACKS LIMITED"/>
    <n v="889.9"/>
    <n v="906"/>
    <n v="860.7"/>
    <n v="879.2"/>
    <n v="908"/>
    <n v="63592"/>
    <n v="1970"/>
    <n v="21013696777"/>
    <n v="23900929"/>
    <n v="-3.1718061674008755"/>
    <x v="525"/>
    <x v="0"/>
    <x v="1"/>
    <x v="1"/>
  </r>
  <r>
    <x v="563"/>
    <s v="DIC INDIA LIMITED"/>
    <n v="496"/>
    <n v="538"/>
    <n v="488.5"/>
    <n v="492.05"/>
    <n v="497.75"/>
    <n v="1081"/>
    <n v="136"/>
    <n v="4516515633"/>
    <n v="9178977"/>
    <n v="-1.1451531893520821"/>
    <x v="526"/>
    <x v="0"/>
    <x v="1"/>
    <x v="1"/>
  </r>
  <r>
    <x v="564"/>
    <s v="DIFFUSION ENGINEERS LTD"/>
    <n v="254.7"/>
    <n v="262"/>
    <n v="245.55"/>
    <n v="259.89999999999998"/>
    <n v="254.9"/>
    <n v="232729"/>
    <n v="4772"/>
    <n v="9727084714"/>
    <n v="37426259"/>
    <n v="1.9615535504119148"/>
    <x v="527"/>
    <x v="1"/>
    <x v="1"/>
    <x v="1"/>
  </r>
  <r>
    <x v="565"/>
    <s v="DIGIDRIVE DISTRIBUTORS L"/>
    <n v="20"/>
    <n v="20.2"/>
    <n v="19.010000000000002"/>
    <n v="19.670000000000002"/>
    <n v="20.079999999999998"/>
    <n v="60846"/>
    <n v="280"/>
    <n v="758512533.70000005"/>
    <n v="38561898"/>
    <n v="-2.0418326693226923"/>
    <x v="528"/>
    <x v="0"/>
    <x v="1"/>
    <x v="1"/>
  </r>
  <r>
    <x v="566"/>
    <s v="DIGISPICE TECHNOLOGIES LT"/>
    <n v="16.920000000000002"/>
    <n v="17.100000000000001"/>
    <n v="16.5"/>
    <n v="16.91"/>
    <n v="16.920000000000002"/>
    <n v="160958"/>
    <n v="443"/>
    <n v="3964906402"/>
    <n v="234471106"/>
    <n v="-5.9101654846344935E-2"/>
    <x v="529"/>
    <x v="0"/>
    <x v="1"/>
    <x v="1"/>
  </r>
  <r>
    <x v="567"/>
    <s v="DIGITIDE SOLUTIONS LTD"/>
    <n v="72.099999999999994"/>
    <n v="76.98"/>
    <n v="69.900000000000006"/>
    <n v="73.02"/>
    <n v="72.86"/>
    <n v="1548560"/>
    <n v="11421"/>
    <n v="10876286137"/>
    <n v="148949413"/>
    <n v="0.21959923140268539"/>
    <x v="530"/>
    <x v="1"/>
    <x v="1"/>
    <x v="0"/>
  </r>
  <r>
    <x v="568"/>
    <s v="DIGJAM LTD"/>
    <n v="38.44"/>
    <n v="39.71"/>
    <n v="38.049999999999997"/>
    <n v="38.96"/>
    <n v="38.630000000000003"/>
    <n v="5569"/>
    <n v="73"/>
    <n v="779200000"/>
    <n v="20000000"/>
    <n v="0.85425834843385529"/>
    <x v="531"/>
    <x v="1"/>
    <x v="1"/>
    <x v="1"/>
  </r>
  <r>
    <x v="569"/>
    <s v="DISH TV INDIA LTD."/>
    <n v="2.2400000000000002"/>
    <n v="2.2599999999999998"/>
    <n v="2.09"/>
    <n v="2.1"/>
    <n v="2.2400000000000002"/>
    <n v="13213730"/>
    <n v="3495"/>
    <n v="3866637713"/>
    <n v="1841256054"/>
    <n v="-6.2500000000000053"/>
    <x v="532"/>
    <x v="0"/>
    <x v="1"/>
    <x v="0"/>
  </r>
  <r>
    <x v="570"/>
    <s v="DIVGI TORQTRANSFER SYST L"/>
    <n v="701.5"/>
    <n v="704"/>
    <n v="647.4"/>
    <n v="658.55"/>
    <n v="705"/>
    <n v="21719"/>
    <n v="1926"/>
    <n v="20140386576"/>
    <n v="30582927"/>
    <n v="-6.5886524822695094"/>
    <x v="533"/>
    <x v="0"/>
    <x v="1"/>
    <x v="1"/>
  </r>
  <r>
    <x v="571"/>
    <s v="DIXON TECHNO (INDIA) LTD"/>
    <n v="10200"/>
    <n v="10200"/>
    <n v="9800"/>
    <n v="9894"/>
    <n v="10342"/>
    <n v="685766"/>
    <n v="108041"/>
    <n v="600000000000"/>
    <n v="60685743"/>
    <n v="-4.3318507058596012"/>
    <x v="534"/>
    <x v="0"/>
    <x v="0"/>
    <x v="1"/>
  </r>
  <r>
    <x v="572"/>
    <s v="D-LINK INDIA LTD"/>
    <n v="389"/>
    <n v="393.9"/>
    <n v="378"/>
    <n v="381.95"/>
    <n v="394.1"/>
    <n v="69723"/>
    <n v="3482"/>
    <n v="13561077458"/>
    <n v="35504850"/>
    <n v="-3.0829738645014042"/>
    <x v="535"/>
    <x v="0"/>
    <x v="1"/>
    <x v="1"/>
  </r>
  <r>
    <x v="573"/>
    <s v="DMCC SPECIALITY CHEMICALS"/>
    <n v="220"/>
    <n v="220"/>
    <n v="197"/>
    <n v="200.21"/>
    <n v="219.2"/>
    <n v="56038"/>
    <n v="2223"/>
    <n v="4993223986"/>
    <n v="24939933"/>
    <n v="-8.6633211678832041"/>
    <x v="536"/>
    <x v="0"/>
    <x v="1"/>
    <x v="1"/>
  </r>
  <r>
    <x v="574"/>
    <s v="DILIGENT MEDIA CORP LTD."/>
    <n v="3.25"/>
    <n v="3.34"/>
    <n v="2.97"/>
    <n v="2.99"/>
    <n v="3.29"/>
    <n v="134897"/>
    <n v="723"/>
    <n v="351946973.80000001"/>
    <n v="117708018"/>
    <n v="-9.1185410334346439"/>
    <x v="537"/>
    <x v="0"/>
    <x v="1"/>
    <x v="1"/>
  </r>
  <r>
    <x v="575"/>
    <s v="DODLA DAIRY LIMITED"/>
    <n v="1009"/>
    <n v="1010"/>
    <n v="981"/>
    <n v="985.2"/>
    <n v="1014.3"/>
    <n v="21267"/>
    <n v="2407"/>
    <n v="59434957427"/>
    <n v="60327809"/>
    <n v="-2.8689736764270837"/>
    <x v="538"/>
    <x v="0"/>
    <x v="2"/>
    <x v="1"/>
  </r>
  <r>
    <x v="576"/>
    <s v="DOLAT ALGOTECH LIMITED"/>
    <n v="71.989999999999995"/>
    <n v="71.989999999999995"/>
    <n v="69.45"/>
    <n v="69.760000000000005"/>
    <n v="71.319999999999993"/>
    <n v="208203"/>
    <n v="1960"/>
    <n v="12277760000"/>
    <n v="176000000"/>
    <n v="-2.1873247335950481"/>
    <x v="539"/>
    <x v="0"/>
    <x v="1"/>
    <x v="1"/>
  </r>
  <r>
    <x v="577"/>
    <s v="DOLLAR INDUSTRIES LIMITED"/>
    <n v="256"/>
    <n v="256.14999999999998"/>
    <n v="240.1"/>
    <n v="243.7"/>
    <n v="260.05"/>
    <n v="73283"/>
    <n v="2582"/>
    <n v="13821718444"/>
    <n v="56716120"/>
    <n v="-6.2872524514516526"/>
    <x v="540"/>
    <x v="0"/>
    <x v="1"/>
    <x v="1"/>
  </r>
  <r>
    <x v="578"/>
    <s v="DOLPHIN OFF ENT (IND) L"/>
    <n v="385.75"/>
    <n v="395"/>
    <n v="366.35"/>
    <n v="374.8"/>
    <n v="384.7"/>
    <n v="96370"/>
    <n v="4497"/>
    <n v="14993716584"/>
    <n v="40004580"/>
    <n v="-2.573433844554192"/>
    <x v="541"/>
    <x v="0"/>
    <x v="1"/>
    <x v="1"/>
  </r>
  <r>
    <x v="579"/>
    <s v="DOMS INDUSTRIES LIMITED"/>
    <n v="2221.6"/>
    <n v="2238.6999999999998"/>
    <n v="2177.6"/>
    <n v="2209.1999999999998"/>
    <n v="2278.8000000000002"/>
    <n v="87915"/>
    <n v="20728"/>
    <n v="134000000000"/>
    <n v="60687811"/>
    <n v="-3.0542390731964351"/>
    <x v="542"/>
    <x v="0"/>
    <x v="2"/>
    <x v="1"/>
  </r>
  <r>
    <x v="580"/>
    <s v="DONEAR IND. LIMITED"/>
    <n v="83.13"/>
    <n v="85.06"/>
    <n v="82"/>
    <n v="82.8"/>
    <n v="86"/>
    <n v="42194"/>
    <n v="580"/>
    <n v="4305600000"/>
    <n v="52000000"/>
    <n v="-3.720930232558143"/>
    <x v="543"/>
    <x v="0"/>
    <x v="1"/>
    <x v="1"/>
  </r>
  <r>
    <x v="581"/>
    <s v="D. P. ABHUSHAN LIMITED"/>
    <n v="990.5"/>
    <n v="1009.4"/>
    <n v="950"/>
    <n v="957.7"/>
    <n v="1025.5"/>
    <n v="31033"/>
    <n v="1874"/>
    <n v="21862298984"/>
    <n v="22827920"/>
    <n v="-6.6114090687469487"/>
    <x v="544"/>
    <x v="0"/>
    <x v="1"/>
    <x v="1"/>
  </r>
  <r>
    <x v="582"/>
    <s v="DPSC LIMITED"/>
    <n v="7.98"/>
    <n v="7.98"/>
    <n v="7.22"/>
    <n v="7.52"/>
    <n v="7.96"/>
    <n v="250713"/>
    <n v="1836"/>
    <n v="7322898093"/>
    <n v="973789640"/>
    <n v="-5.5276381909547787"/>
    <x v="545"/>
    <x v="0"/>
    <x v="1"/>
    <x v="1"/>
  </r>
  <r>
    <x v="583"/>
    <s v="D P WIRES LIMITED"/>
    <n v="142.01"/>
    <n v="142.1"/>
    <n v="139"/>
    <n v="139.88999999999999"/>
    <n v="143.09"/>
    <n v="14182"/>
    <n v="396"/>
    <n v="2169174349"/>
    <n v="15506286"/>
    <n v="-2.2363547417709255"/>
    <x v="546"/>
    <x v="0"/>
    <x v="1"/>
    <x v="1"/>
  </r>
  <r>
    <x v="584"/>
    <s v="DRC SYSTEMS INDIA LIMITED"/>
    <n v="13.21"/>
    <n v="13.64"/>
    <n v="12.7"/>
    <n v="12.87"/>
    <n v="13.2"/>
    <n v="64619"/>
    <n v="404"/>
    <n v="1854326717"/>
    <n v="144081330"/>
    <n v="-2.5000000000000009"/>
    <x v="547"/>
    <x v="0"/>
    <x v="1"/>
    <x v="1"/>
  </r>
  <r>
    <x v="585"/>
    <s v="DREAMFOLKS SERVICES LTD"/>
    <n v="70"/>
    <n v="70"/>
    <n v="64.8"/>
    <n v="65.069999999999993"/>
    <n v="70.61"/>
    <n v="213133"/>
    <n v="3545"/>
    <n v="3466269920"/>
    <n v="53269862"/>
    <n v="-7.8459141764622666"/>
    <x v="143"/>
    <x v="0"/>
    <x v="1"/>
    <x v="1"/>
  </r>
  <r>
    <x v="586"/>
    <s v="DREDGING CORP OF INDIA"/>
    <n v="870.05"/>
    <n v="870.05"/>
    <n v="817"/>
    <n v="825.5"/>
    <n v="878.15"/>
    <n v="139554"/>
    <n v="7232"/>
    <n v="23114000000"/>
    <n v="28000000"/>
    <n v="-5.9955588452997759"/>
    <x v="548"/>
    <x v="0"/>
    <x v="1"/>
    <x v="1"/>
  </r>
  <r>
    <x v="587"/>
    <s v="DCM SHRIRAM FINE CHEM LTD"/>
    <n v="23.48"/>
    <n v="23.48"/>
    <n v="20.85"/>
    <n v="21"/>
    <n v="21.96"/>
    <n v="170033"/>
    <n v="754"/>
    <n v="1826835885"/>
    <n v="86992185"/>
    <n v="-4.371584699453555"/>
    <x v="549"/>
    <x v="0"/>
    <x v="1"/>
    <x v="1"/>
  </r>
  <r>
    <x v="588"/>
    <s v="DYNACONS SYS &amp; SOLN LTD"/>
    <n v="881.6"/>
    <n v="889.2"/>
    <n v="868"/>
    <n v="871.75"/>
    <n v="897.6"/>
    <n v="27856"/>
    <n v="2103"/>
    <n v="11093306428"/>
    <n v="12725330"/>
    <n v="-2.8799019607843164"/>
    <x v="550"/>
    <x v="0"/>
    <x v="1"/>
    <x v="1"/>
  </r>
  <r>
    <x v="589"/>
    <s v="DHUNSERI TEA &amp; IND. LTD."/>
    <n v="126"/>
    <n v="126"/>
    <n v="120.5"/>
    <n v="122.22"/>
    <n v="127.09"/>
    <n v="2917"/>
    <n v="141"/>
    <n v="1284217728"/>
    <n v="10507427"/>
    <n v="-3.83193012825557"/>
    <x v="86"/>
    <x v="0"/>
    <x v="1"/>
    <x v="1"/>
  </r>
  <r>
    <x v="590"/>
    <s v="DUCON INFRATECHNOLOGIES L"/>
    <n v="2.83"/>
    <n v="2.94"/>
    <n v="2.78"/>
    <n v="2.81"/>
    <n v="2.93"/>
    <n v="602622"/>
    <n v="840"/>
    <n v="913040899.5"/>
    <n v="324925587"/>
    <n v="-4.0955631399317438"/>
    <x v="551"/>
    <x v="0"/>
    <x v="1"/>
    <x v="1"/>
  </r>
  <r>
    <x v="591"/>
    <s v="DHUNSERI VENTURES LIMITED"/>
    <n v="207.2"/>
    <n v="209.6"/>
    <n v="202.2"/>
    <n v="203.04"/>
    <n v="209.71"/>
    <n v="52469"/>
    <n v="466"/>
    <n v="7111426052"/>
    <n v="35024754"/>
    <n v="-3.1805827094559231"/>
    <x v="317"/>
    <x v="0"/>
    <x v="1"/>
    <x v="1"/>
  </r>
  <r>
    <x v="592"/>
    <s v="DWARIKESH SUGAR IND LTD"/>
    <n v="39.840000000000003"/>
    <n v="39.840000000000003"/>
    <n v="37.76"/>
    <n v="37.89"/>
    <n v="39.68"/>
    <n v="900980"/>
    <n v="4434"/>
    <n v="7021072698"/>
    <n v="185301470"/>
    <n v="-4.5110887096774173"/>
    <x v="552"/>
    <x v="0"/>
    <x v="1"/>
    <x v="1"/>
  </r>
  <r>
    <x v="593"/>
    <s v="DYNAMIC CABLES LIMITED"/>
    <n v="268.14999999999998"/>
    <n v="268.14999999999998"/>
    <n v="250"/>
    <n v="253.25"/>
    <n v="269.45"/>
    <n v="186998"/>
    <n v="5201"/>
    <n v="12272150074"/>
    <n v="48458638"/>
    <n v="-6.0122471701614364"/>
    <x v="553"/>
    <x v="0"/>
    <x v="1"/>
    <x v="1"/>
  </r>
  <r>
    <x v="594"/>
    <s v="DYNAMATIC TECHNOLOGIES"/>
    <n v="9567"/>
    <n v="9567"/>
    <n v="9220"/>
    <n v="9420"/>
    <n v="9701"/>
    <n v="16014"/>
    <n v="5721"/>
    <n v="63975393060"/>
    <n v="6791443"/>
    <n v="-2.8966085970518507"/>
    <x v="554"/>
    <x v="0"/>
    <x v="2"/>
    <x v="1"/>
  </r>
  <r>
    <x v="595"/>
    <s v="DYNEMIC PRODUCTS LIMITED"/>
    <n v="221.24"/>
    <n v="232.98"/>
    <n v="211.82"/>
    <n v="229.43"/>
    <n v="220.13"/>
    <n v="45475"/>
    <n v="1465"/>
    <n v="2851444829"/>
    <n v="12428387"/>
    <n v="4.2247762685685784"/>
    <x v="555"/>
    <x v="1"/>
    <x v="1"/>
    <x v="1"/>
  </r>
  <r>
    <x v="596"/>
    <s v="EASY TRIP PLANNERS LTD"/>
    <n v="6.81"/>
    <n v="6.85"/>
    <n v="6.32"/>
    <n v="6.47"/>
    <n v="6.85"/>
    <n v="15766426"/>
    <n v="15544"/>
    <n v="23530440126"/>
    <n v="3636853188"/>
    <n v="-5.5474452554744511"/>
    <x v="556"/>
    <x v="0"/>
    <x v="1"/>
    <x v="0"/>
  </r>
  <r>
    <x v="597"/>
    <s v="GNG ELECTRONICS LIMITED"/>
    <n v="380.5"/>
    <n v="381.4"/>
    <n v="364"/>
    <n v="374.15"/>
    <n v="380.35"/>
    <n v="331214"/>
    <n v="9922"/>
    <n v="42657409086"/>
    <n v="114011517"/>
    <n v="-1.6300775601419866"/>
    <x v="557"/>
    <x v="0"/>
    <x v="1"/>
    <x v="1"/>
  </r>
  <r>
    <x v="598"/>
    <s v="ECLERX SERVICES LTD"/>
    <n v="1455"/>
    <n v="1471.1"/>
    <n v="1400"/>
    <n v="1403.7"/>
    <n v="1469"/>
    <n v="189724"/>
    <n v="23259"/>
    <n v="134000000000"/>
    <n v="95300720"/>
    <n v="-4.4452008168822301"/>
    <x v="558"/>
    <x v="0"/>
    <x v="2"/>
    <x v="1"/>
  </r>
  <r>
    <x v="599"/>
    <s v="ECOS (INDIA) MOB &amp; HOSP L"/>
    <n v="110.2"/>
    <n v="110.88"/>
    <n v="105.05"/>
    <n v="106.75"/>
    <n v="111.86"/>
    <n v="1347265"/>
    <n v="21954"/>
    <n v="6405000000"/>
    <n v="60000000"/>
    <n v="-4.5682102628285346"/>
    <x v="202"/>
    <x v="0"/>
    <x v="1"/>
    <x v="0"/>
  </r>
  <r>
    <x v="600"/>
    <s v="EDELWEISS FIN SERV LTD"/>
    <n v="103.6"/>
    <n v="103.87"/>
    <n v="100.46"/>
    <n v="102.19"/>
    <n v="104.7"/>
    <n v="5436940"/>
    <n v="34987"/>
    <n v="96720108980"/>
    <n v="946473324"/>
    <n v="-2.3973256924546371"/>
    <x v="559"/>
    <x v="0"/>
    <x v="2"/>
    <x v="0"/>
  </r>
  <r>
    <x v="601"/>
    <s v="EFC (I) LIMITED"/>
    <n v="192.91"/>
    <n v="194.38"/>
    <n v="181.98"/>
    <n v="183.43"/>
    <n v="195.85"/>
    <n v="586671"/>
    <n v="7702"/>
    <n v="25181889660"/>
    <n v="137283376"/>
    <n v="-6.3415879499616992"/>
    <x v="560"/>
    <x v="0"/>
    <x v="1"/>
    <x v="1"/>
  </r>
  <r>
    <x v="602"/>
    <s v="EID PARRY INDIA LTD"/>
    <n v="789.05"/>
    <n v="789.05"/>
    <n v="750.95"/>
    <n v="765.85"/>
    <n v="789.05"/>
    <n v="220921"/>
    <n v="15674"/>
    <n v="136000000000"/>
    <n v="177872717"/>
    <n v="-2.9402445979342162"/>
    <x v="561"/>
    <x v="0"/>
    <x v="2"/>
    <x v="1"/>
  </r>
  <r>
    <x v="603"/>
    <s v="ENVIRO INFRA ENGINEERS L"/>
    <n v="146"/>
    <n v="146.01"/>
    <n v="139.38"/>
    <n v="141.88"/>
    <n v="147.86000000000001"/>
    <n v="1226439"/>
    <n v="19816"/>
    <n v="24904196400"/>
    <n v="175530000"/>
    <n v="-4.0443662924388049"/>
    <x v="562"/>
    <x v="0"/>
    <x v="1"/>
    <x v="0"/>
  </r>
  <r>
    <x v="604"/>
    <s v="EURO (I) FRESH FOODS LTD"/>
    <n v="236"/>
    <n v="236"/>
    <n v="209"/>
    <n v="228.74"/>
    <n v="231.92"/>
    <n v="117087"/>
    <n v="3449"/>
    <n v="5672752000"/>
    <n v="24800000"/>
    <n v="-1.3711624698171692"/>
    <x v="114"/>
    <x v="0"/>
    <x v="1"/>
    <x v="1"/>
  </r>
  <r>
    <x v="605"/>
    <s v="EIH ASSOCIATED HOTELS LTD"/>
    <n v="294.95"/>
    <n v="302.2"/>
    <n v="279.10000000000002"/>
    <n v="281.75"/>
    <n v="301.7"/>
    <n v="76596"/>
    <n v="2843"/>
    <n v="17168800835"/>
    <n v="60936294"/>
    <n v="-6.6125290023201817"/>
    <x v="563"/>
    <x v="0"/>
    <x v="1"/>
    <x v="1"/>
  </r>
  <r>
    <x v="606"/>
    <s v="EIH LIMITED"/>
    <n v="303"/>
    <n v="308"/>
    <n v="288.2"/>
    <n v="291.8"/>
    <n v="309.5"/>
    <n v="305138"/>
    <n v="14769"/>
    <n v="182000000000"/>
    <n v="625364182"/>
    <n v="-5.7189014539579937"/>
    <x v="472"/>
    <x v="0"/>
    <x v="2"/>
    <x v="1"/>
  </r>
  <r>
    <x v="607"/>
    <s v="EIMCO ELECON (INDIA) LTD"/>
    <n v="1534.5"/>
    <n v="1554.5"/>
    <n v="1480.1"/>
    <n v="1495.2"/>
    <n v="1565.7"/>
    <n v="20620"/>
    <n v="2093"/>
    <n v="8624889252"/>
    <n v="5768385"/>
    <n v="-4.5027783100210765"/>
    <x v="564"/>
    <x v="0"/>
    <x v="1"/>
    <x v="1"/>
  </r>
  <r>
    <x v="608"/>
    <s v="EVEREST KANTO CYLINDERLTD"/>
    <n v="102.1"/>
    <n v="103"/>
    <n v="99.72"/>
    <n v="100.23"/>
    <n v="104.09"/>
    <n v="250097"/>
    <n v="2445"/>
    <n v="11246575967"/>
    <n v="112207682"/>
    <n v="-3.7083293303871638"/>
    <x v="565"/>
    <x v="0"/>
    <x v="1"/>
    <x v="1"/>
  </r>
  <r>
    <x v="609"/>
    <s v="ELDECO HSG &amp; IND LTD."/>
    <n v="835"/>
    <n v="835"/>
    <n v="747"/>
    <n v="777.85"/>
    <n v="811.65"/>
    <n v="2925"/>
    <n v="210"/>
    <n v="7648599050"/>
    <n v="9833000"/>
    <n v="-4.1643565576295147"/>
    <x v="566"/>
    <x v="0"/>
    <x v="1"/>
    <x v="1"/>
  </r>
  <r>
    <x v="610"/>
    <s v="ELECON ENG. CO. LTD"/>
    <n v="388.85"/>
    <n v="388.85"/>
    <n v="372.5"/>
    <n v="379.05"/>
    <n v="389.85"/>
    <n v="416909"/>
    <n v="17930"/>
    <n v="85058793467"/>
    <n v="224399930"/>
    <n v="-2.7702962677953087"/>
    <x v="567"/>
    <x v="0"/>
    <x v="2"/>
    <x v="1"/>
  </r>
  <r>
    <x v="611"/>
    <s v="ELECTROSTEEL CASTINGS LTD"/>
    <n v="73.95"/>
    <n v="73.95"/>
    <n v="70.010000000000005"/>
    <n v="70.5"/>
    <n v="74.83"/>
    <n v="2606235"/>
    <n v="12890"/>
    <n v="43582013666"/>
    <n v="618184591"/>
    <n v="-5.7864492850461025"/>
    <x v="568"/>
    <x v="0"/>
    <x v="1"/>
    <x v="0"/>
  </r>
  <r>
    <x v="612"/>
    <s v="ELECTROTHERM (I) LTD."/>
    <n v="647.79999999999995"/>
    <n v="648.1"/>
    <n v="580.25"/>
    <n v="590.85"/>
    <n v="657.65"/>
    <n v="68608"/>
    <n v="3270"/>
    <n v="7529091652"/>
    <n v="12742814"/>
    <n v="-10.157378544818666"/>
    <x v="569"/>
    <x v="0"/>
    <x v="1"/>
    <x v="1"/>
  </r>
  <r>
    <x v="613"/>
    <s v="ELGI EQUIPMENTS LTD"/>
    <n v="478.15"/>
    <n v="486.4"/>
    <n v="455"/>
    <n v="476.05"/>
    <n v="480.05"/>
    <n v="1123776"/>
    <n v="28934"/>
    <n v="151000000000"/>
    <n v="316909016"/>
    <n v="-0.83324653681908134"/>
    <x v="570"/>
    <x v="0"/>
    <x v="2"/>
    <x v="0"/>
  </r>
  <r>
    <x v="614"/>
    <s v="ELGI RUBBER CO. LTD"/>
    <n v="37.020000000000003"/>
    <n v="39"/>
    <n v="36.01"/>
    <n v="36.99"/>
    <n v="38.130000000000003"/>
    <n v="70533"/>
    <n v="565"/>
    <n v="1851349500"/>
    <n v="50050000"/>
    <n v="-2.9897718332022043"/>
    <x v="509"/>
    <x v="0"/>
    <x v="1"/>
    <x v="1"/>
  </r>
  <r>
    <x v="615"/>
    <s v="ELIN ELECTRONICS LIMITED"/>
    <n v="117"/>
    <n v="117"/>
    <n v="109.2"/>
    <n v="109.78"/>
    <n v="117"/>
    <n v="168426"/>
    <n v="2297"/>
    <n v="5451589172"/>
    <n v="49659220"/>
    <n v="-6.1709401709401703"/>
    <x v="571"/>
    <x v="0"/>
    <x v="1"/>
    <x v="1"/>
  </r>
  <r>
    <x v="616"/>
    <s v="ELLENBARRIE INDUS GASES L"/>
    <n v="195"/>
    <n v="195.72"/>
    <n v="181"/>
    <n v="185.39"/>
    <n v="197.99"/>
    <n v="311874"/>
    <n v="6879"/>
    <n v="26128050884"/>
    <n v="140935600"/>
    <n v="-6.3639577756452459"/>
    <x v="572"/>
    <x v="0"/>
    <x v="1"/>
    <x v="1"/>
  </r>
  <r>
    <x v="617"/>
    <s v="EMAMI LIMITED"/>
    <n v="401.9"/>
    <n v="416.95"/>
    <n v="395.45"/>
    <n v="401.7"/>
    <n v="402.75"/>
    <n v="2160233"/>
    <n v="60274"/>
    <n v="175000000000"/>
    <n v="436500000"/>
    <n v="-0.26070763500931377"/>
    <x v="452"/>
    <x v="0"/>
    <x v="2"/>
    <x v="0"/>
  </r>
  <r>
    <x v="618"/>
    <s v="EMAMI PAPER MILLS LIMITED"/>
    <n v="69.19"/>
    <n v="69.19"/>
    <n v="64"/>
    <n v="64.739999999999995"/>
    <n v="68.260000000000005"/>
    <n v="25060"/>
    <n v="614"/>
    <n v="3916708497"/>
    <n v="60499050"/>
    <n v="-5.1567535892177112"/>
    <x v="573"/>
    <x v="0"/>
    <x v="1"/>
    <x v="1"/>
  </r>
  <r>
    <x v="619"/>
    <s v="EMAMI REALTY LIMITED"/>
    <n v="60.5"/>
    <n v="60.5"/>
    <n v="48.2"/>
    <n v="53.88"/>
    <n v="60.1"/>
    <n v="78310"/>
    <n v="508"/>
    <n v="2361769939"/>
    <n v="43833889"/>
    <n v="-10.349417637271213"/>
    <x v="574"/>
    <x v="0"/>
    <x v="1"/>
    <x v="1"/>
  </r>
  <r>
    <x v="620"/>
    <s v="EMCURE PHARMACEUTICALS L"/>
    <n v="1468.2"/>
    <n v="1486"/>
    <n v="1443.8"/>
    <n v="1471.6"/>
    <n v="1478.2"/>
    <n v="120178"/>
    <n v="17006"/>
    <n v="279000000000"/>
    <n v="189564847"/>
    <n v="-0.44648897307537116"/>
    <x v="575"/>
    <x v="1"/>
    <x v="0"/>
    <x v="1"/>
  </r>
  <r>
    <x v="621"/>
    <s v="ELECTRONICS MART IND LTD"/>
    <n v="91"/>
    <n v="91.21"/>
    <n v="85.09"/>
    <n v="85.58"/>
    <n v="92.01"/>
    <n v="400938"/>
    <n v="6639"/>
    <n v="32926799052"/>
    <n v="384748762"/>
    <n v="-6.9883708292576969"/>
    <x v="576"/>
    <x v="0"/>
    <x v="1"/>
    <x v="1"/>
  </r>
  <r>
    <x v="622"/>
    <s v="EMKAY GLOBAL FIN SERV LTD"/>
    <n v="212.02"/>
    <n v="218.48"/>
    <n v="206.6"/>
    <n v="209.48"/>
    <n v="222.67"/>
    <n v="40749"/>
    <n v="760"/>
    <n v="5369488349"/>
    <n v="25632463"/>
    <n v="-5.9235640185027165"/>
    <x v="577"/>
    <x v="0"/>
    <x v="1"/>
    <x v="1"/>
  </r>
  <r>
    <x v="623"/>
    <s v="EMMBI INDUSTRIES LIMITED"/>
    <n v="75.97"/>
    <n v="75.97"/>
    <n v="70.22"/>
    <n v="71.66"/>
    <n v="76.3"/>
    <n v="20211"/>
    <n v="575"/>
    <n v="1378756315"/>
    <n v="19240250"/>
    <n v="-6.0812581913499359"/>
    <x v="578"/>
    <x v="0"/>
    <x v="1"/>
    <x v="1"/>
  </r>
  <r>
    <x v="624"/>
    <s v="EMMVEE PHOTOVOLTAIC PWR L"/>
    <n v="226.99"/>
    <n v="226.99"/>
    <n v="215.1"/>
    <n v="218.16"/>
    <n v="228.57"/>
    <n v="1689434"/>
    <n v="26946"/>
    <n v="151000000000"/>
    <n v="692345033"/>
    <n v="-4.5544034650216547"/>
    <x v="579"/>
    <x v="0"/>
    <x v="2"/>
    <x v="0"/>
  </r>
  <r>
    <x v="625"/>
    <s v="EMS LIMITED"/>
    <n v="295"/>
    <n v="295"/>
    <n v="275.60000000000002"/>
    <n v="279.95"/>
    <n v="297"/>
    <n v="288605"/>
    <n v="8941"/>
    <n v="15545849420"/>
    <n v="55530807"/>
    <n v="-5.7407407407407449"/>
    <x v="580"/>
    <x v="0"/>
    <x v="1"/>
    <x v="1"/>
  </r>
  <r>
    <x v="626"/>
    <s v="EMUDHRA LIMITED"/>
    <n v="393.55"/>
    <n v="393.55"/>
    <n v="375.65"/>
    <n v="383.2"/>
    <n v="395.45"/>
    <n v="157958"/>
    <n v="7364"/>
    <n v="31733446122"/>
    <n v="82811707"/>
    <n v="-3.0977367555948923"/>
    <x v="581"/>
    <x v="0"/>
    <x v="1"/>
    <x v="1"/>
  </r>
  <r>
    <x v="627"/>
    <s v="ENDURANCE TECHNO. LTD."/>
    <n v="2257.1"/>
    <n v="2257.1"/>
    <n v="2189.8000000000002"/>
    <n v="2209.6"/>
    <n v="2280.3000000000002"/>
    <n v="91117"/>
    <n v="16664"/>
    <n v="311000000000"/>
    <n v="140662848"/>
    <n v="-3.1004692365039803"/>
    <x v="582"/>
    <x v="0"/>
    <x v="0"/>
    <x v="1"/>
  </r>
  <r>
    <x v="628"/>
    <s v="ENERGY DEVE. CO.LTD"/>
    <n v="15.05"/>
    <n v="15.66"/>
    <n v="14.41"/>
    <n v="14.45"/>
    <n v="15.13"/>
    <n v="56308"/>
    <n v="369"/>
    <n v="686375000"/>
    <n v="47500000"/>
    <n v="-4.4943820224719193"/>
    <x v="583"/>
    <x v="0"/>
    <x v="1"/>
    <x v="1"/>
  </r>
  <r>
    <x v="629"/>
    <s v="ENGINEERS INDIA LTD"/>
    <n v="188"/>
    <n v="189.81"/>
    <n v="179.01"/>
    <n v="181.29"/>
    <n v="191.64"/>
    <n v="3151165"/>
    <n v="35631"/>
    <n v="102000000000"/>
    <n v="562042373"/>
    <n v="-5.4007514088916695"/>
    <x v="584"/>
    <x v="0"/>
    <x v="2"/>
    <x v="0"/>
  </r>
  <r>
    <x v="630"/>
    <s v="ENTERTAIN NET. IND. LTD."/>
    <n v="104.9"/>
    <n v="106.24"/>
    <n v="104.9"/>
    <n v="105.01"/>
    <n v="105.86"/>
    <n v="25210"/>
    <n v="215"/>
    <n v="5005870279"/>
    <n v="47670415"/>
    <n v="-0.80294728887208988"/>
    <x v="585"/>
    <x v="1"/>
    <x v="1"/>
    <x v="1"/>
  </r>
  <r>
    <x v="631"/>
    <s v="ENTERO HEALTHCARE SOLU L"/>
    <n v="1124.9000000000001"/>
    <n v="1188.7"/>
    <n v="1088.5999999999999"/>
    <n v="1161.3"/>
    <n v="1120.9000000000001"/>
    <n v="317933"/>
    <n v="20138"/>
    <n v="50529251138"/>
    <n v="43510937"/>
    <n v="3.6042465875635523"/>
    <x v="586"/>
    <x v="1"/>
    <x v="2"/>
    <x v="1"/>
  </r>
  <r>
    <x v="632"/>
    <s v="EPACK DURABLE LIMITED"/>
    <n v="232.68"/>
    <n v="232.68"/>
    <n v="220.25"/>
    <n v="222.6"/>
    <n v="234.7"/>
    <n v="780643"/>
    <n v="11874"/>
    <n v="21420458980"/>
    <n v="96228477"/>
    <n v="-5.15551768214742"/>
    <x v="587"/>
    <x v="0"/>
    <x v="1"/>
    <x v="1"/>
  </r>
  <r>
    <x v="633"/>
    <s v="EPACK PREFAB TECHN LTD"/>
    <n v="144.61000000000001"/>
    <n v="146.43"/>
    <n v="141.24"/>
    <n v="141.5"/>
    <n v="148.66999999999999"/>
    <n v="454005"/>
    <n v="4119"/>
    <n v="14213957576"/>
    <n v="100451997"/>
    <n v="-4.822761821483815"/>
    <x v="573"/>
    <x v="0"/>
    <x v="1"/>
    <x v="1"/>
  </r>
  <r>
    <x v="634"/>
    <s v="EPIGRAL LIMITED"/>
    <n v="837.7"/>
    <n v="851"/>
    <n v="811.7"/>
    <n v="818.5"/>
    <n v="845.7"/>
    <n v="71157"/>
    <n v="4036"/>
    <n v="35311185153"/>
    <n v="43141338"/>
    <n v="-3.2162705451105644"/>
    <x v="588"/>
    <x v="0"/>
    <x v="1"/>
    <x v="1"/>
  </r>
  <r>
    <x v="635"/>
    <s v="EPL LIMITED"/>
    <n v="187.04"/>
    <n v="187.82"/>
    <n v="182.06"/>
    <n v="183.53"/>
    <n v="190.68"/>
    <n v="401979"/>
    <n v="11182"/>
    <n v="58780258868"/>
    <n v="320276025"/>
    <n v="-3.7497377805747876"/>
    <x v="589"/>
    <x v="0"/>
    <x v="2"/>
    <x v="1"/>
  </r>
  <r>
    <x v="636"/>
    <s v="EQUITAS SMALL FIN BNK LTD"/>
    <n v="56"/>
    <n v="56"/>
    <n v="53.26"/>
    <n v="54.48"/>
    <n v="57.01"/>
    <n v="3491379"/>
    <n v="18573"/>
    <n v="62146419771"/>
    <n v="1140719893"/>
    <n v="-4.4378179266795321"/>
    <x v="590"/>
    <x v="0"/>
    <x v="2"/>
    <x v="0"/>
  </r>
  <r>
    <x v="637"/>
    <s v="ERIS LIFESCIENCES LIMITED"/>
    <n v="1291.7"/>
    <n v="1295"/>
    <n v="1236"/>
    <n v="1271"/>
    <n v="1284.9000000000001"/>
    <n v="79989"/>
    <n v="12192"/>
    <n v="173000000000"/>
    <n v="136216891"/>
    <n v="-1.0817962487353172"/>
    <x v="591"/>
    <x v="0"/>
    <x v="2"/>
    <x v="1"/>
  </r>
  <r>
    <x v="638"/>
    <s v="ESAB INDIA LTD"/>
    <n v="5325"/>
    <n v="5379"/>
    <n v="5127"/>
    <n v="5153.5"/>
    <n v="5406"/>
    <n v="4430"/>
    <n v="1375"/>
    <n v="79327928570"/>
    <n v="15393020"/>
    <n v="-4.6707362190159083"/>
    <x v="592"/>
    <x v="0"/>
    <x v="2"/>
    <x v="1"/>
  </r>
  <r>
    <x v="639"/>
    <s v="ESAF SMALL FINANCE BANK L"/>
    <n v="23"/>
    <n v="23.06"/>
    <n v="22.57"/>
    <n v="22.73"/>
    <n v="23.06"/>
    <n v="505210"/>
    <n v="2207"/>
    <n v="11718968403"/>
    <n v="515572741"/>
    <n v="-1.4310494362532451"/>
    <x v="593"/>
    <x v="0"/>
    <x v="1"/>
    <x v="1"/>
  </r>
  <r>
    <x v="640"/>
    <s v="ESCORTS KUBOTA LIMITED"/>
    <n v="3023"/>
    <n v="3032.2"/>
    <n v="2835"/>
    <n v="2871.6"/>
    <n v="3059.4"/>
    <n v="172724"/>
    <n v="22015"/>
    <n v="321000000000"/>
    <n v="111877754"/>
    <n v="-6.1384585212786877"/>
    <x v="594"/>
    <x v="0"/>
    <x v="0"/>
    <x v="1"/>
  </r>
  <r>
    <x v="641"/>
    <s v="ESSAR SHIPPING LTD"/>
    <n v="23.21"/>
    <n v="23.49"/>
    <n v="21.96"/>
    <n v="22.06"/>
    <n v="23.59"/>
    <n v="280368"/>
    <n v="1676"/>
    <n v="4565892148"/>
    <n v="206976072"/>
    <n v="-6.4857990674014463"/>
    <x v="518"/>
    <x v="0"/>
    <x v="1"/>
    <x v="1"/>
  </r>
  <r>
    <x v="642"/>
    <s v="INTEGRA ESSENTIA LIMITED"/>
    <n v="1.25"/>
    <n v="1.26"/>
    <n v="1.1599999999999999"/>
    <n v="1.18"/>
    <n v="1.25"/>
    <n v="2160540"/>
    <n v="1444"/>
    <n v="1259874842"/>
    <n v="1067690544"/>
    <n v="-5.600000000000005"/>
    <x v="213"/>
    <x v="0"/>
    <x v="1"/>
    <x v="0"/>
  </r>
  <r>
    <x v="643"/>
    <s v="ESTER INDUSTRIES LTD"/>
    <n v="92.4"/>
    <n v="92.84"/>
    <n v="88.15"/>
    <n v="88.76"/>
    <n v="91.52"/>
    <n v="156994"/>
    <n v="1717"/>
    <n v="8661750313"/>
    <n v="97586191"/>
    <n v="-3.0157342657342561"/>
    <x v="595"/>
    <x v="0"/>
    <x v="1"/>
    <x v="1"/>
  </r>
  <r>
    <x v="644"/>
    <s v="ETHOS LIMITED"/>
    <n v="2228"/>
    <n v="2228"/>
    <n v="2109.1999999999998"/>
    <n v="2152.5"/>
    <n v="2237"/>
    <n v="38929"/>
    <n v="6887"/>
    <n v="57595934183"/>
    <n v="26757693"/>
    <n v="-3.7773804202056325"/>
    <x v="596"/>
    <x v="0"/>
    <x v="2"/>
    <x v="1"/>
  </r>
  <r>
    <x v="645"/>
    <s v="EUREKA FORBES LIMITED"/>
    <n v="459"/>
    <n v="459.8"/>
    <n v="428"/>
    <n v="435.6"/>
    <n v="462.5"/>
    <n v="303438"/>
    <n v="20605"/>
    <n v="84246647800"/>
    <n v="193403691"/>
    <n v="-5.816216216216211"/>
    <x v="597"/>
    <x v="0"/>
    <x v="2"/>
    <x v="1"/>
  </r>
  <r>
    <x v="646"/>
    <s v="EURO PANEL PRODUCTS LTD"/>
    <n v="146.6"/>
    <n v="153.49"/>
    <n v="138"/>
    <n v="139.06"/>
    <n v="146.6"/>
    <n v="161830"/>
    <n v="416"/>
    <n v="3406970000"/>
    <n v="24500000"/>
    <n v="-5.1432469304229143"/>
    <x v="598"/>
    <x v="0"/>
    <x v="1"/>
    <x v="1"/>
  </r>
  <r>
    <x v="647"/>
    <s v="EURO PRATIK SALES LIMITED"/>
    <n v="217.7"/>
    <n v="219"/>
    <n v="207.8"/>
    <n v="210.85"/>
    <n v="214.65"/>
    <n v="318613"/>
    <n v="7539"/>
    <n v="21548870000"/>
    <n v="102200000"/>
    <n v="-1.7703237829024043"/>
    <x v="599"/>
    <x v="0"/>
    <x v="1"/>
    <x v="1"/>
  </r>
  <r>
    <x v="648"/>
    <s v="EUROTEX INDUSTRIES LTD"/>
    <n v="13.06"/>
    <n v="13.76"/>
    <n v="13.05"/>
    <n v="13.37"/>
    <n v="13.2"/>
    <n v="1107"/>
    <n v="135"/>
    <n v="116985695.09999999"/>
    <n v="8749865"/>
    <n v="1.2878787878787874"/>
    <x v="600"/>
    <x v="1"/>
    <x v="1"/>
    <x v="1"/>
  </r>
  <r>
    <x v="649"/>
    <s v="EVEREADY INDS. IND.  LTD."/>
    <n v="299.7"/>
    <n v="299.7"/>
    <n v="279"/>
    <n v="281.14999999999998"/>
    <n v="300.7"/>
    <n v="152525"/>
    <n v="4421"/>
    <n v="20436023149"/>
    <n v="72687260"/>
    <n v="-6.5014965081476594"/>
    <x v="601"/>
    <x v="0"/>
    <x v="1"/>
    <x v="1"/>
  </r>
  <r>
    <x v="650"/>
    <s v="EVEREST INDUSTRIES LTD"/>
    <n v="325.75"/>
    <n v="325.75"/>
    <n v="294.5"/>
    <n v="298.7"/>
    <n v="325.75"/>
    <n v="28131"/>
    <n v="1945"/>
    <n v="4736113720"/>
    <n v="15855754"/>
    <n v="-8.3039140445126662"/>
    <x v="602"/>
    <x v="0"/>
    <x v="1"/>
    <x v="1"/>
  </r>
  <r>
    <x v="651"/>
    <s v="EXCEL REALTY N INFRA LTD"/>
    <n v="1.01"/>
    <n v="1.03"/>
    <n v="0.98"/>
    <n v="1"/>
    <n v="1.03"/>
    <n v="6100520"/>
    <n v="1899"/>
    <n v="1410695055"/>
    <n v="1410695055"/>
    <n v="-2.9126213592233037"/>
    <x v="603"/>
    <x v="0"/>
    <x v="1"/>
    <x v="0"/>
  </r>
  <r>
    <x v="652"/>
    <s v="EXCEL INDUSTRIES LTD"/>
    <n v="861.05"/>
    <n v="874.95"/>
    <n v="835"/>
    <n v="842.2"/>
    <n v="874.45"/>
    <n v="18118"/>
    <n v="1169"/>
    <n v="10587036802"/>
    <n v="12570692"/>
    <n v="-3.6880324775573214"/>
    <x v="604"/>
    <x v="0"/>
    <x v="1"/>
    <x v="1"/>
  </r>
  <r>
    <x v="653"/>
    <s v="EXCELSOFT TECHNOLOGIES L"/>
    <n v="75.2"/>
    <n v="76.5"/>
    <n v="70.55"/>
    <n v="71.88"/>
    <n v="76.540000000000006"/>
    <n v="1149507"/>
    <n v="4274"/>
    <n v="8272249708"/>
    <n v="115084164"/>
    <n v="-6.0883198327671941"/>
    <x v="605"/>
    <x v="0"/>
    <x v="1"/>
    <x v="0"/>
  </r>
  <r>
    <x v="654"/>
    <s v="EXICOM TELE SYSTEMS LTD"/>
    <n v="87.5"/>
    <n v="87.5"/>
    <n v="83"/>
    <n v="83.16"/>
    <n v="88.46"/>
    <n v="365773"/>
    <n v="4141"/>
    <n v="11565873756"/>
    <n v="139079771"/>
    <n v="-5.9914085462355837"/>
    <x v="606"/>
    <x v="0"/>
    <x v="1"/>
    <x v="1"/>
  </r>
  <r>
    <x v="655"/>
    <s v="EXIDE INDUSTRIES LTD"/>
    <n v="298.2"/>
    <n v="299.55"/>
    <n v="290"/>
    <n v="290.75"/>
    <n v="302.64999999999998"/>
    <n v="1794922"/>
    <n v="30573"/>
    <n v="247000000000"/>
    <n v="850000000"/>
    <n v="-3.9319345778952512"/>
    <x v="607"/>
    <x v="0"/>
    <x v="0"/>
    <x v="0"/>
  </r>
  <r>
    <x v="656"/>
    <s v="EXPLEO SOLUTIONS LIMITED"/>
    <n v="711"/>
    <n v="719.95"/>
    <n v="685.1"/>
    <n v="701.2"/>
    <n v="720.3"/>
    <n v="33417"/>
    <n v="2506"/>
    <n v="10882440987"/>
    <n v="15519739"/>
    <n v="-2.651672914063572"/>
    <x v="608"/>
    <x v="0"/>
    <x v="1"/>
    <x v="1"/>
  </r>
  <r>
    <x v="657"/>
    <s v="EXXARO TILES LIMITED"/>
    <n v="6.97"/>
    <n v="6.97"/>
    <n v="6.57"/>
    <n v="6.66"/>
    <n v="6.84"/>
    <n v="105786"/>
    <n v="439"/>
    <n v="2979755262"/>
    <n v="447410700"/>
    <n v="-2.6315789473684172"/>
    <x v="609"/>
    <x v="0"/>
    <x v="1"/>
    <x v="1"/>
  </r>
  <r>
    <x v="658"/>
    <s v="FABTECH TECHNOLOGIES LTD"/>
    <n v="144.91999999999999"/>
    <n v="144.91999999999999"/>
    <n v="132.69999999999999"/>
    <n v="133.9"/>
    <n v="145.62"/>
    <n v="234183"/>
    <n v="3094"/>
    <n v="5951961317"/>
    <n v="44450794"/>
    <n v="-8.0483450075539054"/>
    <x v="610"/>
    <x v="0"/>
    <x v="1"/>
    <x v="1"/>
  </r>
  <r>
    <x v="659"/>
    <s v="FACT LTD"/>
    <n v="783"/>
    <n v="784"/>
    <n v="748"/>
    <n v="760.45"/>
    <n v="791.45"/>
    <n v="368196"/>
    <n v="23658"/>
    <n v="492000000000"/>
    <n v="647071974"/>
    <n v="-3.9168614568197611"/>
    <x v="611"/>
    <x v="0"/>
    <x v="0"/>
    <x v="1"/>
  </r>
  <r>
    <x v="660"/>
    <s v="FAIRCHEM ORGANICS LIMITED"/>
    <n v="488"/>
    <n v="491.95"/>
    <n v="463"/>
    <n v="466.4"/>
    <n v="493.3"/>
    <n v="16391"/>
    <n v="1083"/>
    <n v="6072948693"/>
    <n v="13020902"/>
    <n v="-5.4530711534563219"/>
    <x v="612"/>
    <x v="0"/>
    <x v="1"/>
    <x v="1"/>
  </r>
  <r>
    <x v="661"/>
    <s v="FINEOTEX CHEMICAL LIMITED"/>
    <n v="21.44"/>
    <n v="21.6"/>
    <n v="20.6"/>
    <n v="20.81"/>
    <n v="21.77"/>
    <n v="1871859"/>
    <n v="5736"/>
    <n v="23843076229"/>
    <n v="1145750900"/>
    <n v="-4.4097381717960538"/>
    <x v="156"/>
    <x v="0"/>
    <x v="1"/>
    <x v="0"/>
  </r>
  <r>
    <x v="662"/>
    <s v="FCS SOFTWARE SOLN. LTD."/>
    <n v="1.44"/>
    <n v="1.45"/>
    <n v="1.35"/>
    <n v="1.36"/>
    <n v="1.44"/>
    <n v="2791720"/>
    <n v="2281"/>
    <n v="2324992216"/>
    <n v="1709553100"/>
    <n v="-5.5555555555555456"/>
    <x v="613"/>
    <x v="0"/>
    <x v="1"/>
    <x v="0"/>
  </r>
  <r>
    <x v="663"/>
    <s v="FDC LIMITED"/>
    <n v="330.6"/>
    <n v="332"/>
    <n v="325"/>
    <n v="328.05"/>
    <n v="332.85"/>
    <n v="172330"/>
    <n v="6061"/>
    <n v="53409848056"/>
    <n v="162810084"/>
    <n v="-1.442091031996398"/>
    <x v="268"/>
    <x v="0"/>
    <x v="2"/>
    <x v="1"/>
  </r>
  <r>
    <x v="664"/>
    <s v="FEDERAL BANK LTD"/>
    <n v="263"/>
    <n v="263.3"/>
    <n v="253.3"/>
    <n v="254.35"/>
    <n v="267.10000000000002"/>
    <n v="13966492"/>
    <n v="112686"/>
    <n v="626000000000"/>
    <n v="2462945660"/>
    <n v="-4.7734930737551586"/>
    <x v="161"/>
    <x v="0"/>
    <x v="0"/>
    <x v="0"/>
  </r>
  <r>
    <x v="665"/>
    <s v="FEDBANK FINANCIAL SER L"/>
    <n v="133.51"/>
    <n v="133.51"/>
    <n v="122.25"/>
    <n v="124.1"/>
    <n v="134.18"/>
    <n v="944366"/>
    <n v="16286"/>
    <n v="46422930880"/>
    <n v="374076800"/>
    <n v="-7.5122969145923477"/>
    <x v="614"/>
    <x v="0"/>
    <x v="1"/>
    <x v="1"/>
  </r>
  <r>
    <x v="666"/>
    <s v="FIEM INDUSTRIES LIMITED"/>
    <n v="2001"/>
    <n v="2020"/>
    <n v="1933.8"/>
    <n v="1944.7"/>
    <n v="2026.8"/>
    <n v="66011"/>
    <n v="11425"/>
    <n v="51183842802"/>
    <n v="26319660"/>
    <n v="-4.0507203473455649"/>
    <x v="615"/>
    <x v="0"/>
    <x v="2"/>
    <x v="1"/>
  </r>
  <r>
    <x v="667"/>
    <s v="FILATEX INDIA LTD"/>
    <n v="40"/>
    <n v="40"/>
    <n v="38.15"/>
    <n v="38.340000000000003"/>
    <n v="40.68"/>
    <n v="650545"/>
    <n v="4347"/>
    <n v="17025198098"/>
    <n v="444058375"/>
    <n v="-5.7522123893805217"/>
    <x v="616"/>
    <x v="0"/>
    <x v="1"/>
    <x v="1"/>
  </r>
  <r>
    <x v="668"/>
    <s v="FILATEX FASHIONS LIMITED"/>
    <n v="0.17"/>
    <n v="0.17"/>
    <n v="0.16"/>
    <n v="0.16"/>
    <n v="0.17"/>
    <n v="56508814"/>
    <n v="5056"/>
    <n v="1333451636"/>
    <n v="8334072725"/>
    <n v="-5.8823529411764754"/>
    <x v="617"/>
    <x v="0"/>
    <x v="1"/>
    <x v="0"/>
  </r>
  <r>
    <x v="669"/>
    <s v="FINOLEX CABLES LTD"/>
    <n v="867.3"/>
    <n v="867.3"/>
    <n v="805.2"/>
    <n v="808.6"/>
    <n v="878.15"/>
    <n v="551310"/>
    <n v="32340"/>
    <n v="124000000000"/>
    <n v="152939345"/>
    <n v="-7.9200592153959981"/>
    <x v="351"/>
    <x v="0"/>
    <x v="2"/>
    <x v="1"/>
  </r>
  <r>
    <x v="670"/>
    <s v="FINE ORGANIC IND. LTD."/>
    <n v="4250"/>
    <n v="4250"/>
    <n v="3951"/>
    <n v="4008.5"/>
    <n v="4256.1000000000004"/>
    <n v="23396"/>
    <n v="4667"/>
    <n v="123000000000"/>
    <n v="30659976"/>
    <n v="-5.8175324827894164"/>
    <x v="265"/>
    <x v="0"/>
    <x v="2"/>
    <x v="1"/>
  </r>
  <r>
    <x v="671"/>
    <s v="FINKURVE FINANCIAL SERV L"/>
    <n v="54.81"/>
    <n v="60.11"/>
    <n v="51.47"/>
    <n v="56.94"/>
    <n v="55.36"/>
    <n v="876359"/>
    <n v="8683"/>
    <n v="7974474787"/>
    <n v="140050488"/>
    <n v="2.8540462427745634"/>
    <x v="618"/>
    <x v="1"/>
    <x v="1"/>
    <x v="1"/>
  </r>
  <r>
    <x v="672"/>
    <s v="FINO PAYMENTS BANK LTD"/>
    <n v="150"/>
    <n v="150"/>
    <n v="136.65"/>
    <n v="140.57"/>
    <n v="150.82"/>
    <n v="1416364"/>
    <n v="13821"/>
    <n v="11698010769"/>
    <n v="83218402"/>
    <n v="-6.7961808778676565"/>
    <x v="503"/>
    <x v="0"/>
    <x v="1"/>
    <x v="0"/>
  </r>
  <r>
    <x v="673"/>
    <s v="FINOLEX INDUSTRIES LTD"/>
    <n v="171.3"/>
    <n v="172.96"/>
    <n v="166.01"/>
    <n v="168.17"/>
    <n v="174.63"/>
    <n v="691186"/>
    <n v="25072"/>
    <n v="104000000000"/>
    <n v="620476905"/>
    <n v="-3.6992498425241984"/>
    <x v="619"/>
    <x v="0"/>
    <x v="2"/>
    <x v="1"/>
  </r>
  <r>
    <x v="674"/>
    <s v="BRAINBEES SOLUTIONS LTD"/>
    <n v="245"/>
    <n v="245.85"/>
    <n v="218.02"/>
    <n v="220.97"/>
    <n v="250.87"/>
    <n v="29542839"/>
    <n v="245492"/>
    <n v="115000000000"/>
    <n v="521992685"/>
    <n v="-11.918523538087458"/>
    <x v="620"/>
    <x v="0"/>
    <x v="2"/>
    <x v="0"/>
  </r>
  <r>
    <x v="675"/>
    <s v="FISCHER MEDICAL VENTURE L"/>
    <n v="35.450000000000003"/>
    <n v="35.450000000000003"/>
    <n v="33.65"/>
    <n v="33.65"/>
    <n v="35.42"/>
    <n v="874481"/>
    <n v="1614"/>
    <n v="21822545566"/>
    <n v="648515470"/>
    <n v="-4.9971767363071793"/>
    <x v="621"/>
    <x v="0"/>
    <x v="1"/>
    <x v="1"/>
  </r>
  <r>
    <x v="676"/>
    <s v="FIVE-STAR BUS FIN LTD"/>
    <n v="349"/>
    <n v="351"/>
    <n v="338.15"/>
    <n v="347.3"/>
    <n v="350.65"/>
    <n v="1172905"/>
    <n v="27263"/>
    <n v="102000000000"/>
    <n v="294533548"/>
    <n v="-0.95536860116924738"/>
    <x v="622"/>
    <x v="0"/>
    <x v="2"/>
    <x v="0"/>
  </r>
  <r>
    <x v="677"/>
    <s v="FLAIR WRITING INDUST LTD"/>
    <n v="302"/>
    <n v="305.64999999999998"/>
    <n v="293"/>
    <n v="294.39999999999998"/>
    <n v="307.39999999999998"/>
    <n v="70165"/>
    <n v="1490"/>
    <n v="31028399283"/>
    <n v="105395378"/>
    <n v="-4.2290175666883538"/>
    <x v="623"/>
    <x v="0"/>
    <x v="1"/>
    <x v="1"/>
  </r>
  <r>
    <x v="678"/>
    <s v="FLEXITUFF VENTURES INT L"/>
    <n v="6.56"/>
    <n v="6.56"/>
    <n v="6.31"/>
    <n v="6.48"/>
    <n v="6.4"/>
    <n v="61826"/>
    <n v="74"/>
    <n v="212691782.90000001"/>
    <n v="32822806"/>
    <n v="1.2500000000000011"/>
    <x v="624"/>
    <x v="0"/>
    <x v="1"/>
    <x v="1"/>
  </r>
  <r>
    <x v="679"/>
    <s v="GUJARAT FLUOROCHEM LTD"/>
    <n v="3175.1"/>
    <n v="3271.7"/>
    <n v="3076.1"/>
    <n v="3248.2"/>
    <n v="3183.9"/>
    <n v="126206"/>
    <n v="20725"/>
    <n v="357000000000"/>
    <n v="109850000"/>
    <n v="2.0195357894406145"/>
    <x v="625"/>
    <x v="1"/>
    <x v="0"/>
    <x v="1"/>
  </r>
  <r>
    <x v="680"/>
    <s v="FEDERAL-MOGUL GOETZE (IND"/>
    <n v="381.2"/>
    <n v="381.25"/>
    <n v="358"/>
    <n v="360.9"/>
    <n v="382.05"/>
    <n v="52422"/>
    <n v="1794"/>
    <n v="20077635717"/>
    <n v="55632130"/>
    <n v="-5.5359246171967111"/>
    <x v="343"/>
    <x v="0"/>
    <x v="1"/>
    <x v="1"/>
  </r>
  <r>
    <x v="681"/>
    <s v="FUTURE MKT NETWORKS LTD"/>
    <n v="7.68"/>
    <n v="7.78"/>
    <n v="7.2"/>
    <n v="7.25"/>
    <n v="7.53"/>
    <n v="25902"/>
    <n v="182"/>
    <n v="439671762.30000001"/>
    <n v="60644381"/>
    <n v="-3.7184594953519285"/>
    <x v="626"/>
    <x v="0"/>
    <x v="1"/>
    <x v="1"/>
  </r>
  <r>
    <x v="682"/>
    <s v="FOCUS LIGHTG &amp; FIXTRS LTD"/>
    <n v="66.56"/>
    <n v="66.569999999999993"/>
    <n v="64.5"/>
    <n v="64.91"/>
    <n v="66.56"/>
    <n v="274071"/>
    <n v="588"/>
    <n v="4377851705"/>
    <n v="67444950"/>
    <n v="-2.4789663461538547"/>
    <x v="627"/>
    <x v="0"/>
    <x v="1"/>
    <x v="1"/>
  </r>
  <r>
    <x v="683"/>
    <s v="FOODS &amp; INNS LIMITED"/>
    <n v="53.02"/>
    <n v="53.35"/>
    <n v="50.34"/>
    <n v="50.72"/>
    <n v="53.83"/>
    <n v="224392"/>
    <n v="1907"/>
    <n v="3723589729"/>
    <n v="73414624"/>
    <n v="-5.7774475199702762"/>
    <x v="628"/>
    <x v="0"/>
    <x v="1"/>
    <x v="1"/>
  </r>
  <r>
    <x v="684"/>
    <s v="FORCE MOTORS LIMITED"/>
    <n v="21200"/>
    <n v="21210"/>
    <n v="20150"/>
    <n v="20395"/>
    <n v="21585"/>
    <n v="68323"/>
    <n v="18532"/>
    <n v="266000000000"/>
    <n v="13032914"/>
    <n v="-5.5130877924484594"/>
    <x v="629"/>
    <x v="0"/>
    <x v="0"/>
    <x v="1"/>
  </r>
  <r>
    <x v="685"/>
    <s v="FORTIS HEALTHCARE LTD"/>
    <n v="812.75"/>
    <n v="814.3"/>
    <n v="779.55"/>
    <n v="799.2"/>
    <n v="822.05"/>
    <n v="2080433"/>
    <n v="79849"/>
    <n v="603000000000"/>
    <n v="754958148"/>
    <n v="-2.7796362751657333"/>
    <x v="630"/>
    <x v="0"/>
    <x v="0"/>
    <x v="0"/>
  </r>
  <r>
    <x v="686"/>
    <s v="FOSECO INDIA LTD"/>
    <n v="5227.5"/>
    <n v="5227.5"/>
    <n v="4945.5"/>
    <n v="5044"/>
    <n v="5247"/>
    <n v="1730"/>
    <n v="582"/>
    <n v="38017934396"/>
    <n v="7537259"/>
    <n v="-3.8688774537831141"/>
    <x v="631"/>
    <x v="0"/>
    <x v="1"/>
    <x v="1"/>
  </r>
  <r>
    <x v="687"/>
    <s v="FRACTAL ANALYTICS LIMITED"/>
    <n v="808"/>
    <n v="815"/>
    <n v="776.1"/>
    <n v="800.9"/>
    <n v="823.1"/>
    <n v="223676"/>
    <n v="11961"/>
    <n v="138000000000"/>
    <n v="171965112"/>
    <n v="-2.6971206414773472"/>
    <x v="632"/>
    <x v="0"/>
    <x v="2"/>
    <x v="1"/>
  </r>
  <r>
    <x v="688"/>
    <s v="FIRSTSOURCE SOLU. LTD."/>
    <n v="215"/>
    <n v="215"/>
    <n v="204.15"/>
    <n v="207.18"/>
    <n v="216.97"/>
    <n v="916616"/>
    <n v="20945"/>
    <n v="144000000000"/>
    <n v="696990826"/>
    <n v="-4.5121445361109789"/>
    <x v="633"/>
    <x v="0"/>
    <x v="2"/>
    <x v="1"/>
  </r>
  <r>
    <x v="689"/>
    <s v="FUSION FINANCE LIMITED"/>
    <n v="156.21"/>
    <n v="156.96"/>
    <n v="148.24"/>
    <n v="151.29"/>
    <n v="159.01"/>
    <n v="459015"/>
    <n v="9026"/>
    <n v="24325078381"/>
    <n v="160784443"/>
    <n v="-4.8550405634865728"/>
    <x v="634"/>
    <x v="0"/>
    <x v="1"/>
    <x v="1"/>
  </r>
  <r>
    <x v="690"/>
    <s v="GABRIEL INDIA LTD"/>
    <n v="846.7"/>
    <n v="849.95"/>
    <n v="823.3"/>
    <n v="831"/>
    <n v="862.95"/>
    <n v="293461"/>
    <n v="16114"/>
    <n v="119000000000"/>
    <n v="143643940"/>
    <n v="-3.7024161307144152"/>
    <x v="635"/>
    <x v="0"/>
    <x v="2"/>
    <x v="1"/>
  </r>
  <r>
    <x v="691"/>
    <s v="GUJARAT AMBUJA EXPORTS LT"/>
    <n v="131.56"/>
    <n v="133.99"/>
    <n v="127.58"/>
    <n v="127.98"/>
    <n v="134.51"/>
    <n v="446158"/>
    <n v="7000"/>
    <n v="58700671067"/>
    <n v="458670660"/>
    <n v="-4.8546576462716438"/>
    <x v="636"/>
    <x v="0"/>
    <x v="2"/>
    <x v="1"/>
  </r>
  <r>
    <x v="692"/>
    <s v="GALA PRECISION ENG LTD"/>
    <n v="745"/>
    <n v="749"/>
    <n v="722.05"/>
    <n v="741.05"/>
    <n v="749.9"/>
    <n v="19422"/>
    <n v="1121"/>
    <n v="9448591289"/>
    <n v="12750275"/>
    <n v="-1.1801573543139117"/>
    <x v="637"/>
    <x v="0"/>
    <x v="1"/>
    <x v="1"/>
  </r>
  <r>
    <x v="693"/>
    <s v="GALAXY SURFACTANTS LTD"/>
    <n v="1634"/>
    <n v="1651.7"/>
    <n v="1557"/>
    <n v="1567.4"/>
    <n v="1641"/>
    <n v="25777"/>
    <n v="6524"/>
    <n v="55571778285"/>
    <n v="35454752"/>
    <n v="-4.485070079219982"/>
    <x v="638"/>
    <x v="0"/>
    <x v="2"/>
    <x v="1"/>
  </r>
  <r>
    <x v="694"/>
    <s v="GALLANTT ISPAT LIMITED"/>
    <n v="553"/>
    <n v="553.20000000000005"/>
    <n v="530.04999999999995"/>
    <n v="532.20000000000005"/>
    <n v="555.95000000000005"/>
    <n v="113379"/>
    <n v="5681"/>
    <n v="128000000000"/>
    <n v="241280945"/>
    <n v="-4.2719669034985159"/>
    <x v="262"/>
    <x v="0"/>
    <x v="2"/>
    <x v="1"/>
  </r>
  <r>
    <x v="695"/>
    <s v="GANDHAR OIL REFINE IND L"/>
    <n v="130"/>
    <n v="130.35"/>
    <n v="127"/>
    <n v="127.21"/>
    <n v="132.38"/>
    <n v="200462"/>
    <n v="2700"/>
    <n v="12451255011"/>
    <n v="97879530"/>
    <n v="-3.905423780027196"/>
    <x v="639"/>
    <x v="0"/>
    <x v="1"/>
    <x v="1"/>
  </r>
  <r>
    <x v="696"/>
    <s v="GANDHI SPL. TUBES LTD"/>
    <n v="803.2"/>
    <n v="808.1"/>
    <n v="773.5"/>
    <n v="779.55"/>
    <n v="803.2"/>
    <n v="8241"/>
    <n v="606"/>
    <n v="9473091600"/>
    <n v="12152000"/>
    <n v="-2.9444721115537962"/>
    <x v="640"/>
    <x v="0"/>
    <x v="1"/>
    <x v="1"/>
  </r>
  <r>
    <x v="697"/>
    <s v="GANESHA ECOSPHERE LIMITED"/>
    <n v="805.15"/>
    <n v="806.45"/>
    <n v="752.7"/>
    <n v="765.1"/>
    <n v="805.2"/>
    <n v="92067"/>
    <n v="7934"/>
    <n v="20501607358"/>
    <n v="26795984"/>
    <n v="-4.9801291604570324"/>
    <x v="641"/>
    <x v="0"/>
    <x v="1"/>
    <x v="1"/>
  </r>
  <r>
    <x v="698"/>
    <s v="GANESH BENZOPLAST LIMITED"/>
    <n v="75"/>
    <n v="80"/>
    <n v="74.260000000000005"/>
    <n v="77.599999999999994"/>
    <n v="76.39"/>
    <n v="498284"/>
    <n v="5896"/>
    <n v="5586379070"/>
    <n v="71989421"/>
    <n v="1.5839769603351144"/>
    <x v="642"/>
    <x v="1"/>
    <x v="1"/>
    <x v="1"/>
  </r>
  <r>
    <x v="699"/>
    <s v="GANESH CONSUMER PRODUCT L"/>
    <n v="169.95"/>
    <n v="171.9"/>
    <n v="157.82"/>
    <n v="161.62"/>
    <n v="174.04"/>
    <n v="247826"/>
    <n v="3301"/>
    <n v="6531540333"/>
    <n v="40412946"/>
    <n v="-7.1362905079292052"/>
    <x v="643"/>
    <x v="0"/>
    <x v="1"/>
    <x v="1"/>
  </r>
  <r>
    <x v="700"/>
    <s v="GANESH HOUSING LIMITED"/>
    <n v="587"/>
    <n v="590.4"/>
    <n v="552.1"/>
    <n v="556.20000000000005"/>
    <n v="590.5"/>
    <n v="50534"/>
    <n v="3212"/>
    <n v="46379899458"/>
    <n v="83387090"/>
    <n v="-5.8086367485181967"/>
    <x v="644"/>
    <x v="0"/>
    <x v="1"/>
    <x v="1"/>
  </r>
  <r>
    <x v="701"/>
    <s v="GANGA FORGING LIMITED"/>
    <n v="2.79"/>
    <n v="2.82"/>
    <n v="2.7"/>
    <n v="2.72"/>
    <n v="2.79"/>
    <n v="169060"/>
    <n v="302"/>
    <n v="366662065.60000002"/>
    <n v="134802230"/>
    <n v="-2.5089605734766969"/>
    <x v="645"/>
    <x v="0"/>
    <x v="1"/>
    <x v="1"/>
  </r>
  <r>
    <x v="702"/>
    <s v="GANGES SECURITIES LIMITED"/>
    <n v="113.01"/>
    <n v="113.01"/>
    <n v="105.05"/>
    <n v="107.04"/>
    <n v="112.46"/>
    <n v="1720"/>
    <n v="194"/>
    <n v="1070794657"/>
    <n v="10003687"/>
    <n v="-4.8194913747109975"/>
    <x v="646"/>
    <x v="0"/>
    <x v="1"/>
    <x v="1"/>
  </r>
  <r>
    <x v="703"/>
    <s v="GARWARE TECH FIBRES LTD"/>
    <n v="607.04999999999995"/>
    <n v="607.04999999999995"/>
    <n v="594"/>
    <n v="600.5"/>
    <n v="611.70000000000005"/>
    <n v="61901"/>
    <n v="4040"/>
    <n v="59609139923"/>
    <n v="99265845"/>
    <n v="-1.8309628903057127"/>
    <x v="647"/>
    <x v="0"/>
    <x v="2"/>
    <x v="1"/>
  </r>
  <r>
    <x v="704"/>
    <s v="GARUDA CONSTRUCT N ENG L"/>
    <n v="155.43"/>
    <n v="157.44999999999999"/>
    <n v="146"/>
    <n v="150.28"/>
    <n v="159.84"/>
    <n v="1177399"/>
    <n v="14955"/>
    <n v="13982312988"/>
    <n v="93041742"/>
    <n v="-5.9809809809809824"/>
    <x v="648"/>
    <x v="0"/>
    <x v="1"/>
    <x v="0"/>
  </r>
  <r>
    <x v="705"/>
    <s v="GACM TECHNOLOGIES LIMITED"/>
    <n v="0.47"/>
    <n v="0.47"/>
    <n v="0.44"/>
    <n v="0.45"/>
    <n v="0.46"/>
    <n v="6285411"/>
    <n v="1200"/>
    <n v="496234006.19999999"/>
    <n v="1102742236"/>
    <n v="-2.1739130434782625"/>
    <x v="649"/>
    <x v="0"/>
    <x v="1"/>
    <x v="0"/>
  </r>
  <r>
    <x v="706"/>
    <s v="GACM TECHNOLOGIES LIMITED"/>
    <n v="0.4"/>
    <n v="0.41"/>
    <n v="0.38"/>
    <n v="0.38"/>
    <n v="0.39"/>
    <n v="355248"/>
    <n v="266"/>
    <n v="72073039.700000003"/>
    <n v="189665894"/>
    <n v="-2.5641025641025665"/>
    <x v="649"/>
    <x v="0"/>
    <x v="1"/>
    <x v="1"/>
  </r>
  <r>
    <x v="707"/>
    <s v="GATEWAY DISTRIPARKS LTD"/>
    <n v="50.8"/>
    <n v="51"/>
    <n v="48.1"/>
    <n v="48.48"/>
    <n v="51.07"/>
    <n v="1376322"/>
    <n v="13011"/>
    <n v="24222733169"/>
    <n v="499643836"/>
    <n v="-5.0714705306442207"/>
    <x v="650"/>
    <x v="0"/>
    <x v="1"/>
    <x v="0"/>
  </r>
  <r>
    <x v="708"/>
    <s v="GAUDIUM IVF N WOMEN H L"/>
    <n v="77"/>
    <n v="77.38"/>
    <n v="69.180000000000007"/>
    <n v="70.67"/>
    <n v="77.040000000000006"/>
    <n v="628770"/>
    <n v="6462"/>
    <n v="5143849092"/>
    <n v="72786884"/>
    <n v="-8.2684319833852591"/>
    <x v="651"/>
    <x v="0"/>
    <x v="1"/>
    <x v="1"/>
  </r>
  <r>
    <x v="709"/>
    <s v="GAYATRI HIGHWAYS LIMITED"/>
    <n v="2.1"/>
    <n v="2.1"/>
    <n v="2"/>
    <n v="2"/>
    <n v="2.1"/>
    <n v="297945"/>
    <n v="408"/>
    <n v="479303800"/>
    <n v="239651900"/>
    <n v="-4.7619047619047654"/>
    <x v="213"/>
    <x v="0"/>
    <x v="1"/>
    <x v="1"/>
  </r>
  <r>
    <x v="710"/>
    <s v="GEECEE VENTURES LIMITED"/>
    <n v="260.10000000000002"/>
    <n v="260.10000000000002"/>
    <n v="244"/>
    <n v="244.5"/>
    <n v="263.2"/>
    <n v="3501"/>
    <n v="191"/>
    <n v="5112917741"/>
    <n v="20911729"/>
    <n v="-7.1048632218844947"/>
    <x v="652"/>
    <x v="0"/>
    <x v="1"/>
    <x v="1"/>
  </r>
  <r>
    <x v="711"/>
    <s v="GEEKAY WIRES LIMITED"/>
    <n v="20.6"/>
    <n v="21.03"/>
    <n v="20"/>
    <n v="20.11"/>
    <n v="20.96"/>
    <n v="110729"/>
    <n v="823"/>
    <n v="2101897200"/>
    <n v="104520000"/>
    <n v="-4.0553435114503884"/>
    <x v="653"/>
    <x v="0"/>
    <x v="1"/>
    <x v="1"/>
  </r>
  <r>
    <x v="712"/>
    <s v="GENERIC ENG CONS PROJ LTD"/>
    <n v="43.15"/>
    <n v="43.5"/>
    <n v="43.01"/>
    <n v="43.13"/>
    <n v="43.15"/>
    <n v="1302628"/>
    <n v="951"/>
    <n v="2457815625"/>
    <n v="56986219"/>
    <n v="-4.6349942062563203E-2"/>
    <x v="654"/>
    <x v="0"/>
    <x v="1"/>
    <x v="0"/>
  </r>
  <r>
    <x v="713"/>
    <s v="GENESYS INTL CORPN LTD"/>
    <n v="265"/>
    <n v="267.55"/>
    <n v="244"/>
    <n v="247.2"/>
    <n v="269.7"/>
    <n v="642859"/>
    <n v="13284"/>
    <n v="10325596406"/>
    <n v="41770212"/>
    <n v="-8.3426028921023363"/>
    <x v="655"/>
    <x v="0"/>
    <x v="1"/>
    <x v="1"/>
  </r>
  <r>
    <x v="714"/>
    <s v="GENUS P&amp;B LIMITED"/>
    <n v="10.85"/>
    <n v="10.85"/>
    <n v="10"/>
    <n v="10.25"/>
    <n v="10.72"/>
    <n v="268305"/>
    <n v="732"/>
    <n v="2635540885"/>
    <n v="257125940"/>
    <n v="-4.3843283582089612"/>
    <x v="168"/>
    <x v="0"/>
    <x v="1"/>
    <x v="1"/>
  </r>
  <r>
    <x v="715"/>
    <s v="GENUS POWER INFRASTRU LTD"/>
    <n v="236"/>
    <n v="236.8"/>
    <n v="223.1"/>
    <n v="229.85"/>
    <n v="239.1"/>
    <n v="769088"/>
    <n v="25769"/>
    <n v="69900039308"/>
    <n v="304111548"/>
    <n v="-3.8686741948975327"/>
    <x v="656"/>
    <x v="0"/>
    <x v="2"/>
    <x v="1"/>
  </r>
  <r>
    <x v="716"/>
    <s v="GEOJIT FINANCIAL SER L"/>
    <n v="59.03"/>
    <n v="59.51"/>
    <n v="57.16"/>
    <n v="57.34"/>
    <n v="59.93"/>
    <n v="659352"/>
    <n v="4079"/>
    <n v="16004862303"/>
    <n v="279122119"/>
    <n v="-4.3217086601034485"/>
    <x v="657"/>
    <x v="0"/>
    <x v="1"/>
    <x v="1"/>
  </r>
  <r>
    <x v="717"/>
    <s v="THE GE SHPG.LTD"/>
    <n v="1425.5"/>
    <n v="1425.5"/>
    <n v="1346"/>
    <n v="1360"/>
    <n v="1429.7"/>
    <n v="362189"/>
    <n v="31440"/>
    <n v="194000000000"/>
    <n v="142767161"/>
    <n v="-4.8751486325802649"/>
    <x v="658"/>
    <x v="0"/>
    <x v="2"/>
    <x v="1"/>
  </r>
  <r>
    <x v="718"/>
    <s v="GFL LIMITED"/>
    <n v="41.65"/>
    <n v="42.95"/>
    <n v="41.65"/>
    <n v="41.95"/>
    <n v="42.86"/>
    <n v="149084"/>
    <n v="990"/>
    <n v="4608207500"/>
    <n v="109850000"/>
    <n v="-2.1231917872141777"/>
    <x v="659"/>
    <x v="1"/>
    <x v="1"/>
    <x v="1"/>
  </r>
  <r>
    <x v="719"/>
    <s v="GHCL LIMITED"/>
    <n v="424.3"/>
    <n v="433.4"/>
    <n v="419"/>
    <n v="422"/>
    <n v="433.45"/>
    <n v="239610"/>
    <n v="16188"/>
    <n v="38796213410"/>
    <n v="91934155"/>
    <n v="-2.6415964932518143"/>
    <x v="660"/>
    <x v="0"/>
    <x v="1"/>
    <x v="1"/>
  </r>
  <r>
    <x v="720"/>
    <s v="GHCL TEXTILES LIMITED"/>
    <n v="75.69"/>
    <n v="75.75"/>
    <n v="72.05"/>
    <n v="72.41"/>
    <n v="75.69"/>
    <n v="120534"/>
    <n v="1431"/>
    <n v="6921366764"/>
    <n v="95585786"/>
    <n v="-4.3334654511824562"/>
    <x v="210"/>
    <x v="0"/>
    <x v="1"/>
    <x v="1"/>
  </r>
  <r>
    <x v="721"/>
    <s v="GIC HOUSING FINANCE LTD"/>
    <n v="140.4"/>
    <n v="141.19"/>
    <n v="135.80000000000001"/>
    <n v="136.53"/>
    <n v="142.31"/>
    <n v="151207"/>
    <n v="2875"/>
    <n v="7352286041"/>
    <n v="53851066"/>
    <n v="-4.0615557585552668"/>
    <x v="116"/>
    <x v="0"/>
    <x v="1"/>
    <x v="1"/>
  </r>
  <r>
    <x v="722"/>
    <s v="GLOBE INTL CARRIERS LTD"/>
    <n v="42.66"/>
    <n v="43.93"/>
    <n v="37.049999999999997"/>
    <n v="39.130000000000003"/>
    <n v="42.66"/>
    <n v="642836"/>
    <n v="1618"/>
    <n v="4380783028"/>
    <n v="111954588"/>
    <n v="-8.2747304266291462"/>
    <x v="661"/>
    <x v="0"/>
    <x v="1"/>
    <x v="1"/>
  </r>
  <r>
    <x v="723"/>
    <s v="GENERAL INS CORP OF INDIA"/>
    <n v="368.75"/>
    <n v="368.75"/>
    <n v="356.5"/>
    <n v="358.15"/>
    <n v="372.15"/>
    <n v="277202"/>
    <n v="13198"/>
    <n v="628000000000"/>
    <n v="1754400000"/>
    <n v="-3.7619239553943307"/>
    <x v="662"/>
    <x v="0"/>
    <x v="0"/>
    <x v="1"/>
  </r>
  <r>
    <x v="724"/>
    <s v="GILLANDERS ARBUTHNOT LTD"/>
    <n v="79.510000000000005"/>
    <n v="81"/>
    <n v="76"/>
    <n v="76.69"/>
    <n v="79.22"/>
    <n v="7266"/>
    <n v="138"/>
    <n v="1636744515"/>
    <n v="21342346"/>
    <n v="-3.1936379702095445"/>
    <x v="291"/>
    <x v="0"/>
    <x v="1"/>
    <x v="1"/>
  </r>
  <r>
    <x v="725"/>
    <s v="GILLETTE INDIA LTD"/>
    <n v="7900"/>
    <n v="7958"/>
    <n v="7751"/>
    <n v="7788"/>
    <n v="8001.5"/>
    <n v="23420"/>
    <n v="7401"/>
    <n v="254000000000"/>
    <n v="32585217"/>
    <n v="-2.6682497031806536"/>
    <x v="663"/>
    <x v="0"/>
    <x v="0"/>
    <x v="1"/>
  </r>
  <r>
    <x v="726"/>
    <s v="GINNI FILAMENTS LTD"/>
    <n v="36.15"/>
    <n v="37.630000000000003"/>
    <n v="35"/>
    <n v="35.99"/>
    <n v="37.909999999999997"/>
    <n v="82517"/>
    <n v="1409"/>
    <n v="3082545839"/>
    <n v="85650065"/>
    <n v="-5.0646267475599966"/>
    <x v="664"/>
    <x v="0"/>
    <x v="1"/>
    <x v="1"/>
  </r>
  <r>
    <x v="727"/>
    <s v="GUJ IND POW CO. LTD"/>
    <n v="131.1"/>
    <n v="131.51"/>
    <n v="125.62"/>
    <n v="126.78"/>
    <n v="132.82"/>
    <n v="459590"/>
    <n v="5540"/>
    <n v="19678277380"/>
    <n v="155215944"/>
    <n v="-4.5475079054359231"/>
    <x v="665"/>
    <x v="0"/>
    <x v="1"/>
    <x v="1"/>
  </r>
  <r>
    <x v="728"/>
    <s v="GK ENERGY LIMITED"/>
    <n v="102"/>
    <n v="102.5"/>
    <n v="98.12"/>
    <n v="98.12"/>
    <n v="103.28"/>
    <n v="538295"/>
    <n v="2919"/>
    <n v="19900430140"/>
    <n v="202817266"/>
    <n v="-4.9961270333075101"/>
    <x v="666"/>
    <x v="0"/>
    <x v="1"/>
    <x v="1"/>
  </r>
  <r>
    <x v="729"/>
    <s v="GUJARAT KIDNEY N SUP SP L"/>
    <n v="105.29"/>
    <n v="105.94"/>
    <n v="100.51"/>
    <n v="101.79"/>
    <n v="106.21"/>
    <n v="116999"/>
    <n v="2091"/>
    <n v="8025454418"/>
    <n v="78843250"/>
    <n v="-4.1615667074663287"/>
    <x v="667"/>
    <x v="0"/>
    <x v="1"/>
    <x v="1"/>
  </r>
  <r>
    <x v="730"/>
    <s v="GKW LIMITED"/>
    <n v="1560"/>
    <n v="1570.1"/>
    <n v="1545"/>
    <n v="1548.5"/>
    <n v="1619.2"/>
    <n v="809"/>
    <n v="63"/>
    <n v="9239125250"/>
    <n v="5966500"/>
    <n v="-4.3663537549407136"/>
    <x v="668"/>
    <x v="0"/>
    <x v="1"/>
    <x v="1"/>
  </r>
  <r>
    <x v="731"/>
    <s v="GLAND PHARMA LIMITED"/>
    <n v="1627.1"/>
    <n v="1627.1"/>
    <n v="1591.6"/>
    <n v="1612.5"/>
    <n v="1627.1"/>
    <n v="65348"/>
    <n v="10542"/>
    <n v="266000000000"/>
    <n v="164756423"/>
    <n v="-0.89730194825148479"/>
    <x v="669"/>
    <x v="0"/>
    <x v="0"/>
    <x v="1"/>
  </r>
  <r>
    <x v="732"/>
    <s v="GLAXOSMITHKLINE PHARMA LT"/>
    <n v="2353.4"/>
    <n v="2364.9"/>
    <n v="2269.1"/>
    <n v="2279.1999999999998"/>
    <n v="2384.8000000000002"/>
    <n v="50972"/>
    <n v="10372"/>
    <n v="386000000000"/>
    <n v="169406034"/>
    <n v="-4.4280442804428191"/>
    <x v="670"/>
    <x v="0"/>
    <x v="0"/>
    <x v="1"/>
  </r>
  <r>
    <x v="733"/>
    <s v="GLENMARK PHARMACEUTICALS"/>
    <n v="2170"/>
    <n v="2170"/>
    <n v="2079.9"/>
    <n v="2089"/>
    <n v="2180.1"/>
    <n v="408786"/>
    <n v="33134"/>
    <n v="590000000000"/>
    <n v="282200809"/>
    <n v="-4.1787073987431729"/>
    <x v="671"/>
    <x v="0"/>
    <x v="0"/>
    <x v="1"/>
  </r>
  <r>
    <x v="734"/>
    <s v="GLOBAL EDUCATION LIMITED"/>
    <n v="97.4"/>
    <n v="98"/>
    <n v="90.15"/>
    <n v="92.11"/>
    <n v="99.23"/>
    <n v="143816"/>
    <n v="1593"/>
    <n v="4688537165"/>
    <n v="50901500"/>
    <n v="-7.1752494205381474"/>
    <x v="672"/>
    <x v="0"/>
    <x v="1"/>
    <x v="1"/>
  </r>
  <r>
    <x v="735"/>
    <s v="GLOBALE TESSILE LIMITED"/>
    <n v="10.56"/>
    <n v="11.47"/>
    <n v="10.02"/>
    <n v="10.17"/>
    <n v="10.61"/>
    <n v="5477"/>
    <n v="58"/>
    <n v="108008196.8"/>
    <n v="10620275"/>
    <n v="-4.1470311027332656"/>
    <x v="673"/>
    <x v="0"/>
    <x v="1"/>
    <x v="1"/>
  </r>
  <r>
    <x v="736"/>
    <s v="GLOBAL VEC HELICORP LTD"/>
    <n v="153"/>
    <n v="156.94999999999999"/>
    <n v="149.02000000000001"/>
    <n v="150.87"/>
    <n v="156.21"/>
    <n v="5689"/>
    <n v="381"/>
    <n v="2112180000"/>
    <n v="14000000"/>
    <n v="-3.4184751296331881"/>
    <x v="674"/>
    <x v="0"/>
    <x v="1"/>
    <x v="1"/>
  </r>
  <r>
    <x v="737"/>
    <s v="GLOBE ENTERPRISE (I) LTD"/>
    <n v="2.42"/>
    <n v="2.42"/>
    <n v="2.2200000000000002"/>
    <n v="2.25"/>
    <n v="2.41"/>
    <n v="897422"/>
    <n v="699"/>
    <n v="1013442273"/>
    <n v="450418788"/>
    <n v="-6.6390041493775991"/>
    <x v="675"/>
    <x v="0"/>
    <x v="1"/>
    <x v="1"/>
  </r>
  <r>
    <x v="738"/>
    <s v="GLOBE CIVIL PROJECTS LTD"/>
    <n v="43"/>
    <n v="43"/>
    <n v="40.36"/>
    <n v="40.85"/>
    <n v="43.07"/>
    <n v="89225"/>
    <n v="1224"/>
    <n v="2439521109"/>
    <n v="59718999"/>
    <n v="-5.1543998142558598"/>
    <x v="676"/>
    <x v="0"/>
    <x v="1"/>
    <x v="1"/>
  </r>
  <r>
    <x v="739"/>
    <s v="GLOBUS SPIRITS LTD"/>
    <n v="858.3"/>
    <n v="869"/>
    <n v="821.15"/>
    <n v="858.65"/>
    <n v="866.2"/>
    <n v="65855"/>
    <n v="5231"/>
    <n v="24876922859"/>
    <n v="28972134"/>
    <n v="-0.87162318171323805"/>
    <x v="677"/>
    <x v="1"/>
    <x v="1"/>
    <x v="1"/>
  </r>
  <r>
    <x v="740"/>
    <s v="GLOSTER LIMITED"/>
    <n v="505"/>
    <n v="524.4"/>
    <n v="497"/>
    <n v="501.35"/>
    <n v="514.70000000000005"/>
    <n v="2602"/>
    <n v="115"/>
    <n v="5486403401"/>
    <n v="10943260"/>
    <n v="-2.593743928502044"/>
    <x v="678"/>
    <x v="0"/>
    <x v="1"/>
    <x v="1"/>
  </r>
  <r>
    <x v="741"/>
    <s v="GLOTTIS LIMITED"/>
    <n v="42.9"/>
    <n v="43"/>
    <n v="40.5"/>
    <n v="40.78"/>
    <n v="43.15"/>
    <n v="245041"/>
    <n v="2059"/>
    <n v="3768194340"/>
    <n v="92403000"/>
    <n v="-5.4924681344148265"/>
    <x v="679"/>
    <x v="0"/>
    <x v="1"/>
    <x v="1"/>
  </r>
  <r>
    <x v="742"/>
    <s v="G M BREWERIES LTD"/>
    <n v="982"/>
    <n v="1016.7"/>
    <n v="975.8"/>
    <n v="991.55"/>
    <n v="1006.05"/>
    <n v="111730"/>
    <n v="7622"/>
    <n v="22653867492"/>
    <n v="22846924"/>
    <n v="-1.4412802544605139"/>
    <x v="680"/>
    <x v="1"/>
    <x v="1"/>
    <x v="1"/>
  </r>
  <r>
    <x v="743"/>
    <s v="GUJARAT MINERAL DEV CORP"/>
    <n v="566"/>
    <n v="586"/>
    <n v="562.29999999999995"/>
    <n v="569.04999999999995"/>
    <n v="575.70000000000005"/>
    <n v="7318326"/>
    <n v="143573"/>
    <n v="181000000000"/>
    <n v="318000000"/>
    <n v="-1.1551155115511709"/>
    <x v="293"/>
    <x v="1"/>
    <x v="2"/>
    <x v="0"/>
  </r>
  <r>
    <x v="744"/>
    <s v="GMM PFAUDLER LIMITED"/>
    <n v="849.9"/>
    <n v="859.9"/>
    <n v="808.9"/>
    <n v="821"/>
    <n v="856.9"/>
    <n v="128289"/>
    <n v="10357"/>
    <n v="36909880904"/>
    <n v="44957224"/>
    <n v="-4.18952036410316"/>
    <x v="212"/>
    <x v="0"/>
    <x v="1"/>
    <x v="1"/>
  </r>
  <r>
    <x v="745"/>
    <s v="GMR AIRPORTS LIMITED"/>
    <n v="90.15"/>
    <n v="90.15"/>
    <n v="84.49"/>
    <n v="84.77"/>
    <n v="90.56"/>
    <n v="10647285"/>
    <n v="45825"/>
    <n v="895000000000"/>
    <n v="10558975952"/>
    <n v="-6.393551236749123"/>
    <x v="681"/>
    <x v="0"/>
    <x v="0"/>
    <x v="0"/>
  </r>
  <r>
    <x v="746"/>
    <s v="GMR POW AND URBAN INFRA L"/>
    <n v="102.5"/>
    <n v="102.99"/>
    <n v="99.1"/>
    <n v="100.19"/>
    <n v="104.52"/>
    <n v="1426804"/>
    <n v="15652"/>
    <n v="78250146231"/>
    <n v="781017529"/>
    <n v="-4.1427477994642157"/>
    <x v="682"/>
    <x v="0"/>
    <x v="2"/>
    <x v="0"/>
  </r>
  <r>
    <x v="747"/>
    <s v="GNA AXLES LIMITED"/>
    <n v="370"/>
    <n v="375.2"/>
    <n v="351.15"/>
    <n v="355.9"/>
    <n v="375.35"/>
    <n v="78376"/>
    <n v="3611"/>
    <n v="15279071720"/>
    <n v="42930800"/>
    <n v="-5.1818302917277324"/>
    <x v="683"/>
    <x v="0"/>
    <x v="1"/>
    <x v="1"/>
  </r>
  <r>
    <x v="748"/>
    <s v="GUJ NAR VAL FER &amp; CHEM L"/>
    <n v="406.65"/>
    <n v="406.65"/>
    <n v="380"/>
    <n v="383.45"/>
    <n v="407.05"/>
    <n v="450953"/>
    <n v="15070"/>
    <n v="56344404896"/>
    <n v="146940683"/>
    <n v="-5.7978135364205921"/>
    <x v="96"/>
    <x v="0"/>
    <x v="2"/>
    <x v="1"/>
  </r>
  <r>
    <x v="749"/>
    <s v="GOA CARBON LIMITED"/>
    <n v="300.3"/>
    <n v="305.3"/>
    <n v="286"/>
    <n v="288.64999999999998"/>
    <n v="305.35000000000002"/>
    <n v="35664"/>
    <n v="1349"/>
    <n v="2641451160"/>
    <n v="9151052"/>
    <n v="-5.4691337809071703"/>
    <x v="240"/>
    <x v="0"/>
    <x v="1"/>
    <x v="1"/>
  </r>
  <r>
    <x v="750"/>
    <s v="GOCL CORPORATION LIMITED"/>
    <n v="233"/>
    <n v="237.6"/>
    <n v="223.35"/>
    <n v="225"/>
    <n v="236.3"/>
    <n v="60224"/>
    <n v="1816"/>
    <n v="11153810250"/>
    <n v="49572490"/>
    <n v="-4.782056707575121"/>
    <x v="411"/>
    <x v="0"/>
    <x v="1"/>
    <x v="1"/>
  </r>
  <r>
    <x v="751"/>
    <s v="GO FASHION INDIA LTD"/>
    <n v="270.95"/>
    <n v="270.95"/>
    <n v="252"/>
    <n v="254.6"/>
    <n v="275.39999999999998"/>
    <n v="150437"/>
    <n v="5851"/>
    <n v="13750687326"/>
    <n v="54008984"/>
    <n v="-7.5526506899055867"/>
    <x v="684"/>
    <x v="0"/>
    <x v="1"/>
    <x v="1"/>
  </r>
  <r>
    <x v="752"/>
    <s v="GODAVARI BIOREFINERIES L"/>
    <n v="311"/>
    <n v="315.89999999999998"/>
    <n v="300"/>
    <n v="302.35000000000002"/>
    <n v="316.89999999999998"/>
    <n v="315849"/>
    <n v="10663"/>
    <n v="15473056646"/>
    <n v="51175977"/>
    <n v="-4.5913537393499384"/>
    <x v="535"/>
    <x v="0"/>
    <x v="1"/>
    <x v="1"/>
  </r>
  <r>
    <x v="753"/>
    <s v="GODFREY PHILLIPS INDIA LT"/>
    <n v="1983"/>
    <n v="1983"/>
    <n v="1832.1"/>
    <n v="1844"/>
    <n v="1991.5"/>
    <n v="643418"/>
    <n v="51548"/>
    <n v="288000000000"/>
    <n v="155981760"/>
    <n v="-7.4064775295003766"/>
    <x v="685"/>
    <x v="0"/>
    <x v="0"/>
    <x v="1"/>
  </r>
  <r>
    <x v="754"/>
    <s v="GO DIGIT GENERAL INS LTD"/>
    <n v="320"/>
    <n v="327.39999999999998"/>
    <n v="312.05"/>
    <n v="324.25"/>
    <n v="325.75"/>
    <n v="164882"/>
    <n v="10134"/>
    <n v="300000000000"/>
    <n v="923720770"/>
    <n v="-0.46047582501918649"/>
    <x v="686"/>
    <x v="1"/>
    <x v="0"/>
    <x v="1"/>
  </r>
  <r>
    <x v="755"/>
    <s v="GODREJ AGROVET LIMITED"/>
    <n v="588.5"/>
    <n v="589"/>
    <n v="545.20000000000005"/>
    <n v="552.5"/>
    <n v="588.5"/>
    <n v="182112"/>
    <n v="12515"/>
    <n v="106000000000"/>
    <n v="192328994"/>
    <n v="-6.117247238742566"/>
    <x v="687"/>
    <x v="0"/>
    <x v="2"/>
    <x v="1"/>
  </r>
  <r>
    <x v="756"/>
    <s v="GODREJ INDUSTRIES LTD"/>
    <n v="822.2"/>
    <n v="825"/>
    <n v="782.1"/>
    <n v="786.85"/>
    <n v="832.05"/>
    <n v="68192"/>
    <n v="8904"/>
    <n v="265000000000"/>
    <n v="336804842"/>
    <n v="-5.4323658433988262"/>
    <x v="378"/>
    <x v="0"/>
    <x v="0"/>
    <x v="1"/>
  </r>
  <r>
    <x v="757"/>
    <s v="GODREJ PROPERTIES LTD"/>
    <n v="1527.7"/>
    <n v="1528"/>
    <n v="1486"/>
    <n v="1497.2"/>
    <n v="1549.5"/>
    <n v="1991822"/>
    <n v="67335"/>
    <n v="451000000000"/>
    <n v="301206344"/>
    <n v="-3.3752823491448827"/>
    <x v="404"/>
    <x v="0"/>
    <x v="0"/>
    <x v="0"/>
  </r>
  <r>
    <x v="758"/>
    <s v="GOKALDAS EXPORTS LTD."/>
    <n v="577.20000000000005"/>
    <n v="577.25"/>
    <n v="541.29999999999995"/>
    <n v="563.4"/>
    <n v="581.4"/>
    <n v="733458"/>
    <n v="19441"/>
    <n v="41263347265"/>
    <n v="73239878"/>
    <n v="-3.0959752321981426"/>
    <x v="688"/>
    <x v="0"/>
    <x v="1"/>
    <x v="1"/>
  </r>
  <r>
    <x v="759"/>
    <s v="GOKUL REFOILS &amp; SOLV LTD"/>
    <n v="42.05"/>
    <n v="42.19"/>
    <n v="39.24"/>
    <n v="39.53"/>
    <n v="42.92"/>
    <n v="83281"/>
    <n v="1146"/>
    <n v="3913272350"/>
    <n v="98995000"/>
    <n v="-7.898415657036348"/>
    <x v="689"/>
    <x v="0"/>
    <x v="1"/>
    <x v="1"/>
  </r>
  <r>
    <x v="760"/>
    <s v="GOKUL AGRO RESOURCES LTD"/>
    <n v="179"/>
    <n v="182.67"/>
    <n v="174.43"/>
    <n v="178.36"/>
    <n v="181.54"/>
    <n v="928903"/>
    <n v="18596"/>
    <n v="52631666666"/>
    <n v="295086716"/>
    <n v="-1.751680070507865"/>
    <x v="690"/>
    <x v="0"/>
    <x v="2"/>
    <x v="1"/>
  </r>
  <r>
    <x v="761"/>
    <s v="GOLDIAM INTERNATIONAL LTD"/>
    <n v="293"/>
    <n v="293.89999999999998"/>
    <n v="280"/>
    <n v="281.95"/>
    <n v="296.10000000000002"/>
    <n v="424806"/>
    <n v="9720"/>
    <n v="31837186116"/>
    <n v="112917844"/>
    <n v="-4.7787909490037261"/>
    <x v="691"/>
    <x v="0"/>
    <x v="1"/>
    <x v="1"/>
  </r>
  <r>
    <x v="762"/>
    <s v="AION-TECH SOLUTIONS LTD"/>
    <n v="39.799999999999997"/>
    <n v="40.270000000000003"/>
    <n v="36.65"/>
    <n v="37.200000000000003"/>
    <n v="39.799999999999997"/>
    <n v="39420"/>
    <n v="1016"/>
    <n v="1944140299"/>
    <n v="52261836"/>
    <n v="-6.5326633165829016"/>
    <x v="49"/>
    <x v="0"/>
    <x v="1"/>
    <x v="1"/>
  </r>
  <r>
    <x v="763"/>
    <s v="GOODLUCK INDIA LIMITED"/>
    <n v="1004"/>
    <n v="1004"/>
    <n v="915"/>
    <n v="919.8"/>
    <n v="1017.1"/>
    <n v="218318"/>
    <n v="12192"/>
    <n v="30572780578"/>
    <n v="33238509"/>
    <n v="-9.5664143152099168"/>
    <x v="692"/>
    <x v="0"/>
    <x v="1"/>
    <x v="1"/>
  </r>
  <r>
    <x v="764"/>
    <s v="GOPAL SNACKS LIMITED"/>
    <n v="268"/>
    <n v="273.95"/>
    <n v="255.9"/>
    <n v="258.35000000000002"/>
    <n v="273.10000000000002"/>
    <n v="190888"/>
    <n v="3046"/>
    <n v="32196182572"/>
    <n v="124622344"/>
    <n v="-5.4009520322226283"/>
    <x v="693"/>
    <x v="0"/>
    <x v="1"/>
    <x v="1"/>
  </r>
  <r>
    <x v="765"/>
    <s v="GODAWARI POW &amp; ISP LTD"/>
    <n v="257.7"/>
    <n v="260.39999999999998"/>
    <n v="250.3"/>
    <n v="251.85"/>
    <n v="262.64999999999998"/>
    <n v="1882121"/>
    <n v="29264"/>
    <n v="169000000000"/>
    <n v="669795408"/>
    <n v="-4.111936036550536"/>
    <x v="694"/>
    <x v="0"/>
    <x v="2"/>
    <x v="0"/>
  </r>
  <r>
    <x v="766"/>
    <s v="GUJARAT PIPAVAV PORT LTD"/>
    <n v="149.1"/>
    <n v="150"/>
    <n v="143.25"/>
    <n v="144.07"/>
    <n v="151.66999999999999"/>
    <n v="1235200"/>
    <n v="20446"/>
    <n v="69649187834"/>
    <n v="483439910"/>
    <n v="-5.0108788817828147"/>
    <x v="695"/>
    <x v="0"/>
    <x v="2"/>
    <x v="0"/>
  </r>
  <r>
    <x v="767"/>
    <s v="GPT HEALTHCARE LIMITED"/>
    <n v="119.3"/>
    <n v="121.85"/>
    <n v="118"/>
    <n v="118.85"/>
    <n v="120.65"/>
    <n v="244507"/>
    <n v="4852"/>
    <n v="9752215714"/>
    <n v="82054823"/>
    <n v="-1.49191877331124"/>
    <x v="696"/>
    <x v="0"/>
    <x v="1"/>
    <x v="1"/>
  </r>
  <r>
    <x v="768"/>
    <s v="GPT INFRAPROJECTS LTD"/>
    <n v="106"/>
    <n v="106"/>
    <n v="100"/>
    <n v="100.5"/>
    <n v="103.62"/>
    <n v="317471"/>
    <n v="3370"/>
    <n v="12699642300"/>
    <n v="126364600"/>
    <n v="-3.0110017371163913"/>
    <x v="333"/>
    <x v="0"/>
    <x v="1"/>
    <x v="1"/>
  </r>
  <r>
    <x v="769"/>
    <s v="GRANULES INDIA LIMITED"/>
    <n v="585"/>
    <n v="590"/>
    <n v="566.75"/>
    <n v="580.15"/>
    <n v="590.95000000000005"/>
    <n v="609667"/>
    <n v="21110"/>
    <n v="141000000000"/>
    <n v="242668716"/>
    <n v="-1.8275657839072794"/>
    <x v="343"/>
    <x v="0"/>
    <x v="2"/>
    <x v="1"/>
  </r>
  <r>
    <x v="770"/>
    <s v="GRAPHITE INDIA LTD"/>
    <n v="599.95000000000005"/>
    <n v="599.95000000000005"/>
    <n v="558.04999999999995"/>
    <n v="563.70000000000005"/>
    <n v="607.1"/>
    <n v="1029339"/>
    <n v="38718"/>
    <n v="110000000000"/>
    <n v="195375594"/>
    <n v="-7.1487399110525418"/>
    <x v="697"/>
    <x v="0"/>
    <x v="2"/>
    <x v="0"/>
  </r>
  <r>
    <x v="771"/>
    <s v="GRAVITA INDIA LIMITED"/>
    <n v="1393.9"/>
    <n v="1399"/>
    <n v="1291.0999999999999"/>
    <n v="1306.7"/>
    <n v="1405.2"/>
    <n v="406633"/>
    <n v="38799"/>
    <n v="96445502922"/>
    <n v="73808451"/>
    <n v="-7.0096783376031881"/>
    <x v="698"/>
    <x v="0"/>
    <x v="2"/>
    <x v="1"/>
  </r>
  <r>
    <x v="772"/>
    <s v="GREAVES COTTON LTD."/>
    <n v="132.41999999999999"/>
    <n v="132.6"/>
    <n v="126.59"/>
    <n v="128.01"/>
    <n v="134.72999999999999"/>
    <n v="1507989"/>
    <n v="16148"/>
    <n v="29806435326"/>
    <n v="232844585"/>
    <n v="-4.9877532843464705"/>
    <x v="699"/>
    <x v="0"/>
    <x v="1"/>
    <x v="0"/>
  </r>
  <r>
    <x v="773"/>
    <s v="GREENLAM INDUSTRIES LTD."/>
    <n v="214.41"/>
    <n v="214.41"/>
    <n v="199.87"/>
    <n v="204.38"/>
    <n v="213.53"/>
    <n v="225328"/>
    <n v="3451"/>
    <n v="52147087335"/>
    <n v="255147702"/>
    <n v="-4.2851121622254507"/>
    <x v="700"/>
    <x v="0"/>
    <x v="2"/>
    <x v="1"/>
  </r>
  <r>
    <x v="774"/>
    <s v="GREENPANEL INDUSTRIES LTD"/>
    <n v="192.3"/>
    <n v="192.74"/>
    <n v="177.4"/>
    <n v="178.68"/>
    <n v="194.07"/>
    <n v="151856"/>
    <n v="4365"/>
    <n v="21911062939"/>
    <n v="122627395"/>
    <n v="-7.9301283042201201"/>
    <x v="701"/>
    <x v="0"/>
    <x v="1"/>
    <x v="1"/>
  </r>
  <r>
    <x v="775"/>
    <s v="GREENPLY INDUSTRIES LTD"/>
    <n v="191.8"/>
    <n v="191.8"/>
    <n v="179"/>
    <n v="181.14"/>
    <n v="192.9"/>
    <n v="221029"/>
    <n v="4706"/>
    <n v="22622175186"/>
    <n v="124887795"/>
    <n v="-6.0964230171073188"/>
    <x v="702"/>
    <x v="0"/>
    <x v="1"/>
    <x v="1"/>
  </r>
  <r>
    <x v="776"/>
    <s v="ORIENT GREEN POWER CO LTD"/>
    <n v="9.35"/>
    <n v="9.48"/>
    <n v="8.69"/>
    <n v="8.7200000000000006"/>
    <n v="9.35"/>
    <n v="7564112"/>
    <n v="11197"/>
    <n v="10228758781"/>
    <n v="1173022796"/>
    <n v="-6.7379679144384923"/>
    <x v="703"/>
    <x v="0"/>
    <x v="1"/>
    <x v="0"/>
  </r>
  <r>
    <x v="777"/>
    <s v="GRINDWELL NORTON LIMITED"/>
    <n v="1395.3"/>
    <n v="1399.9"/>
    <n v="1329"/>
    <n v="1364.2"/>
    <n v="1402.2"/>
    <n v="71197"/>
    <n v="10167"/>
    <n v="151000000000"/>
    <n v="110720000"/>
    <n v="-2.7100271002710024"/>
    <x v="704"/>
    <x v="0"/>
    <x v="2"/>
    <x v="1"/>
  </r>
  <r>
    <x v="778"/>
    <s v="G R INFRAPROJECTS LIMITED"/>
    <n v="855"/>
    <n v="855.05"/>
    <n v="822.05"/>
    <n v="844.5"/>
    <n v="859.7"/>
    <n v="54657"/>
    <n v="5181"/>
    <n v="81714266741"/>
    <n v="96760529"/>
    <n v="-1.7680586251017851"/>
    <x v="159"/>
    <x v="0"/>
    <x v="2"/>
    <x v="1"/>
  </r>
  <r>
    <x v="779"/>
    <s v="GRM OVERSEAS LIMITED"/>
    <n v="154"/>
    <n v="155.5"/>
    <n v="148.01"/>
    <n v="152.12"/>
    <n v="154.27000000000001"/>
    <n v="1327816"/>
    <n v="4328"/>
    <n v="27998598720"/>
    <n v="184056000"/>
    <n v="-1.3936604654177775"/>
    <x v="705"/>
    <x v="0"/>
    <x v="1"/>
    <x v="0"/>
  </r>
  <r>
    <x v="780"/>
    <s v="THE GROB TEA COMPANY LTD"/>
    <n v="871.3"/>
    <n v="889.95"/>
    <n v="841"/>
    <n v="845.95"/>
    <n v="889.4"/>
    <n v="345"/>
    <n v="76"/>
    <n v="983273063.5"/>
    <n v="1162330"/>
    <n v="-4.8853159433325768"/>
    <x v="706"/>
    <x v="0"/>
    <x v="1"/>
    <x v="1"/>
  </r>
  <r>
    <x v="781"/>
    <s v="BILLIONBRAINS GARAGE VN L"/>
    <n v="158.93"/>
    <n v="162.9"/>
    <n v="156.05000000000001"/>
    <n v="162.15"/>
    <n v="161.46"/>
    <n v="16946943"/>
    <n v="88829"/>
    <n v="1000000000000"/>
    <n v="6173596631"/>
    <n v="0.42735042735042594"/>
    <x v="707"/>
    <x v="1"/>
    <x v="0"/>
    <x v="0"/>
  </r>
  <r>
    <x v="782"/>
    <s v="GRP LIMITED"/>
    <n v="1847.9"/>
    <n v="1850"/>
    <n v="1779.6"/>
    <n v="1783.4"/>
    <n v="1847.9"/>
    <n v="2026"/>
    <n v="421"/>
    <n v="9511464289"/>
    <n v="5333332"/>
    <n v="-3.4904486173494238"/>
    <x v="708"/>
    <x v="0"/>
    <x v="1"/>
    <x v="1"/>
  </r>
  <r>
    <x v="783"/>
    <s v="GARDEN REACH SHIP&amp;ENG LTD"/>
    <n v="2249"/>
    <n v="2249"/>
    <n v="2104.1"/>
    <n v="2136.1999999999998"/>
    <n v="2280.8000000000002"/>
    <n v="951888"/>
    <n v="65077"/>
    <n v="245000000000"/>
    <n v="114552000"/>
    <n v="-6.3398807435987523"/>
    <x v="709"/>
    <x v="0"/>
    <x v="0"/>
    <x v="1"/>
  </r>
  <r>
    <x v="784"/>
    <s v="GARWARE HI-TECH FILMS LTD"/>
    <n v="3636"/>
    <n v="3636"/>
    <n v="3393"/>
    <n v="3412"/>
    <n v="3650.8"/>
    <n v="70935"/>
    <n v="14376"/>
    <n v="79268928328"/>
    <n v="23232394"/>
    <n v="-6.5410321025528697"/>
    <x v="710"/>
    <x v="0"/>
    <x v="2"/>
    <x v="1"/>
  </r>
  <r>
    <x v="785"/>
    <s v="GUJ STATE FERT &amp; CHEM LTD"/>
    <n v="152.12"/>
    <n v="152.25"/>
    <n v="146.5"/>
    <n v="147.02000000000001"/>
    <n v="153.94999999999999"/>
    <n v="1092969"/>
    <n v="15978"/>
    <n v="58584166461"/>
    <n v="398477530"/>
    <n v="-4.5014615134783886"/>
    <x v="578"/>
    <x v="0"/>
    <x v="2"/>
    <x v="0"/>
  </r>
  <r>
    <x v="786"/>
    <s v="GLOBAL SURFACES LIMITED"/>
    <n v="54.77"/>
    <n v="56.9"/>
    <n v="54.77"/>
    <n v="54.77"/>
    <n v="57.65"/>
    <n v="156319"/>
    <n v="381"/>
    <n v="2321252172"/>
    <n v="42381818"/>
    <n v="-4.9956634865568006"/>
    <x v="711"/>
    <x v="0"/>
    <x v="1"/>
    <x v="1"/>
  </r>
  <r>
    <x v="787"/>
    <s v="GUJARAT STATE PETRO LTD"/>
    <n v="253"/>
    <n v="253"/>
    <n v="232.6"/>
    <n v="235.3"/>
    <n v="254.75"/>
    <n v="864094"/>
    <n v="22929"/>
    <n v="133000000000"/>
    <n v="564211376"/>
    <n v="-7.6349362119725175"/>
    <x v="712"/>
    <x v="0"/>
    <x v="2"/>
    <x v="1"/>
  </r>
  <r>
    <x v="788"/>
    <s v="GSS INFOTECH LIMITED"/>
    <n v="11.35"/>
    <n v="11.35"/>
    <n v="10"/>
    <n v="10.26"/>
    <n v="10.99"/>
    <n v="76025"/>
    <n v="371"/>
    <n v="268369209.19999999"/>
    <n v="26156843"/>
    <n v="-6.642402183803461"/>
    <x v="713"/>
    <x v="0"/>
    <x v="1"/>
    <x v="1"/>
  </r>
  <r>
    <x v="789"/>
    <s v="G-TEC JAINX EDUCATION LTD"/>
    <n v="19.600000000000001"/>
    <n v="20.49"/>
    <n v="19.600000000000001"/>
    <n v="20.47"/>
    <n v="20.59"/>
    <n v="388"/>
    <n v="10"/>
    <n v="208570836.09999999"/>
    <n v="10189098"/>
    <n v="-0.58280718795532294"/>
    <x v="714"/>
    <x v="1"/>
    <x v="1"/>
    <x v="1"/>
  </r>
  <r>
    <x v="790"/>
    <s v="GTL LTD"/>
    <n v="6.36"/>
    <n v="6.43"/>
    <n v="6.04"/>
    <n v="6.06"/>
    <n v="6.36"/>
    <n v="435478"/>
    <n v="848"/>
    <n v="953218492.89999998"/>
    <n v="157296781"/>
    <n v="-4.7169811320754826"/>
    <x v="715"/>
    <x v="0"/>
    <x v="1"/>
    <x v="1"/>
  </r>
  <r>
    <x v="791"/>
    <s v="GTL INFRA.LTD"/>
    <n v="1.03"/>
    <n v="1.03"/>
    <n v="0.99"/>
    <n v="0.99"/>
    <n v="1.03"/>
    <n v="53710020"/>
    <n v="15980"/>
    <n v="12681020776"/>
    <n v="12809111895"/>
    <n v="-3.8834951456310711"/>
    <x v="716"/>
    <x v="0"/>
    <x v="1"/>
    <x v="0"/>
  </r>
  <r>
    <x v="792"/>
    <s v="GTPL HATHWAY LIMITED"/>
    <n v="58.01"/>
    <n v="58.01"/>
    <n v="56"/>
    <n v="57.09"/>
    <n v="59.03"/>
    <n v="756134"/>
    <n v="2605"/>
    <n v="6420514839"/>
    <n v="112463038"/>
    <n v="-3.2864645095714002"/>
    <x v="717"/>
    <x v="0"/>
    <x v="1"/>
    <x v="1"/>
  </r>
  <r>
    <x v="793"/>
    <s v="GUFIC BIOSCIENCES LTD."/>
    <n v="289.8"/>
    <n v="293.89999999999998"/>
    <n v="278.55"/>
    <n v="281.45"/>
    <n v="294.35000000000002"/>
    <n v="52452"/>
    <n v="2660"/>
    <n v="28224511314"/>
    <n v="100282506"/>
    <n v="-4.3825377951418494"/>
    <x v="686"/>
    <x v="0"/>
    <x v="1"/>
    <x v="1"/>
  </r>
  <r>
    <x v="794"/>
    <s v="GUJARAT ALKALIES &amp; CHEM"/>
    <n v="549.9"/>
    <n v="637.70000000000005"/>
    <n v="542.6"/>
    <n v="615.1"/>
    <n v="538.25"/>
    <n v="62739288"/>
    <n v="677160"/>
    <n v="45176168354"/>
    <n v="73445242"/>
    <n v="14.277751973989785"/>
    <x v="718"/>
    <x v="1"/>
    <x v="1"/>
    <x v="0"/>
  </r>
  <r>
    <x v="795"/>
    <s v="GUJ. APOLLO IND. LTD."/>
    <n v="449"/>
    <n v="449"/>
    <n v="422.1"/>
    <n v="427.1"/>
    <n v="447"/>
    <n v="21322"/>
    <n v="1431"/>
    <n v="5039780000"/>
    <n v="11800000"/>
    <n v="-4.4519015659955201"/>
    <x v="18"/>
    <x v="0"/>
    <x v="1"/>
    <x v="1"/>
  </r>
  <r>
    <x v="796"/>
    <s v="GUJARAT GAS LIMITED"/>
    <n v="352.4"/>
    <n v="352.4"/>
    <n v="329.55"/>
    <n v="335.3"/>
    <n v="354.6"/>
    <n v="1026140"/>
    <n v="28781"/>
    <n v="231000000000"/>
    <n v="688390125"/>
    <n v="-5.442752397067121"/>
    <x v="719"/>
    <x v="0"/>
    <x v="0"/>
    <x v="0"/>
  </r>
  <r>
    <x v="797"/>
    <s v="GUJARAT RAFFIA INDUST LTD"/>
    <n v="36.299999999999997"/>
    <n v="37.39"/>
    <n v="36.090000000000003"/>
    <n v="36.799999999999997"/>
    <n v="36.270000000000003"/>
    <n v="1127"/>
    <n v="40"/>
    <n v="198885600"/>
    <n v="5404500"/>
    <n v="1.4612627515853156"/>
    <x v="720"/>
    <x v="1"/>
    <x v="1"/>
    <x v="1"/>
  </r>
  <r>
    <x v="798"/>
    <s v="GUJARAT THEMIS BIOSYN LTD"/>
    <n v="274.39999999999998"/>
    <n v="274.39999999999998"/>
    <n v="252.35"/>
    <n v="258.3"/>
    <n v="273.5"/>
    <n v="65225"/>
    <n v="2254"/>
    <n v="28145727950"/>
    <n v="108965265"/>
    <n v="-5.5575868372943287"/>
    <x v="721"/>
    <x v="0"/>
    <x v="1"/>
    <x v="1"/>
  </r>
  <r>
    <x v="799"/>
    <s v="GULF OIL LUB. IND. LTD."/>
    <n v="922.3"/>
    <n v="924.1"/>
    <n v="865"/>
    <n v="870.2"/>
    <n v="919.3"/>
    <n v="129492"/>
    <n v="12680"/>
    <n v="42917935935"/>
    <n v="49319623"/>
    <n v="-5.3410203415642243"/>
    <x v="722"/>
    <x v="0"/>
    <x v="1"/>
    <x v="1"/>
  </r>
  <r>
    <x v="800"/>
    <s v="GP PETROLEUMS LIMITED"/>
    <n v="28.1"/>
    <n v="28.45"/>
    <n v="27.05"/>
    <n v="27.06"/>
    <n v="28.24"/>
    <n v="167891"/>
    <n v="893"/>
    <n v="1379637404"/>
    <n v="50984383"/>
    <n v="-4.1784702549575066"/>
    <x v="723"/>
    <x v="0"/>
    <x v="1"/>
    <x v="1"/>
  </r>
  <r>
    <x v="801"/>
    <s v="GULSHAN POLYOLS LIMITED"/>
    <n v="152.59"/>
    <n v="153.06"/>
    <n v="140.1"/>
    <n v="141.88"/>
    <n v="155.69"/>
    <n v="157226"/>
    <n v="3398"/>
    <n v="8849138884"/>
    <n v="62370587"/>
    <n v="-8.8701907636970923"/>
    <x v="724"/>
    <x v="0"/>
    <x v="1"/>
    <x v="1"/>
  </r>
  <r>
    <x v="802"/>
    <s v="GVP INFOTECH LIMITED"/>
    <n v="6.03"/>
    <n v="6.6"/>
    <n v="5.83"/>
    <n v="5.87"/>
    <n v="6.7"/>
    <n v="290201"/>
    <n v="671"/>
    <n v="955997533.29999995"/>
    <n v="162861590"/>
    <n v="-12.388059701492537"/>
    <x v="725"/>
    <x v="0"/>
    <x v="1"/>
    <x v="1"/>
  </r>
  <r>
    <x v="803"/>
    <s v="GE VERNOVA T&amp;D INDIA LTD"/>
    <n v="3649"/>
    <n v="3649"/>
    <n v="3420.1"/>
    <n v="3461"/>
    <n v="3678.9"/>
    <n v="882995"/>
    <n v="77775"/>
    <n v="886000000000"/>
    <n v="256046535"/>
    <n v="-5.9229661039984807"/>
    <x v="726"/>
    <x v="0"/>
    <x v="0"/>
    <x v="1"/>
  </r>
  <r>
    <x v="804"/>
    <s v="HALDER VENTURE LIMITED"/>
    <n v="253.75"/>
    <n v="253.75"/>
    <n v="243"/>
    <n v="243.7"/>
    <n v="255"/>
    <n v="720"/>
    <n v="37"/>
    <n v="3031173500"/>
    <n v="12438135"/>
    <n v="-4.4313725490196125"/>
    <x v="727"/>
    <x v="0"/>
    <x v="1"/>
    <x v="1"/>
  </r>
  <r>
    <x v="805"/>
    <s v="HALEOS LABS LIMITED"/>
    <n v="1226.4000000000001"/>
    <n v="1294"/>
    <n v="1203.3"/>
    <n v="1224.7"/>
    <n v="1246"/>
    <n v="832"/>
    <n v="67"/>
    <n v="3702619589"/>
    <n v="3023287"/>
    <n v="-1.7094703049759192"/>
    <x v="728"/>
    <x v="0"/>
    <x v="1"/>
    <x v="1"/>
  </r>
  <r>
    <x v="806"/>
    <s v="HAPPIEST MINDS TECHNO LTD"/>
    <n v="397"/>
    <n v="398"/>
    <n v="389"/>
    <n v="392.65"/>
    <n v="410.85"/>
    <n v="2963359"/>
    <n v="51455"/>
    <n v="59790704539"/>
    <n v="152274811"/>
    <n v="-4.4298405744188987"/>
    <x v="729"/>
    <x v="0"/>
    <x v="2"/>
    <x v="0"/>
  </r>
  <r>
    <x v="807"/>
    <s v="HAPPY FORGINGS LIMITED"/>
    <n v="1245.0999999999999"/>
    <n v="1259.0999999999999"/>
    <n v="1186"/>
    <n v="1208.5"/>
    <n v="1265.4000000000001"/>
    <n v="69936"/>
    <n v="8408"/>
    <n v="114000000000"/>
    <n v="94327921"/>
    <n v="-4.4966018650229245"/>
    <x v="730"/>
    <x v="0"/>
    <x v="2"/>
    <x v="1"/>
  </r>
  <r>
    <x v="808"/>
    <s v="HARIOM PIPE INDUSTRIES L"/>
    <n v="300"/>
    <n v="306.75"/>
    <n v="298.55"/>
    <n v="302.89999999999998"/>
    <n v="305.55"/>
    <n v="189219"/>
    <n v="6559"/>
    <n v="9379991838"/>
    <n v="30967289"/>
    <n v="-0.86728849615448667"/>
    <x v="651"/>
    <x v="1"/>
    <x v="1"/>
    <x v="1"/>
  </r>
  <r>
    <x v="809"/>
    <s v="HARRISON MALAYALAM LTD"/>
    <n v="172.94"/>
    <n v="173.25"/>
    <n v="162.35"/>
    <n v="164.31"/>
    <n v="174.48"/>
    <n v="14135"/>
    <n v="487"/>
    <n v="3032407596"/>
    <n v="18455405"/>
    <n v="-5.82874828060522"/>
    <x v="25"/>
    <x v="0"/>
    <x v="1"/>
    <x v="1"/>
  </r>
  <r>
    <x v="810"/>
    <s v="HARSHA ENGINEERS INT LTD"/>
    <n v="337.2"/>
    <n v="342.75"/>
    <n v="323.10000000000002"/>
    <n v="328.25"/>
    <n v="340.6"/>
    <n v="45311"/>
    <n v="1800"/>
    <n v="29885227466"/>
    <n v="91044105"/>
    <n v="-3.625954198473289"/>
    <x v="731"/>
    <x v="0"/>
    <x v="1"/>
    <x v="1"/>
  </r>
  <r>
    <x v="811"/>
    <s v="HATHWAY CABLE &amp; DATACOM"/>
    <n v="9.75"/>
    <n v="9.75"/>
    <n v="9.27"/>
    <n v="9.31"/>
    <n v="9.84"/>
    <n v="3076311"/>
    <n v="5582"/>
    <n v="16479672895"/>
    <n v="1770104500"/>
    <n v="-5.3861788617886122"/>
    <x v="176"/>
    <x v="0"/>
    <x v="1"/>
    <x v="0"/>
  </r>
  <r>
    <x v="812"/>
    <s v="HATSUN AGRO PRODUCT LTD."/>
    <n v="950"/>
    <n v="950"/>
    <n v="885"/>
    <n v="890.15"/>
    <n v="956.75"/>
    <n v="33167"/>
    <n v="4270"/>
    <n v="198000000000"/>
    <n v="222748268"/>
    <n v="-6.9610661092239372"/>
    <x v="3"/>
    <x v="0"/>
    <x v="2"/>
    <x v="1"/>
  </r>
  <r>
    <x v="813"/>
    <s v="SRI HAVISHA HOSP &amp; INFR L"/>
    <n v="1.29"/>
    <n v="1.35"/>
    <n v="1.1100000000000001"/>
    <n v="1.1399999999999999"/>
    <n v="1.29"/>
    <n v="53846"/>
    <n v="198"/>
    <n v="175030812"/>
    <n v="153535800"/>
    <n v="-11.627906976744196"/>
    <x v="732"/>
    <x v="0"/>
    <x v="1"/>
    <x v="1"/>
  </r>
  <r>
    <x v="814"/>
    <s v="HBL ENGINEERING LTD"/>
    <n v="650"/>
    <n v="657.9"/>
    <n v="618.4"/>
    <n v="625.6"/>
    <n v="659.5"/>
    <n v="1338504"/>
    <n v="40915"/>
    <n v="173000000000"/>
    <n v="277194946"/>
    <n v="-5.1402577710386623"/>
    <x v="733"/>
    <x v="0"/>
    <x v="2"/>
    <x v="0"/>
  </r>
  <r>
    <x v="815"/>
    <s v="HB STOCKHOLDINGS LIMITED"/>
    <n v="48"/>
    <n v="48"/>
    <n v="45.76"/>
    <n v="46.41"/>
    <n v="48.16"/>
    <n v="2322"/>
    <n v="78"/>
    <n v="331259032.69999999"/>
    <n v="7137665"/>
    <n v="-3.6337209302325584"/>
    <x v="734"/>
    <x v="0"/>
    <x v="1"/>
    <x v="1"/>
  </r>
  <r>
    <x v="816"/>
    <s v="HINDUSTAN CONSTRUCTION CO"/>
    <n v="15.25"/>
    <n v="15.3"/>
    <n v="14.15"/>
    <n v="14.23"/>
    <n v="15.44"/>
    <n v="42325802"/>
    <n v="28493"/>
    <n v="37275030522"/>
    <n v="2619468062"/>
    <n v="-7.8367875647668335"/>
    <x v="735"/>
    <x v="0"/>
    <x v="1"/>
    <x v="0"/>
  </r>
  <r>
    <x v="817"/>
    <s v="HEALTHCARE GLOB. ENT. LTD"/>
    <n v="533.1"/>
    <n v="539.20000000000005"/>
    <n v="519"/>
    <n v="521.75"/>
    <n v="544.25"/>
    <n v="178272"/>
    <n v="13209"/>
    <n v="77898424937"/>
    <n v="149302204"/>
    <n v="-4.1341295360587962"/>
    <x v="736"/>
    <x v="0"/>
    <x v="2"/>
    <x v="1"/>
  </r>
  <r>
    <x v="818"/>
    <s v="HCL INFOSYSTEMS LTD"/>
    <n v="11.73"/>
    <n v="11.73"/>
    <n v="10.75"/>
    <n v="10.84"/>
    <n v="11.73"/>
    <n v="1195813"/>
    <n v="2262"/>
    <n v="3568635620"/>
    <n v="329209928"/>
    <n v="-7.5873827791986415"/>
    <x v="229"/>
    <x v="0"/>
    <x v="1"/>
    <x v="0"/>
  </r>
  <r>
    <x v="819"/>
    <s v="HDB FINANCIAL SERVICES L"/>
    <n v="627"/>
    <n v="629"/>
    <n v="600.54999999999995"/>
    <n v="606.5"/>
    <n v="634.9"/>
    <n v="1380857"/>
    <n v="49502"/>
    <n v="503000000000"/>
    <n v="829847223"/>
    <n v="-4.473145377224756"/>
    <x v="737"/>
    <x v="0"/>
    <x v="0"/>
    <x v="0"/>
  </r>
  <r>
    <x v="820"/>
    <s v="HDFC AMC LIMITED"/>
    <n v="2359.9"/>
    <n v="2361.3000000000002"/>
    <n v="2236.6"/>
    <n v="2254.6"/>
    <n v="2385.9"/>
    <n v="1483046"/>
    <n v="91916"/>
    <n v="966000000000"/>
    <n v="428308492"/>
    <n v="-5.5031644243262576"/>
    <x v="738"/>
    <x v="0"/>
    <x v="0"/>
    <x v="0"/>
  </r>
  <r>
    <x v="821"/>
    <s v="HEADS UP VENTURES LIMITED"/>
    <n v="6.54"/>
    <n v="6.59"/>
    <n v="5.87"/>
    <n v="6.38"/>
    <n v="6.54"/>
    <n v="125997"/>
    <n v="261"/>
    <n v="140887045.40000001"/>
    <n v="22082609"/>
    <n v="-2.4464831804281366"/>
    <x v="739"/>
    <x v="0"/>
    <x v="1"/>
    <x v="1"/>
  </r>
  <r>
    <x v="822"/>
    <s v="HEC INFRA PROJECTS LTD"/>
    <n v="107"/>
    <n v="107"/>
    <n v="100.25"/>
    <n v="102.22"/>
    <n v="107.45"/>
    <n v="14484"/>
    <n v="191"/>
    <n v="1107876715"/>
    <n v="10838160"/>
    <n v="-4.8673801768264342"/>
    <x v="695"/>
    <x v="0"/>
    <x v="1"/>
    <x v="1"/>
  </r>
  <r>
    <x v="823"/>
    <s v="HEG LTD"/>
    <n v="490"/>
    <n v="495.6"/>
    <n v="470.8"/>
    <n v="477.25"/>
    <n v="498.15"/>
    <n v="918176"/>
    <n v="25722"/>
    <n v="92098526193"/>
    <n v="192977530"/>
    <n v="-4.1955234367158445"/>
    <x v="740"/>
    <x v="0"/>
    <x v="2"/>
    <x v="1"/>
  </r>
  <r>
    <x v="824"/>
    <s v="HEIDELBERGCEMENT (I) LTD"/>
    <n v="147.88999999999999"/>
    <n v="150"/>
    <n v="142"/>
    <n v="148.25"/>
    <n v="149.43"/>
    <n v="229687"/>
    <n v="3746"/>
    <n v="33595394447"/>
    <n v="226613116"/>
    <n v="-0.78966740279730085"/>
    <x v="345"/>
    <x v="1"/>
    <x v="1"/>
    <x v="1"/>
  </r>
  <r>
    <x v="825"/>
    <s v="HEMISPHERE PROP IND LTD"/>
    <n v="134.11000000000001"/>
    <n v="135.08000000000001"/>
    <n v="126.05"/>
    <n v="126.99"/>
    <n v="137.19999999999999"/>
    <n v="816641"/>
    <n v="7988"/>
    <n v="36192150000"/>
    <n v="285000000"/>
    <n v="-7.4416909620991216"/>
    <x v="741"/>
    <x v="0"/>
    <x v="1"/>
    <x v="1"/>
  </r>
  <r>
    <x v="826"/>
    <s v="HERANBA INDUSTRIES LTD"/>
    <n v="177.8"/>
    <n v="177.95"/>
    <n v="167"/>
    <n v="169.9"/>
    <n v="179.39"/>
    <n v="75856"/>
    <n v="1598"/>
    <n v="6798288043"/>
    <n v="40013467"/>
    <n v="-5.2901499526171927"/>
    <x v="153"/>
    <x v="0"/>
    <x v="1"/>
    <x v="1"/>
  </r>
  <r>
    <x v="827"/>
    <s v="HERITAGE FOODS LTD"/>
    <n v="307"/>
    <n v="308.7"/>
    <n v="300.45"/>
    <n v="301.10000000000002"/>
    <n v="309.45"/>
    <n v="286510"/>
    <n v="7568"/>
    <n v="27940875600"/>
    <n v="92796000"/>
    <n v="-2.6983357569881941"/>
    <x v="742"/>
    <x v="0"/>
    <x v="1"/>
    <x v="1"/>
  </r>
  <r>
    <x v="828"/>
    <s v="HERO MOTOCORP LIMITED"/>
    <n v="5191"/>
    <n v="5200"/>
    <n v="5051"/>
    <n v="5065"/>
    <n v="5275.5"/>
    <n v="340775"/>
    <n v="41370"/>
    <n v="1010000000000"/>
    <n v="200081612"/>
    <n v="-3.9901431143967394"/>
    <x v="743"/>
    <x v="0"/>
    <x v="0"/>
    <x v="1"/>
  </r>
  <r>
    <x v="829"/>
    <s v="HESTER BIOSCIENCES LTD"/>
    <n v="1395"/>
    <n v="1395"/>
    <n v="1336.1"/>
    <n v="1347.9"/>
    <n v="1395"/>
    <n v="6970"/>
    <n v="704"/>
    <n v="11466403334"/>
    <n v="8506865"/>
    <n v="-3.3763440860214988"/>
    <x v="744"/>
    <x v="0"/>
    <x v="1"/>
    <x v="1"/>
  </r>
  <r>
    <x v="830"/>
    <s v="HEXA TRADEX LIMITED"/>
    <n v="164"/>
    <n v="164"/>
    <n v="158"/>
    <n v="158.26"/>
    <n v="159.66"/>
    <n v="13736"/>
    <n v="155"/>
    <n v="8743026855"/>
    <n v="55244704"/>
    <n v="-0.87686333458599874"/>
    <x v="333"/>
    <x v="0"/>
    <x v="1"/>
    <x v="1"/>
  </r>
  <r>
    <x v="831"/>
    <s v="HEXAWARE TECHNOLOGIES LTD"/>
    <n v="430.1"/>
    <n v="445.85"/>
    <n v="421.25"/>
    <n v="436"/>
    <n v="439.45"/>
    <n v="1623018"/>
    <n v="70974"/>
    <n v="266000000000"/>
    <n v="611015992"/>
    <n v="-0.78507224940265985"/>
    <x v="745"/>
    <x v="1"/>
    <x v="0"/>
    <x v="0"/>
  </r>
  <r>
    <x v="832"/>
    <s v="HFCL LIMITED"/>
    <n v="70"/>
    <n v="70"/>
    <n v="66.2"/>
    <n v="66.489999999999995"/>
    <n v="71.16"/>
    <n v="16207486"/>
    <n v="46673"/>
    <n v="102000000000"/>
    <n v="1530602463"/>
    <n v="-6.5626756604834204"/>
    <x v="746"/>
    <x v="0"/>
    <x v="2"/>
    <x v="0"/>
  </r>
  <r>
    <x v="833"/>
    <s v="H.G.INFRA ENGINEERING LTD"/>
    <n v="480"/>
    <n v="482.5"/>
    <n v="458"/>
    <n v="467.6"/>
    <n v="489.9"/>
    <n v="255592"/>
    <n v="10551"/>
    <n v="30474011504"/>
    <n v="65171111"/>
    <n v="-4.5519493774239548"/>
    <x v="747"/>
    <x v="0"/>
    <x v="1"/>
    <x v="1"/>
  </r>
  <r>
    <x v="834"/>
    <s v="HANDSON GBL MNGMNT LTD"/>
    <n v="49.9"/>
    <n v="53.85"/>
    <n v="46.11"/>
    <n v="53.85"/>
    <n v="44.88"/>
    <n v="49065"/>
    <n v="401"/>
    <n v="678239242.20000005"/>
    <n v="12594972"/>
    <n v="19.986631016042779"/>
    <x v="748"/>
    <x v="1"/>
    <x v="1"/>
    <x v="1"/>
  </r>
  <r>
    <x v="835"/>
    <s v="HINDUJA GLOBAL SOLS. LTD."/>
    <n v="355.05"/>
    <n v="356.8"/>
    <n v="351"/>
    <n v="354.05"/>
    <n v="362.25"/>
    <n v="51023"/>
    <n v="1200"/>
    <n v="16470506904"/>
    <n v="46520285"/>
    <n v="-2.2636300897170432"/>
    <x v="34"/>
    <x v="0"/>
    <x v="1"/>
    <x v="1"/>
  </r>
  <r>
    <x v="836"/>
    <s v="HIKAL LIMITED"/>
    <n v="165.78"/>
    <n v="165.86"/>
    <n v="155.01"/>
    <n v="156.53"/>
    <n v="168.48"/>
    <n v="558618"/>
    <n v="8902"/>
    <n v="19300266398"/>
    <n v="123300750"/>
    <n v="-7.0928300094966703"/>
    <x v="749"/>
    <x v="0"/>
    <x v="1"/>
    <x v="1"/>
  </r>
  <r>
    <x v="837"/>
    <s v="HIGHWAY INFRASTRUCTURE L"/>
    <n v="48.83"/>
    <n v="48.83"/>
    <n v="45.75"/>
    <n v="46"/>
    <n v="48.21"/>
    <n v="189724"/>
    <n v="1928"/>
    <n v="3299149072"/>
    <n v="71720632"/>
    <n v="-4.5841111802530614"/>
    <x v="750"/>
    <x v="0"/>
    <x v="1"/>
    <x v="1"/>
  </r>
  <r>
    <x v="838"/>
    <s v="HILTON METAL FORGING LTD"/>
    <n v="15.12"/>
    <n v="15.96"/>
    <n v="14"/>
    <n v="14.52"/>
    <n v="15.64"/>
    <n v="220081"/>
    <n v="1073"/>
    <n v="747294335.10000002"/>
    <n v="51466552"/>
    <n v="-7.1611253196931015"/>
    <x v="751"/>
    <x v="0"/>
    <x v="1"/>
    <x v="1"/>
  </r>
  <r>
    <x v="839"/>
    <s v="HIMATSINGKA SEIDE LTD"/>
    <n v="77.989999999999995"/>
    <n v="77.989999999999995"/>
    <n v="73.010000000000005"/>
    <n v="73.25"/>
    <n v="79.319999999999993"/>
    <n v="857622"/>
    <n v="7661"/>
    <n v="9210622669"/>
    <n v="125742289"/>
    <n v="-7.6525466464952006"/>
    <x v="61"/>
    <x v="0"/>
    <x v="1"/>
    <x v="1"/>
  </r>
  <r>
    <x v="840"/>
    <s v="HINDUSTAN COMPOSITES LTD."/>
    <n v="388"/>
    <n v="388.05"/>
    <n v="376"/>
    <n v="380.35"/>
    <n v="394.6"/>
    <n v="8674"/>
    <n v="212"/>
    <n v="5617389150"/>
    <n v="14769000"/>
    <n v="-3.6112519006588948"/>
    <x v="752"/>
    <x v="0"/>
    <x v="1"/>
    <x v="1"/>
  </r>
  <r>
    <x v="841"/>
    <s v="HINDCON CHEMICALS LIMITED"/>
    <n v="18.29"/>
    <n v="18.29"/>
    <n v="17.21"/>
    <n v="17.46"/>
    <n v="18.29"/>
    <n v="63216"/>
    <n v="365"/>
    <n v="893788312.5"/>
    <n v="51190625"/>
    <n v="-4.537998906506278"/>
    <x v="304"/>
    <x v="0"/>
    <x v="1"/>
    <x v="1"/>
  </r>
  <r>
    <x v="842"/>
    <s v="HINDUSTAN COPPER LTD"/>
    <n v="475"/>
    <n v="475.95"/>
    <n v="445.7"/>
    <n v="449.15"/>
    <n v="489.45"/>
    <n v="14250496"/>
    <n v="185265"/>
    <n v="434000000000"/>
    <n v="967024020"/>
    <n v="-8.2337317397078369"/>
    <x v="753"/>
    <x v="0"/>
    <x v="0"/>
    <x v="0"/>
  </r>
  <r>
    <x v="843"/>
    <s v="HINDUSTAN OIL EXPLORATION"/>
    <n v="128.43"/>
    <n v="128.43"/>
    <n v="120.1"/>
    <n v="122.26"/>
    <n v="128.43"/>
    <n v="1544702"/>
    <n v="11240"/>
    <n v="16174301118"/>
    <n v="132294300"/>
    <n v="-4.804173479716578"/>
    <x v="754"/>
    <x v="0"/>
    <x v="1"/>
    <x v="0"/>
  </r>
  <r>
    <x v="844"/>
    <s v="HINDUSTAN PETROLEUM CORP"/>
    <n v="324"/>
    <n v="329.65"/>
    <n v="316.2"/>
    <n v="319.14999999999998"/>
    <n v="336.3"/>
    <n v="13182560"/>
    <n v="133399"/>
    <n v="679000000000"/>
    <n v="2127822518"/>
    <n v="-5.0996134403806224"/>
    <x v="235"/>
    <x v="0"/>
    <x v="0"/>
    <x v="0"/>
  </r>
  <r>
    <x v="845"/>
    <s v="HINDWARE HME INOVATON LTD"/>
    <n v="195.49"/>
    <n v="196.5"/>
    <n v="179.4"/>
    <n v="180.69"/>
    <n v="197.14"/>
    <n v="255658"/>
    <n v="3293"/>
    <n v="15114060246"/>
    <n v="83646357"/>
    <n v="-8.3443238307801515"/>
    <x v="755"/>
    <x v="0"/>
    <x v="1"/>
    <x v="1"/>
  </r>
  <r>
    <x v="846"/>
    <s v="HIND RECTIFIER LIMITED"/>
    <n v="1495.8"/>
    <n v="1522.9"/>
    <n v="1420"/>
    <n v="1435.3"/>
    <n v="1488.6"/>
    <n v="44813"/>
    <n v="5028"/>
    <n v="24663918187"/>
    <n v="17183807"/>
    <n v="-3.5805454789735291"/>
    <x v="756"/>
    <x v="0"/>
    <x v="1"/>
    <x v="1"/>
  </r>
  <r>
    <x v="847"/>
    <s v="HISAR METAL IND. LIMITED"/>
    <n v="139.16"/>
    <n v="139.94"/>
    <n v="133.21"/>
    <n v="138"/>
    <n v="139.16"/>
    <n v="1402"/>
    <n v="77"/>
    <n v="745200000"/>
    <n v="5400000"/>
    <n v="-0.83357286576602241"/>
    <x v="757"/>
    <x v="0"/>
    <x v="1"/>
    <x v="1"/>
  </r>
  <r>
    <x v="848"/>
    <s v="HI-TECH PIPES LIMITED"/>
    <n v="74.3"/>
    <n v="74.5"/>
    <n v="71.5"/>
    <n v="72.010000000000005"/>
    <n v="75.540000000000006"/>
    <n v="1104797"/>
    <n v="10560"/>
    <n v="14625787925"/>
    <n v="203107734"/>
    <n v="-4.673020916070957"/>
    <x v="758"/>
    <x v="0"/>
    <x v="1"/>
    <x v="0"/>
  </r>
  <r>
    <x v="849"/>
    <s v="HITECH CORPORATION LTD"/>
    <n v="144"/>
    <n v="144"/>
    <n v="133"/>
    <n v="135.6"/>
    <n v="141.16"/>
    <n v="9474"/>
    <n v="281"/>
    <n v="2329024920"/>
    <n v="17175700"/>
    <n v="-3.9387928591669041"/>
    <x v="59"/>
    <x v="0"/>
    <x v="1"/>
    <x v="1"/>
  </r>
  <r>
    <x v="850"/>
    <s v="HLE GLASCOAT LIMITED"/>
    <n v="286.25"/>
    <n v="286.3"/>
    <n v="274"/>
    <n v="277.35000000000002"/>
    <n v="286.3"/>
    <n v="110283"/>
    <n v="4869"/>
    <n v="19263271862"/>
    <n v="69454739"/>
    <n v="-3.1260915123995767"/>
    <x v="759"/>
    <x v="0"/>
    <x v="1"/>
    <x v="1"/>
  </r>
  <r>
    <x v="851"/>
    <s v="HLV LIMITED"/>
    <n v="6.94"/>
    <n v="6.95"/>
    <n v="6.45"/>
    <n v="6.6"/>
    <n v="6.92"/>
    <n v="806984"/>
    <n v="2203"/>
    <n v="4351115333"/>
    <n v="659259899"/>
    <n v="-4.6242774566474028"/>
    <x v="301"/>
    <x v="0"/>
    <x v="1"/>
    <x v="1"/>
  </r>
  <r>
    <x v="852"/>
    <s v="HMA AGRO INDUSTRIES LTD"/>
    <n v="23.5"/>
    <n v="24.29"/>
    <n v="23.05"/>
    <n v="23.2"/>
    <n v="23.96"/>
    <n v="1627155"/>
    <n v="1283"/>
    <n v="11617858664"/>
    <n v="500769770"/>
    <n v="-3.1719532554257164"/>
    <x v="760"/>
    <x v="0"/>
    <x v="1"/>
    <x v="0"/>
  </r>
  <r>
    <x v="853"/>
    <s v="HINDUSTAN MEDIA VENT LTD"/>
    <n v="62"/>
    <n v="63.01"/>
    <n v="60.5"/>
    <n v="61.16"/>
    <n v="63.17"/>
    <n v="32326"/>
    <n v="340"/>
    <n v="4505751876"/>
    <n v="73671548"/>
    <n v="-3.1818901377236108"/>
    <x v="761"/>
    <x v="0"/>
    <x v="1"/>
    <x v="1"/>
  </r>
  <r>
    <x v="854"/>
    <s v="HINDUSTAN FOODS LIMITED"/>
    <n v="478"/>
    <n v="478"/>
    <n v="461.6"/>
    <n v="467.15"/>
    <n v="482.15"/>
    <n v="63177"/>
    <n v="6384"/>
    <n v="55815905118"/>
    <n v="119481762"/>
    <n v="-3.1110650212589448"/>
    <x v="762"/>
    <x v="0"/>
    <x v="2"/>
    <x v="1"/>
  </r>
  <r>
    <x v="855"/>
    <s v="HOME FIRST FIN CO IND LTD"/>
    <n v="932.1"/>
    <n v="932.1"/>
    <n v="894"/>
    <n v="905.2"/>
    <n v="936"/>
    <n v="323864"/>
    <n v="16884"/>
    <n v="94071291502"/>
    <n v="103923212"/>
    <n v="-3.290598290598286"/>
    <x v="763"/>
    <x v="0"/>
    <x v="2"/>
    <x v="1"/>
  </r>
  <r>
    <x v="856"/>
    <s v="HONASA CONSUMER LIMITED"/>
    <n v="285"/>
    <n v="286.39999999999998"/>
    <n v="277.75"/>
    <n v="281.05"/>
    <n v="289.2"/>
    <n v="263612"/>
    <n v="18172"/>
    <n v="91445180604"/>
    <n v="325369794"/>
    <n v="-2.8181189488243352"/>
    <x v="764"/>
    <x v="0"/>
    <x v="2"/>
    <x v="1"/>
  </r>
  <r>
    <x v="857"/>
    <s v="HONEYWELL AUTOMATION IND"/>
    <n v="28150"/>
    <n v="28190"/>
    <n v="27105"/>
    <n v="27215"/>
    <n v="28330"/>
    <n v="4974"/>
    <n v="2897"/>
    <n v="241000000000"/>
    <n v="8841523"/>
    <n v="-3.9357571478997531"/>
    <x v="765"/>
    <x v="0"/>
    <x v="0"/>
    <x v="1"/>
  </r>
  <r>
    <x v="858"/>
    <s v="HONDA I POWER PRODUCT LTD"/>
    <n v="2010"/>
    <n v="2010"/>
    <n v="1920"/>
    <n v="1951.7"/>
    <n v="2021.9"/>
    <n v="5288"/>
    <n v="1233"/>
    <n v="19796231671"/>
    <n v="10143071"/>
    <n v="-3.4719817992976925"/>
    <x v="298"/>
    <x v="0"/>
    <x v="1"/>
    <x v="1"/>
  </r>
  <r>
    <x v="859"/>
    <s v="HP ADHESIVES LIMITED"/>
    <n v="30.76"/>
    <n v="32.6"/>
    <n v="29.25"/>
    <n v="29.47"/>
    <n v="30.76"/>
    <n v="164535"/>
    <n v="1613"/>
    <n v="2707548440"/>
    <n v="91874735"/>
    <n v="-4.1937581274382403"/>
    <x v="766"/>
    <x v="0"/>
    <x v="1"/>
    <x v="1"/>
  </r>
  <r>
    <x v="860"/>
    <s v="HINDPRAKASH INDUSTRY LTD"/>
    <n v="113.2"/>
    <n v="115"/>
    <n v="108"/>
    <n v="110.4"/>
    <n v="113.07"/>
    <n v="3472"/>
    <n v="61"/>
    <n v="1261221744"/>
    <n v="11424110"/>
    <n v="-2.3613690634120346"/>
    <x v="268"/>
    <x v="0"/>
    <x v="1"/>
    <x v="1"/>
  </r>
  <r>
    <x v="861"/>
    <s v="HPL ELECTRIC &amp; POWER LTD"/>
    <n v="283.5"/>
    <n v="283.55"/>
    <n v="265.45"/>
    <n v="269.14999999999998"/>
    <n v="283.55"/>
    <n v="290191"/>
    <n v="9254"/>
    <n v="17306475807"/>
    <n v="64300486"/>
    <n v="-5.0784694057485567"/>
    <x v="767"/>
    <x v="0"/>
    <x v="1"/>
    <x v="1"/>
  </r>
  <r>
    <x v="862"/>
    <s v="HIMADRI SPECIALITY CHEM L"/>
    <n v="445"/>
    <n v="446.2"/>
    <n v="429.5"/>
    <n v="438.15"/>
    <n v="451.4"/>
    <n v="2277031"/>
    <n v="27918"/>
    <n v="221000000000"/>
    <n v="504494950"/>
    <n v="-2.9353123615418699"/>
    <x v="768"/>
    <x v="0"/>
    <x v="0"/>
    <x v="0"/>
  </r>
  <r>
    <x v="863"/>
    <s v="HT MEDIA LIMITED"/>
    <n v="20"/>
    <n v="20.18"/>
    <n v="19.36"/>
    <n v="19.62"/>
    <n v="20.34"/>
    <n v="273735"/>
    <n v="545"/>
    <n v="3583696711"/>
    <n v="182655286"/>
    <n v="-3.5398230088495519"/>
    <x v="769"/>
    <x v="0"/>
    <x v="1"/>
    <x v="1"/>
  </r>
  <r>
    <x v="864"/>
    <s v="HUBTOWN LIMITED"/>
    <n v="191"/>
    <n v="194.87"/>
    <n v="183.46"/>
    <n v="184.85"/>
    <n v="198.28"/>
    <n v="852764"/>
    <n v="5505"/>
    <n v="26267306446"/>
    <n v="142100657"/>
    <n v="-6.7732499495662735"/>
    <x v="770"/>
    <x v="0"/>
    <x v="1"/>
    <x v="1"/>
  </r>
  <r>
    <x v="865"/>
    <s v="HSG &amp; URBAN DEV CORPN LTD"/>
    <n v="170"/>
    <n v="170.01"/>
    <n v="164"/>
    <n v="165.11"/>
    <n v="172.48"/>
    <n v="5959076"/>
    <n v="38969"/>
    <n v="331000000000"/>
    <n v="2001900000"/>
    <n v="-4.2729591836734562"/>
    <x v="699"/>
    <x v="0"/>
    <x v="0"/>
    <x v="0"/>
  </r>
  <r>
    <x v="866"/>
    <s v="HUHTAMAKI INDIA LIMITED"/>
    <n v="160.08000000000001"/>
    <n v="160.49"/>
    <n v="151.69999999999999"/>
    <n v="153.6"/>
    <n v="162.93"/>
    <n v="211941"/>
    <n v="3167"/>
    <n v="11600169062"/>
    <n v="75521934"/>
    <n v="-5.726385564352797"/>
    <x v="771"/>
    <x v="0"/>
    <x v="1"/>
    <x v="1"/>
  </r>
  <r>
    <x v="867"/>
    <s v="HYBRID FINANCIAL SERVICE"/>
    <n v="16.7"/>
    <n v="17.2"/>
    <n v="15.16"/>
    <n v="16.21"/>
    <n v="16.7"/>
    <n v="8480"/>
    <n v="97"/>
    <n v="477162017.80000001"/>
    <n v="29436275"/>
    <n v="-2.934131736526937"/>
    <x v="772"/>
    <x v="0"/>
    <x v="1"/>
    <x v="1"/>
  </r>
  <r>
    <x v="868"/>
    <s v="INDIABULLS LIMITED"/>
    <n v="9.91"/>
    <n v="9.91"/>
    <n v="9.14"/>
    <n v="9.23"/>
    <n v="9.94"/>
    <n v="7493527"/>
    <n v="7414"/>
    <n v="21454047134"/>
    <n v="2324382138"/>
    <n v="-7.1428571428571344"/>
    <x v="725"/>
    <x v="0"/>
    <x v="1"/>
    <x v="0"/>
  </r>
  <r>
    <x v="869"/>
    <s v="ICE MAKE REFRIGERAT LTD"/>
    <n v="755.3"/>
    <n v="760"/>
    <n v="701.45"/>
    <n v="707.4"/>
    <n v="764"/>
    <n v="64833"/>
    <n v="4179"/>
    <n v="11162584539"/>
    <n v="15779735"/>
    <n v="-7.4083769633507881"/>
    <x v="773"/>
    <x v="0"/>
    <x v="1"/>
    <x v="1"/>
  </r>
  <r>
    <x v="870"/>
    <s v="ICICI PRUDENTIAL AMC LTD"/>
    <n v="2763"/>
    <n v="2774.5"/>
    <n v="2651"/>
    <n v="2690.3"/>
    <n v="2804"/>
    <n v="467336"/>
    <n v="56076"/>
    <n v="1330000000000"/>
    <n v="494258520"/>
    <n v="-4.0549215406561991"/>
    <x v="774"/>
    <x v="0"/>
    <x v="0"/>
    <x v="1"/>
  </r>
  <r>
    <x v="871"/>
    <s v="ICICI PRU LIFE INS CO LTD"/>
    <n v="545"/>
    <n v="550.04999999999995"/>
    <n v="528.9"/>
    <n v="531.25"/>
    <n v="552.1"/>
    <n v="1050325"/>
    <n v="30339"/>
    <n v="769000000000"/>
    <n v="1447581188"/>
    <n v="-3.7764897663466801"/>
    <x v="775"/>
    <x v="0"/>
    <x v="0"/>
    <x v="0"/>
  </r>
  <r>
    <x v="872"/>
    <s v="INDO COUNT INDUSTRIES LTD"/>
    <n v="229"/>
    <n v="231.45"/>
    <n v="216.9"/>
    <n v="224.75"/>
    <n v="233.45"/>
    <n v="330078"/>
    <n v="7048"/>
    <n v="44512712915"/>
    <n v="198054340"/>
    <n v="-3.7267080745341565"/>
    <x v="776"/>
    <x v="0"/>
    <x v="1"/>
    <x v="1"/>
  </r>
  <r>
    <x v="873"/>
    <s v="ICRA LIMITED"/>
    <n v="5153"/>
    <n v="5205"/>
    <n v="5060"/>
    <n v="5135"/>
    <n v="5203.5"/>
    <n v="4153"/>
    <n v="1576"/>
    <n v="49559071185"/>
    <n v="9651231"/>
    <n v="-1.3164216392812531"/>
    <x v="777"/>
    <x v="0"/>
    <x v="1"/>
    <x v="1"/>
  </r>
  <r>
    <x v="874"/>
    <s v="IDBI BANK LIMITED"/>
    <n v="71.3"/>
    <n v="71.3"/>
    <n v="66.45"/>
    <n v="67.39"/>
    <n v="73.069999999999993"/>
    <n v="36421794"/>
    <n v="84570"/>
    <n v="725000000000"/>
    <n v="10752402175"/>
    <n v="-7.7733680032845127"/>
    <x v="778"/>
    <x v="0"/>
    <x v="0"/>
    <x v="0"/>
  </r>
  <r>
    <x v="875"/>
    <s v="VODAFONE IDEA LIMITED"/>
    <n v="9.2200000000000006"/>
    <n v="9.2200000000000006"/>
    <n v="8.65"/>
    <n v="8.6999999999999993"/>
    <n v="9.34"/>
    <n v="664844250"/>
    <n v="221082"/>
    <n v="943000000000"/>
    <n v="108000000000"/>
    <n v="-6.8522483940042882"/>
    <x v="380"/>
    <x v="0"/>
    <x v="0"/>
    <x v="0"/>
  </r>
  <r>
    <x v="876"/>
    <s v="IDEAFORGE TECHNO LTD"/>
    <n v="417.9"/>
    <n v="417.9"/>
    <n v="394.4"/>
    <n v="397.6"/>
    <n v="417.95"/>
    <n v="363338"/>
    <n v="11390"/>
    <n v="17197669132"/>
    <n v="43253695"/>
    <n v="-4.869003469314503"/>
    <x v="779"/>
    <x v="0"/>
    <x v="1"/>
    <x v="1"/>
  </r>
  <r>
    <x v="877"/>
    <s v="IDFC FIRST BANK LIMITED"/>
    <n v="62.47"/>
    <n v="62.47"/>
    <n v="59.94"/>
    <n v="60.24"/>
    <n v="62.95"/>
    <n v="40208242"/>
    <n v="173317"/>
    <n v="518000000000"/>
    <n v="8594892611"/>
    <n v="-4.3050039714058785"/>
    <x v="780"/>
    <x v="0"/>
    <x v="0"/>
    <x v="0"/>
  </r>
  <r>
    <x v="878"/>
    <s v="INDIAN ENERGY EXC LTD"/>
    <n v="118.71"/>
    <n v="119.42"/>
    <n v="114.72"/>
    <n v="115.38"/>
    <n v="120.53"/>
    <n v="7773470"/>
    <n v="54286"/>
    <n v="103000000000"/>
    <n v="891692735"/>
    <n v="-4.2727951547332657"/>
    <x v="461"/>
    <x v="0"/>
    <x v="2"/>
    <x v="0"/>
  </r>
  <r>
    <x v="879"/>
    <s v="IFB AGRO INDUSTRIES LTD"/>
    <n v="758.95"/>
    <n v="759"/>
    <n v="725.1"/>
    <n v="725.45"/>
    <n v="763.25"/>
    <n v="17965"/>
    <n v="1441"/>
    <n v="6795370675"/>
    <n v="9367111"/>
    <n v="-4.9525057320668138"/>
    <x v="781"/>
    <x v="0"/>
    <x v="1"/>
    <x v="1"/>
  </r>
  <r>
    <x v="880"/>
    <s v="IFB INDUSTRIES LTD"/>
    <n v="975"/>
    <n v="975"/>
    <n v="917.9"/>
    <n v="923.9"/>
    <n v="977.9"/>
    <n v="45269"/>
    <n v="5717"/>
    <n v="37435315624"/>
    <n v="40518796"/>
    <n v="-5.5220370181000105"/>
    <x v="782"/>
    <x v="0"/>
    <x v="1"/>
    <x v="1"/>
  </r>
  <r>
    <x v="881"/>
    <s v="IFCI LTD"/>
    <n v="53"/>
    <n v="53"/>
    <n v="50.34"/>
    <n v="50.56"/>
    <n v="53.99"/>
    <n v="11545263"/>
    <n v="36526"/>
    <n v="136000000000"/>
    <n v="2694314331"/>
    <n v="-6.3530283385812183"/>
    <x v="783"/>
    <x v="0"/>
    <x v="2"/>
    <x v="0"/>
  </r>
  <r>
    <x v="882"/>
    <s v="IFGL REFRACTORIES LIMITED"/>
    <n v="143.46"/>
    <n v="145.99"/>
    <n v="135.5"/>
    <n v="136.85"/>
    <n v="144.65"/>
    <n v="37692"/>
    <n v="899"/>
    <n v="9863959694"/>
    <n v="72078624"/>
    <n v="-5.3923263048738406"/>
    <x v="784"/>
    <x v="0"/>
    <x v="1"/>
    <x v="1"/>
  </r>
  <r>
    <x v="883"/>
    <s v="IGARASHI MOTORS INDIA LTD"/>
    <n v="314"/>
    <n v="314"/>
    <n v="294.89999999999998"/>
    <n v="298.05"/>
    <n v="314.89999999999998"/>
    <n v="65206"/>
    <n v="2014"/>
    <n v="9381138056"/>
    <n v="31475048"/>
    <n v="-5.3509050492219652"/>
    <x v="785"/>
    <x v="0"/>
    <x v="1"/>
    <x v="1"/>
  </r>
  <r>
    <x v="884"/>
    <s v="INDOGULF CROPSCIENCES LTD"/>
    <n v="58.94"/>
    <n v="58.94"/>
    <n v="52.25"/>
    <n v="53.6"/>
    <n v="58.64"/>
    <n v="186742"/>
    <n v="2063"/>
    <n v="3388806239"/>
    <n v="63223997"/>
    <n v="-8.5948158253751679"/>
    <x v="786"/>
    <x v="0"/>
    <x v="1"/>
    <x v="1"/>
  </r>
  <r>
    <x v="885"/>
    <s v="INTERNATIO GEMM INS (I) L"/>
    <n v="334.8"/>
    <n v="334.8"/>
    <n v="316"/>
    <n v="318.8"/>
    <n v="338.45"/>
    <n v="430185"/>
    <n v="14186"/>
    <n v="138000000000"/>
    <n v="432159696"/>
    <n v="-5.8058797459004214"/>
    <x v="787"/>
    <x v="0"/>
    <x v="2"/>
    <x v="1"/>
  </r>
  <r>
    <x v="886"/>
    <s v="INDRAPRASTHA GAS LTD"/>
    <n v="156"/>
    <n v="156"/>
    <n v="147.4"/>
    <n v="147.97999999999999"/>
    <n v="156.63"/>
    <n v="1791088"/>
    <n v="36467"/>
    <n v="207000000000"/>
    <n v="1400001600"/>
    <n v="-5.5225691119198146"/>
    <x v="788"/>
    <x v="0"/>
    <x v="0"/>
    <x v="0"/>
  </r>
  <r>
    <x v="887"/>
    <s v="I G PETROCHEMICALS LTD"/>
    <n v="387"/>
    <n v="387.5"/>
    <n v="356.9"/>
    <n v="360.05"/>
    <n v="384.85"/>
    <n v="136913"/>
    <n v="3868"/>
    <n v="11087685743"/>
    <n v="30794850"/>
    <n v="-6.4440691178381204"/>
    <x v="789"/>
    <x v="0"/>
    <x v="1"/>
    <x v="1"/>
  </r>
  <r>
    <x v="888"/>
    <s v="IIFL FINANCE LIMITED"/>
    <n v="466.8"/>
    <n v="467"/>
    <n v="443.6"/>
    <n v="453.5"/>
    <n v="473"/>
    <n v="1518705"/>
    <n v="43320"/>
    <n v="193000000000"/>
    <n v="425227927"/>
    <n v="-4.1226215644820297"/>
    <x v="790"/>
    <x v="0"/>
    <x v="2"/>
    <x v="0"/>
  </r>
  <r>
    <x v="889"/>
    <s v="IIFL CAPITAL SERVICES LTD"/>
    <n v="267"/>
    <n v="267"/>
    <n v="253.55"/>
    <n v="255.05"/>
    <n v="269.8"/>
    <n v="455011"/>
    <n v="13833"/>
    <n v="79286828309"/>
    <n v="310867784"/>
    <n v="-5.4670126019273537"/>
    <x v="235"/>
    <x v="0"/>
    <x v="2"/>
    <x v="1"/>
  </r>
  <r>
    <x v="890"/>
    <s v="INDUSTRIAL INV TRUST LTD"/>
    <n v="130.06"/>
    <n v="135"/>
    <n v="122.99"/>
    <n v="134.63"/>
    <n v="133.07"/>
    <n v="26401"/>
    <n v="1912"/>
    <n v="2938643057"/>
    <n v="21827550"/>
    <n v="1.1723153227624576"/>
    <x v="791"/>
    <x v="1"/>
    <x v="1"/>
    <x v="1"/>
  </r>
  <r>
    <x v="891"/>
    <s v="IKIO TECHNOLOGIES LIMITED"/>
    <n v="115"/>
    <n v="115.01"/>
    <n v="106.35"/>
    <n v="107.79"/>
    <n v="116.98"/>
    <n v="181726"/>
    <n v="3912"/>
    <n v="8330086761"/>
    <n v="77280701"/>
    <n v="-7.8560437681654962"/>
    <x v="792"/>
    <x v="0"/>
    <x v="1"/>
    <x v="1"/>
  </r>
  <r>
    <x v="892"/>
    <s v="INVENTURUS KNOWLEDGE SO L"/>
    <n v="1320"/>
    <n v="1323.9"/>
    <n v="1262"/>
    <n v="1274.9000000000001"/>
    <n v="1332.8"/>
    <n v="182458"/>
    <n v="14041"/>
    <n v="219000000000"/>
    <n v="171573159"/>
    <n v="-4.3442376950780206"/>
    <x v="793"/>
    <x v="0"/>
    <x v="0"/>
    <x v="1"/>
  </r>
  <r>
    <x v="893"/>
    <s v="IMAGICAAWORLD ENT LTD"/>
    <n v="38.15"/>
    <n v="39.76"/>
    <n v="37.049999999999997"/>
    <n v="37.58"/>
    <n v="39.979999999999997"/>
    <n v="1003809"/>
    <n v="3830"/>
    <n v="21265073178"/>
    <n v="565861447"/>
    <n v="-6.0030015007503721"/>
    <x v="794"/>
    <x v="0"/>
    <x v="1"/>
    <x v="0"/>
  </r>
  <r>
    <x v="894"/>
    <s v="INDIAN METALS &amp; FERRO"/>
    <n v="1224.0999999999999"/>
    <n v="1224.0999999999999"/>
    <n v="1173"/>
    <n v="1179.7"/>
    <n v="1235.3"/>
    <n v="94109"/>
    <n v="11340"/>
    <n v="63649658848"/>
    <n v="53954106"/>
    <n v="-4.5009309479478601"/>
    <x v="795"/>
    <x v="0"/>
    <x v="2"/>
    <x v="1"/>
  </r>
  <r>
    <x v="895"/>
    <s v="IND MOTOR PART &amp; ACC LTD"/>
    <n v="1002.1"/>
    <n v="1004"/>
    <n v="955.6"/>
    <n v="966.2"/>
    <n v="995.6"/>
    <n v="2592"/>
    <n v="520"/>
    <n v="12058176000"/>
    <n v="12480000"/>
    <n v="-2.9529931699477681"/>
    <x v="796"/>
    <x v="0"/>
    <x v="1"/>
    <x v="1"/>
  </r>
  <r>
    <x v="896"/>
    <s v="INSOLATION ENERGY LIMITED"/>
    <n v="101.3"/>
    <n v="101.3"/>
    <n v="94"/>
    <n v="94.75"/>
    <n v="101.3"/>
    <n v="560709"/>
    <n v="5358"/>
    <n v="20882390719"/>
    <n v="220394625"/>
    <n v="-6.4659427443237885"/>
    <x v="797"/>
    <x v="0"/>
    <x v="1"/>
    <x v="1"/>
  </r>
  <r>
    <x v="897"/>
    <s v="INCREDIBLE INDUSTRIES LTD"/>
    <n v="32.94"/>
    <n v="32.94"/>
    <n v="31.02"/>
    <n v="31.43"/>
    <n v="32.94"/>
    <n v="3540"/>
    <n v="43"/>
    <n v="1469784663"/>
    <n v="46763750"/>
    <n v="-4.5840922890103162"/>
    <x v="798"/>
    <x v="0"/>
    <x v="1"/>
    <x v="1"/>
  </r>
  <r>
    <x v="898"/>
    <s v="INDBANK MERCH BANK"/>
    <n v="31.2"/>
    <n v="31.25"/>
    <n v="29.51"/>
    <n v="30.09"/>
    <n v="31.14"/>
    <n v="48019"/>
    <n v="754"/>
    <n v="1335340038"/>
    <n v="44378200"/>
    <n v="-3.3718689788053973"/>
    <x v="799"/>
    <x v="0"/>
    <x v="1"/>
    <x v="1"/>
  </r>
  <r>
    <x v="899"/>
    <s v="INDEGENE LIMITED"/>
    <n v="432.5"/>
    <n v="437.2"/>
    <n v="414"/>
    <n v="423.5"/>
    <n v="440.65"/>
    <n v="422085"/>
    <n v="27480"/>
    <n v="102000000000"/>
    <n v="240317117"/>
    <n v="-3.8919777601270802"/>
    <x v="800"/>
    <x v="0"/>
    <x v="2"/>
    <x v="1"/>
  </r>
  <r>
    <x v="900"/>
    <s v="THE INDIA CEMENTS LIMITED"/>
    <n v="351"/>
    <n v="356.05"/>
    <n v="345.25"/>
    <n v="349.45"/>
    <n v="359.85"/>
    <n v="211665"/>
    <n v="15281"/>
    <n v="108000000000"/>
    <n v="309897201"/>
    <n v="-2.8900930943448753"/>
    <x v="584"/>
    <x v="0"/>
    <x v="2"/>
    <x v="1"/>
  </r>
  <r>
    <x v="901"/>
    <s v="INDIA GLYCOLS LTD"/>
    <n v="876.25"/>
    <n v="876.25"/>
    <n v="811"/>
    <n v="816.65"/>
    <n v="876.25"/>
    <n v="143386"/>
    <n v="10303"/>
    <n v="54737407637"/>
    <n v="67026765"/>
    <n v="-6.8017118402282488"/>
    <x v="801"/>
    <x v="0"/>
    <x v="2"/>
    <x v="1"/>
  </r>
  <r>
    <x v="902"/>
    <s v="INDIAMART INTERMESH LTD"/>
    <n v="1961"/>
    <n v="1995.7"/>
    <n v="1943.1"/>
    <n v="1970.5"/>
    <n v="1994.4"/>
    <n v="200497"/>
    <n v="13958"/>
    <n v="118000000000"/>
    <n v="60087148"/>
    <n v="-1.1983553951063022"/>
    <x v="802"/>
    <x v="1"/>
    <x v="2"/>
    <x v="1"/>
  </r>
  <r>
    <x v="903"/>
    <s v="INDIAN BANK"/>
    <n v="861"/>
    <n v="869.9"/>
    <n v="833"/>
    <n v="838.2"/>
    <n v="878.65"/>
    <n v="1677108"/>
    <n v="83159"/>
    <n v="1130000000000"/>
    <n v="1346963981"/>
    <n v="-4.6036533318158464"/>
    <x v="803"/>
    <x v="0"/>
    <x v="0"/>
    <x v="0"/>
  </r>
  <r>
    <x v="904"/>
    <s v="INDIAN CARD CLOTHING CO."/>
    <n v="182.19"/>
    <n v="184"/>
    <n v="175"/>
    <n v="175.57"/>
    <n v="182.19"/>
    <n v="2115"/>
    <n v="102"/>
    <n v="1043082438"/>
    <n v="5941120"/>
    <n v="-3.6335693506778663"/>
    <x v="729"/>
    <x v="0"/>
    <x v="1"/>
    <x v="1"/>
  </r>
  <r>
    <x v="905"/>
    <s v="INDIAN HUME PIPE CO. LTD."/>
    <n v="318.89999999999998"/>
    <n v="318.89999999999998"/>
    <n v="304.64999999999998"/>
    <n v="307.55"/>
    <n v="323.75"/>
    <n v="53129"/>
    <n v="1592"/>
    <n v="16202278364"/>
    <n v="52681770"/>
    <n v="-5.0038610038610001"/>
    <x v="411"/>
    <x v="0"/>
    <x v="1"/>
    <x v="1"/>
  </r>
  <r>
    <x v="906"/>
    <s v="INDIA SHELTER FIN CORP L"/>
    <n v="685"/>
    <n v="690.05"/>
    <n v="654.5"/>
    <n v="667.5"/>
    <n v="686.15"/>
    <n v="147261"/>
    <n v="9191"/>
    <n v="72488508180"/>
    <n v="108597016"/>
    <n v="-2.7180645631421667"/>
    <x v="804"/>
    <x v="0"/>
    <x v="2"/>
    <x v="1"/>
  </r>
  <r>
    <x v="907"/>
    <s v="INDIGO PAINTS LIMITED"/>
    <n v="738"/>
    <n v="738"/>
    <n v="711"/>
    <n v="712.95"/>
    <n v="743.75"/>
    <n v="134198"/>
    <n v="9436"/>
    <n v="33990363223"/>
    <n v="47675662"/>
    <n v="-4.1411764705882295"/>
    <x v="114"/>
    <x v="0"/>
    <x v="1"/>
    <x v="1"/>
  </r>
  <r>
    <x v="908"/>
    <s v="INDIQUBE SPACES LIMITED"/>
    <n v="141.05000000000001"/>
    <n v="147.5"/>
    <n v="132.05000000000001"/>
    <n v="135.56"/>
    <n v="148.05000000000001"/>
    <n v="96505"/>
    <n v="3312"/>
    <n v="28469159889"/>
    <n v="210011507"/>
    <n v="-8.4363390746369511"/>
    <x v="805"/>
    <x v="0"/>
    <x v="1"/>
    <x v="1"/>
  </r>
  <r>
    <x v="909"/>
    <s v="INDIA NIPPON ELECT  LTD"/>
    <n v="735.2"/>
    <n v="735.25"/>
    <n v="705"/>
    <n v="710.25"/>
    <n v="735.2"/>
    <n v="24147"/>
    <n v="2282"/>
    <n v="16066866396"/>
    <n v="22621424"/>
    <n v="-3.3936343852013122"/>
    <x v="753"/>
    <x v="0"/>
    <x v="1"/>
    <x v="1"/>
  </r>
  <r>
    <x v="910"/>
    <s v="INDO AMINES LIMITED"/>
    <n v="87.89"/>
    <n v="87.89"/>
    <n v="81.900000000000006"/>
    <n v="82.12"/>
    <n v="88.27"/>
    <n v="167200"/>
    <n v="2021"/>
    <n v="5960890427"/>
    <n v="72587560"/>
    <n v="-6.9672595445791226"/>
    <x v="806"/>
    <x v="0"/>
    <x v="1"/>
    <x v="1"/>
  </r>
  <r>
    <x v="911"/>
    <s v="INDO BORAX &amp; CHEMICAL LTD"/>
    <n v="244.16"/>
    <n v="245"/>
    <n v="242.97"/>
    <n v="244.12"/>
    <n v="244.16"/>
    <n v="54529"/>
    <n v="404"/>
    <n v="7833810800"/>
    <n v="32090000"/>
    <n v="-1.6382699868935143E-2"/>
    <x v="807"/>
    <x v="0"/>
    <x v="1"/>
    <x v="1"/>
  </r>
  <r>
    <x v="912"/>
    <s v="INDOCO REMEDIES LTD."/>
    <n v="189.32"/>
    <n v="194.29"/>
    <n v="181.7"/>
    <n v="182.93"/>
    <n v="192.2"/>
    <n v="37919"/>
    <n v="1493"/>
    <n v="16874909262"/>
    <n v="92247905"/>
    <n v="-4.8231009365244448"/>
    <x v="808"/>
    <x v="0"/>
    <x v="1"/>
    <x v="1"/>
  </r>
  <r>
    <x v="913"/>
    <s v="INDO FARM EQUIPMENT LTD"/>
    <n v="125"/>
    <n v="125"/>
    <n v="118"/>
    <n v="119.36"/>
    <n v="125.99"/>
    <n v="211450"/>
    <n v="2424"/>
    <n v="5735438976"/>
    <n v="48051600"/>
    <n v="-5.2623224065401981"/>
    <x v="268"/>
    <x v="0"/>
    <x v="1"/>
    <x v="1"/>
  </r>
  <r>
    <x v="914"/>
    <s v="INDO RAMA SYNTHETICS LTD"/>
    <n v="31.35"/>
    <n v="31.81"/>
    <n v="29"/>
    <n v="31.52"/>
    <n v="31.35"/>
    <n v="985786"/>
    <n v="2694"/>
    <n v="8230286520"/>
    <n v="261113151"/>
    <n v="0.54226475279106268"/>
    <x v="809"/>
    <x v="1"/>
    <x v="1"/>
    <x v="1"/>
  </r>
  <r>
    <x v="915"/>
    <s v="INDOSTAR CAPITAL FIN LTD"/>
    <n v="196.1"/>
    <n v="196.1"/>
    <n v="179.03"/>
    <n v="183.32"/>
    <n v="199.1"/>
    <n v="315689"/>
    <n v="3827"/>
    <n v="29619229084"/>
    <n v="161571182"/>
    <n v="-7.9256654947262692"/>
    <x v="810"/>
    <x v="0"/>
    <x v="1"/>
    <x v="1"/>
  </r>
  <r>
    <x v="916"/>
    <s v="INDO TECH TRANSFORM LTD."/>
    <n v="1278.9000000000001"/>
    <n v="1279.5999999999999"/>
    <n v="1225"/>
    <n v="1233.5"/>
    <n v="1298.0999999999999"/>
    <n v="24185"/>
    <n v="2251"/>
    <n v="13099770000"/>
    <n v="10620000"/>
    <n v="-4.9765041214082055"/>
    <x v="811"/>
    <x v="0"/>
    <x v="1"/>
    <x v="1"/>
  </r>
  <r>
    <x v="917"/>
    <s v="INDO THAI SEC LTD"/>
    <n v="253.85"/>
    <n v="264.75"/>
    <n v="245.7"/>
    <n v="258.2"/>
    <n v="252.15"/>
    <n v="1027614"/>
    <n v="8698"/>
    <n v="31803317658"/>
    <n v="123173190"/>
    <n v="2.399365457069198"/>
    <x v="812"/>
    <x v="1"/>
    <x v="1"/>
    <x v="0"/>
  </r>
  <r>
    <x v="918"/>
    <s v="INDO US BIOTECH LTD"/>
    <n v="104.19"/>
    <n v="106"/>
    <n v="100.11"/>
    <n v="102.55"/>
    <n v="104.19"/>
    <n v="59600"/>
    <n v="2738"/>
    <n v="2056332600"/>
    <n v="20052000"/>
    <n v="-1.5740474133794036"/>
    <x v="813"/>
    <x v="0"/>
    <x v="1"/>
    <x v="1"/>
  </r>
  <r>
    <x v="919"/>
    <s v="INDOWIND ENERGY LTD"/>
    <n v="8.98"/>
    <n v="8.98"/>
    <n v="8.25"/>
    <n v="8.42"/>
    <n v="8.83"/>
    <n v="387343"/>
    <n v="1461"/>
    <n v="1355638271"/>
    <n v="161002170"/>
    <n v="-4.6432616081540221"/>
    <x v="814"/>
    <x v="0"/>
    <x v="1"/>
    <x v="1"/>
  </r>
  <r>
    <x v="920"/>
    <s v="INDRAPRASTHA MEDICAL CORP"/>
    <n v="389"/>
    <n v="390.25"/>
    <n v="365"/>
    <n v="369.1"/>
    <n v="396.25"/>
    <n v="312158"/>
    <n v="9218"/>
    <n v="33836504300"/>
    <n v="91673000"/>
    <n v="-6.8517350157728654"/>
    <x v="815"/>
    <x v="0"/>
    <x v="1"/>
    <x v="1"/>
  </r>
  <r>
    <x v="921"/>
    <s v="IND SWIFT LABORATORIES LT"/>
    <n v="137.57"/>
    <n v="147"/>
    <n v="133"/>
    <n v="134.03"/>
    <n v="141.51"/>
    <n v="470474"/>
    <n v="6285"/>
    <n v="10938397119"/>
    <n v="81611558"/>
    <n v="-5.2858455232845669"/>
    <x v="158"/>
    <x v="0"/>
    <x v="1"/>
    <x v="1"/>
  </r>
  <r>
    <x v="922"/>
    <s v="IND TERRAIN FASHIONS LTD"/>
    <n v="27.99"/>
    <n v="29.27"/>
    <n v="27.25"/>
    <n v="27.73"/>
    <n v="28"/>
    <n v="44937"/>
    <n v="297"/>
    <n v="1405006087"/>
    <n v="50667367"/>
    <n v="-0.96428571428571286"/>
    <x v="816"/>
    <x v="0"/>
    <x v="1"/>
    <x v="1"/>
  </r>
  <r>
    <x v="923"/>
    <s v="INDUSIND BANK LIMITED"/>
    <n v="806.3"/>
    <n v="809"/>
    <n v="771.9"/>
    <n v="778.35"/>
    <n v="818.6"/>
    <n v="7448050"/>
    <n v="139253"/>
    <n v="606000000000"/>
    <n v="779075972"/>
    <n v="-4.9169313462008306"/>
    <x v="481"/>
    <x v="0"/>
    <x v="0"/>
    <x v="0"/>
  </r>
  <r>
    <x v="924"/>
    <s v="INDUS TOWERS LIMITED"/>
    <n v="430"/>
    <n v="430"/>
    <n v="411.8"/>
    <n v="413.6"/>
    <n v="434.55"/>
    <n v="4793426"/>
    <n v="84417"/>
    <n v="1090000000000"/>
    <n v="2638162757"/>
    <n v="-4.8210792774134132"/>
    <x v="817"/>
    <x v="0"/>
    <x v="0"/>
    <x v="0"/>
  </r>
  <r>
    <x v="925"/>
    <s v="INFOBEANS TECHNO. LTD."/>
    <n v="136.5"/>
    <n v="136.9"/>
    <n v="129.32"/>
    <n v="131.41999999999999"/>
    <n v="139.72999999999999"/>
    <n v="801461"/>
    <n v="10656"/>
    <n v="12855704158"/>
    <n v="97821520"/>
    <n v="-5.9471838545766857"/>
    <x v="818"/>
    <x v="0"/>
    <x v="1"/>
    <x v="1"/>
  </r>
  <r>
    <x v="926"/>
    <s v="INFOMEDIA PRESS LIMITED"/>
    <n v="5.35"/>
    <n v="5.35"/>
    <n v="4.57"/>
    <n v="4.58"/>
    <n v="4.93"/>
    <n v="20611"/>
    <n v="82"/>
    <n v="229889307.80000001"/>
    <n v="50194172"/>
    <n v="-7.0993914807302163"/>
    <x v="819"/>
    <x v="0"/>
    <x v="1"/>
    <x v="1"/>
  </r>
  <r>
    <x v="927"/>
    <s v="INGERSOLL-RAND INDIA LTD"/>
    <n v="3640"/>
    <n v="3654.1"/>
    <n v="3466"/>
    <n v="3537.8"/>
    <n v="3647.5"/>
    <n v="16508"/>
    <n v="4716"/>
    <n v="112000000000"/>
    <n v="31568000"/>
    <n v="-3.0075394105551698"/>
    <x v="820"/>
    <x v="0"/>
    <x v="2"/>
    <x v="1"/>
  </r>
  <r>
    <x v="928"/>
    <s v="INNOVA CAPTAB LIMITED"/>
    <n v="670"/>
    <n v="680.95"/>
    <n v="655.95"/>
    <n v="665.55"/>
    <n v="679.6"/>
    <n v="30992"/>
    <n v="3240"/>
    <n v="38086051496"/>
    <n v="57224929"/>
    <n v="-2.0673925838728762"/>
    <x v="821"/>
    <x v="0"/>
    <x v="1"/>
    <x v="1"/>
  </r>
  <r>
    <x v="929"/>
    <s v="INNOVANA THINKLABS LTD"/>
    <n v="356.65"/>
    <n v="358.35"/>
    <n v="334"/>
    <n v="344.35"/>
    <n v="353.3"/>
    <n v="24505"/>
    <n v="1084"/>
    <n v="7059175000"/>
    <n v="20500000"/>
    <n v="-2.5332578545145736"/>
    <x v="822"/>
    <x v="0"/>
    <x v="1"/>
    <x v="1"/>
  </r>
  <r>
    <x v="930"/>
    <s v="INNOVISION LIMITED"/>
    <n v="467.7"/>
    <n v="470"/>
    <n v="374.2"/>
    <n v="374.2"/>
    <n v="519"/>
    <n v="7314994"/>
    <n v="69975"/>
    <n v="8910934615"/>
    <n v="23813294"/>
    <n v="-27.899807321772641"/>
    <x v="823"/>
    <x v="0"/>
    <x v="1"/>
    <x v="0"/>
  </r>
  <r>
    <x v="931"/>
    <s v="INOX GREEN ENERGY SER LTD"/>
    <n v="150"/>
    <n v="150"/>
    <n v="132.58000000000001"/>
    <n v="135.01"/>
    <n v="150.4"/>
    <n v="7985948"/>
    <n v="65096"/>
    <n v="50409019875"/>
    <n v="373372490"/>
    <n v="-10.232712765957457"/>
    <x v="824"/>
    <x v="0"/>
    <x v="2"/>
    <x v="0"/>
  </r>
  <r>
    <x v="932"/>
    <s v="INOX INDIA LIMITED"/>
    <n v="1164"/>
    <n v="1179"/>
    <n v="1151.0999999999999"/>
    <n v="1162.9000000000001"/>
    <n v="1180.7"/>
    <n v="106173"/>
    <n v="17685"/>
    <n v="106000000000"/>
    <n v="90763500"/>
    <n v="-1.5075802490048238"/>
    <x v="825"/>
    <x v="0"/>
    <x v="2"/>
    <x v="1"/>
  </r>
  <r>
    <x v="933"/>
    <s v="INOX WIND LIMITED"/>
    <n v="80.78"/>
    <n v="80.78"/>
    <n v="75.63"/>
    <n v="76.150000000000006"/>
    <n v="81.84"/>
    <n v="15237530"/>
    <n v="55205"/>
    <n v="132000000000"/>
    <n v="1728237822"/>
    <n v="-6.9525904203323527"/>
    <x v="395"/>
    <x v="0"/>
    <x v="2"/>
    <x v="0"/>
  </r>
  <r>
    <x v="934"/>
    <s v="INSECTICIDES (I) LTD"/>
    <n v="573"/>
    <n v="596.95000000000005"/>
    <n v="546.15"/>
    <n v="569.79999999999995"/>
    <n v="574.85"/>
    <n v="47352"/>
    <n v="3581"/>
    <n v="16579947523"/>
    <n v="29097837"/>
    <n v="-0.87849004088024141"/>
    <x v="826"/>
    <x v="0"/>
    <x v="1"/>
    <x v="1"/>
  </r>
  <r>
    <x v="935"/>
    <s v="INTELLECT DESIGN ARENA"/>
    <n v="648"/>
    <n v="654.25"/>
    <n v="634.4"/>
    <n v="636.79999999999995"/>
    <n v="650.54999999999995"/>
    <n v="346023"/>
    <n v="15948"/>
    <n v="88716086202"/>
    <n v="139315462"/>
    <n v="-2.1135961878410581"/>
    <x v="827"/>
    <x v="0"/>
    <x v="2"/>
    <x v="1"/>
  </r>
  <r>
    <x v="936"/>
    <s v="INTENSE TECHNOLOGIES LTD"/>
    <n v="85.7"/>
    <n v="85.7"/>
    <n v="76"/>
    <n v="77.61"/>
    <n v="83.98"/>
    <n v="61561"/>
    <n v="1289"/>
    <n v="1833493487"/>
    <n v="23624449"/>
    <n v="-7.5851393188854548"/>
    <x v="828"/>
    <x v="0"/>
    <x v="1"/>
    <x v="1"/>
  </r>
  <r>
    <x v="937"/>
    <s v="INTERARCH BLDNG SOLTN LTD"/>
    <n v="1738.9"/>
    <n v="1738.9"/>
    <n v="1650"/>
    <n v="1673.6"/>
    <n v="1742.4"/>
    <n v="82399"/>
    <n v="10511"/>
    <n v="28069373181"/>
    <n v="16771853"/>
    <n v="-3.9485766758494134"/>
    <x v="829"/>
    <x v="0"/>
    <x v="1"/>
    <x v="1"/>
  </r>
  <r>
    <x v="938"/>
    <s v="INTL CONVEYORS LIMITED"/>
    <n v="70"/>
    <n v="70"/>
    <n v="64.09"/>
    <n v="65.459999999999994"/>
    <n v="69.739999999999995"/>
    <n v="123241"/>
    <n v="3696"/>
    <n v="4148789340"/>
    <n v="63379000"/>
    <n v="-6.1370805850301142"/>
    <x v="830"/>
    <x v="0"/>
    <x v="1"/>
    <x v="1"/>
  </r>
  <r>
    <x v="939"/>
    <s v="INVENTURE GRO &amp; SEC LTD"/>
    <n v="1.01"/>
    <n v="1.01"/>
    <n v="0.96"/>
    <n v="0.97"/>
    <n v="1"/>
    <n v="1525042"/>
    <n v="873"/>
    <n v="1018500000"/>
    <n v="1050000000"/>
    <n v="-3.0000000000000027"/>
    <x v="603"/>
    <x v="0"/>
    <x v="1"/>
    <x v="0"/>
  </r>
  <r>
    <x v="940"/>
    <s v="INDIAN OVERSEAS BANK"/>
    <n v="33.5"/>
    <n v="33.5"/>
    <n v="31.8"/>
    <n v="32.11"/>
    <n v="33.72"/>
    <n v="6478301"/>
    <n v="28573"/>
    <n v="618000000000"/>
    <n v="19256589795"/>
    <n v="-4.7746144721233676"/>
    <x v="131"/>
    <x v="0"/>
    <x v="0"/>
    <x v="0"/>
  </r>
  <r>
    <x v="941"/>
    <s v="IOL CHEM AND PHARMA LTD"/>
    <n v="74.25"/>
    <n v="74.25"/>
    <n v="71.11"/>
    <n v="71.56"/>
    <n v="74.36"/>
    <n v="1152900"/>
    <n v="9404"/>
    <n v="21004828616"/>
    <n v="293527510"/>
    <n v="-3.7654653039268382"/>
    <x v="455"/>
    <x v="0"/>
    <x v="1"/>
    <x v="0"/>
  </r>
  <r>
    <x v="942"/>
    <s v="ION EXCHANGE (INDIA) LTD"/>
    <n v="337.05"/>
    <n v="337.05"/>
    <n v="312.7"/>
    <n v="317.25"/>
    <n v="338.05"/>
    <n v="364619"/>
    <n v="17846"/>
    <n v="46529975678"/>
    <n v="146666590"/>
    <n v="-6.1529359562194967"/>
    <x v="822"/>
    <x v="0"/>
    <x v="1"/>
    <x v="1"/>
  </r>
  <r>
    <x v="943"/>
    <s v="IPCA LABORATORIES LTD"/>
    <n v="1543.6"/>
    <n v="1550"/>
    <n v="1488.3"/>
    <n v="1529.9"/>
    <n v="1544.9"/>
    <n v="178461"/>
    <n v="14864"/>
    <n v="388000000000"/>
    <n v="253704218"/>
    <n v="-0.97093663020260212"/>
    <x v="831"/>
    <x v="0"/>
    <x v="0"/>
    <x v="1"/>
  </r>
  <r>
    <x v="944"/>
    <s v="INDIA PESTICIDES LIMITED"/>
    <n v="136.99"/>
    <n v="136.99"/>
    <n v="125.1"/>
    <n v="126.72"/>
    <n v="136.99"/>
    <n v="275386"/>
    <n v="4780"/>
    <n v="14593519734"/>
    <n v="115163508"/>
    <n v="-7.4968975837652456"/>
    <x v="579"/>
    <x v="0"/>
    <x v="1"/>
    <x v="1"/>
  </r>
  <r>
    <x v="945"/>
    <s v="IRB INFRA DEV LTD."/>
    <n v="41"/>
    <n v="41.28"/>
    <n v="39.770000000000003"/>
    <n v="40.24"/>
    <n v="41.51"/>
    <n v="9897363"/>
    <n v="46230"/>
    <n v="243000000000"/>
    <n v="6039000000"/>
    <n v="-3.0595037340399807"/>
    <x v="832"/>
    <x v="0"/>
    <x v="0"/>
    <x v="0"/>
  </r>
  <r>
    <x v="946"/>
    <s v="IRCON INTERNATIONAL LTD"/>
    <n v="122"/>
    <n v="122"/>
    <n v="114.5"/>
    <n v="115.24"/>
    <n v="123.68"/>
    <n v="4720612"/>
    <n v="61297"/>
    <n v="108000000000"/>
    <n v="940515740"/>
    <n v="-6.8240620957309277"/>
    <x v="833"/>
    <x v="0"/>
    <x v="2"/>
    <x v="0"/>
  </r>
  <r>
    <x v="947"/>
    <s v="INDIAN RAIL TOUR CORP LTD"/>
    <n v="520"/>
    <n v="522.79999999999995"/>
    <n v="506.6"/>
    <n v="510.3"/>
    <n v="522.85"/>
    <n v="2589941"/>
    <n v="71323"/>
    <n v="408000000000"/>
    <n v="800000000"/>
    <n v="-2.4003060151094981"/>
    <x v="834"/>
    <x v="0"/>
    <x v="0"/>
    <x v="0"/>
  </r>
  <r>
    <x v="948"/>
    <s v="INDIAN RENEWABLE ENERGY"/>
    <n v="115"/>
    <n v="115.05"/>
    <n v="110"/>
    <n v="110.51"/>
    <n v="116.37"/>
    <n v="10405779"/>
    <n v="65092"/>
    <n v="310000000000"/>
    <n v="2809231268"/>
    <n v="-5.0356621122282368"/>
    <x v="835"/>
    <x v="0"/>
    <x v="0"/>
    <x v="0"/>
  </r>
  <r>
    <x v="949"/>
    <s v="IRIS REGTECH SOLUTION LTD"/>
    <n v="230"/>
    <n v="230"/>
    <n v="216"/>
    <n v="218.46"/>
    <n v="226.57"/>
    <n v="20256"/>
    <n v="633"/>
    <n v="4493339240"/>
    <n v="20568247"/>
    <n v="-3.579467714172214"/>
    <x v="158"/>
    <x v="0"/>
    <x v="1"/>
    <x v="1"/>
  </r>
  <r>
    <x v="950"/>
    <s v="IRIS CLOTHINGS LIMITED"/>
    <n v="29.5"/>
    <n v="29.5"/>
    <n v="27.31"/>
    <n v="27.83"/>
    <n v="29.5"/>
    <n v="364628"/>
    <n v="1234"/>
    <n v="5296924810"/>
    <n v="190331470"/>
    <n v="-5.6610169491525486"/>
    <x v="836"/>
    <x v="0"/>
    <x v="1"/>
    <x v="1"/>
  </r>
  <r>
    <x v="951"/>
    <s v="IRM ENERGY LIMITED"/>
    <n v="198.9"/>
    <n v="198.9"/>
    <n v="185"/>
    <n v="186.44"/>
    <n v="199.19"/>
    <n v="128054"/>
    <n v="4114"/>
    <n v="7655166180"/>
    <n v="41059677"/>
    <n v="-6.4009237411516633"/>
    <x v="837"/>
    <x v="0"/>
    <x v="1"/>
    <x v="1"/>
  </r>
  <r>
    <x v="952"/>
    <s v="INTRASOFT TECH. LTD"/>
    <n v="65.69"/>
    <n v="65.69"/>
    <n v="58.48"/>
    <n v="59.53"/>
    <n v="65.69"/>
    <n v="36925"/>
    <n v="604"/>
    <n v="971034191.39999998"/>
    <n v="16311678"/>
    <n v="-9.3773785964378096"/>
    <x v="838"/>
    <x v="0"/>
    <x v="1"/>
    <x v="1"/>
  </r>
  <r>
    <x v="953"/>
    <s v="ISGEC HEAVY ENG LTD"/>
    <n v="885"/>
    <n v="890"/>
    <n v="860"/>
    <n v="883.05"/>
    <n v="888.15"/>
    <n v="82312"/>
    <n v="6781"/>
    <n v="64930233806"/>
    <n v="73529510"/>
    <n v="-0.57422732646512675"/>
    <x v="839"/>
    <x v="0"/>
    <x v="2"/>
    <x v="1"/>
  </r>
  <r>
    <x v="954"/>
    <s v="ISHAN DYES N CHEMICALS L"/>
    <n v="50.11"/>
    <n v="54.97"/>
    <n v="49"/>
    <n v="52.36"/>
    <n v="51.02"/>
    <n v="15428"/>
    <n v="243"/>
    <n v="1368712234"/>
    <n v="26140417"/>
    <n v="2.6264210113680835"/>
    <x v="840"/>
    <x v="1"/>
    <x v="1"/>
    <x v="1"/>
  </r>
  <r>
    <x v="955"/>
    <s v="ITC HOTELS LIMITED"/>
    <n v="147.86000000000001"/>
    <n v="147.86000000000001"/>
    <n v="139.1"/>
    <n v="140.11000000000001"/>
    <n v="149.01"/>
    <n v="9802612"/>
    <n v="101672"/>
    <n v="292000000000"/>
    <n v="2082853588"/>
    <n v="-5.9727535064760602"/>
    <x v="841"/>
    <x v="0"/>
    <x v="0"/>
    <x v="0"/>
  </r>
  <r>
    <x v="956"/>
    <s v="INDIA TOUR. DEV. CO. LTD."/>
    <n v="424"/>
    <n v="424.15"/>
    <n v="386.55"/>
    <n v="390.05"/>
    <n v="426.7"/>
    <n v="75158"/>
    <n v="2830"/>
    <n v="33454354470"/>
    <n v="85769400"/>
    <n v="-8.5891727208811766"/>
    <x v="842"/>
    <x v="0"/>
    <x v="1"/>
    <x v="1"/>
  </r>
  <r>
    <x v="957"/>
    <s v="ITI LTD"/>
    <n v="266"/>
    <n v="269"/>
    <n v="250.05"/>
    <n v="253.45"/>
    <n v="270.60000000000002"/>
    <n v="1289598"/>
    <n v="24676"/>
    <n v="244000000000"/>
    <n v="960886938"/>
    <n v="-6.3377679231337885"/>
    <x v="684"/>
    <x v="0"/>
    <x v="0"/>
    <x v="0"/>
  </r>
  <r>
    <x v="958"/>
    <s v="IVALUE INFOSOLUTIONS LTD"/>
    <n v="230.39"/>
    <n v="231.9"/>
    <n v="207.35"/>
    <n v="212.6"/>
    <n v="235.38"/>
    <n v="147416"/>
    <n v="4780"/>
    <n v="11382578488"/>
    <n v="53539880"/>
    <n v="-9.6779675418472273"/>
    <x v="843"/>
    <x v="0"/>
    <x v="1"/>
    <x v="1"/>
  </r>
  <r>
    <x v="959"/>
    <s v="IL&amp;FS INVESTMENT MANAGERS"/>
    <n v="6.85"/>
    <n v="6.9"/>
    <n v="6.02"/>
    <n v="6.41"/>
    <n v="6.91"/>
    <n v="1066698"/>
    <n v="3439"/>
    <n v="2012949863"/>
    <n v="314032740"/>
    <n v="-7.2358900144717797"/>
    <x v="844"/>
    <x v="0"/>
    <x v="1"/>
    <x v="0"/>
  </r>
  <r>
    <x v="960"/>
    <s v="IVP LTD"/>
    <n v="129.03"/>
    <n v="130.9"/>
    <n v="121.01"/>
    <n v="126.22"/>
    <n v="130.66999999999999"/>
    <n v="8667"/>
    <n v="290"/>
    <n v="1303380916"/>
    <n v="10326263"/>
    <n v="-3.4055253692507761"/>
    <x v="845"/>
    <x v="0"/>
    <x v="1"/>
    <x v="1"/>
  </r>
  <r>
    <x v="961"/>
    <s v="LE TRAVENUES TECHNOLOGY L"/>
    <n v="170.55"/>
    <n v="172.4"/>
    <n v="162.65"/>
    <n v="166.57"/>
    <n v="173.54"/>
    <n v="1909224"/>
    <n v="44919"/>
    <n v="72887565345"/>
    <n v="437579188"/>
    <n v="-4.0163651031462484"/>
    <x v="846"/>
    <x v="0"/>
    <x v="2"/>
    <x v="0"/>
  </r>
  <r>
    <x v="962"/>
    <s v="J &amp; K BANK LTD."/>
    <n v="115.68"/>
    <n v="116.31"/>
    <n v="108"/>
    <n v="109.33"/>
    <n v="118.82"/>
    <n v="8331744"/>
    <n v="46215"/>
    <n v="120000000000"/>
    <n v="1101182463"/>
    <n v="-7.9868708971553568"/>
    <x v="847"/>
    <x v="0"/>
    <x v="2"/>
    <x v="0"/>
  </r>
  <r>
    <x v="963"/>
    <s v="JAGRAN PRAKASHAN LIMITED"/>
    <n v="61.17"/>
    <n v="61.17"/>
    <n v="59.77"/>
    <n v="59.85"/>
    <n v="61.13"/>
    <n v="368196"/>
    <n v="2779"/>
    <n v="13026608179"/>
    <n v="217654272"/>
    <n v="-2.0938982496319336"/>
    <x v="723"/>
    <x v="0"/>
    <x v="1"/>
    <x v="1"/>
  </r>
  <r>
    <x v="964"/>
    <s v="JAGSONPAL PHARMACEUTICALS"/>
    <n v="181.32"/>
    <n v="182.68"/>
    <n v="180"/>
    <n v="182.15"/>
    <n v="183.34"/>
    <n v="126970"/>
    <n v="2534"/>
    <n v="12164208331"/>
    <n v="66781270"/>
    <n v="-0.64906730664339352"/>
    <x v="848"/>
    <x v="1"/>
    <x v="1"/>
    <x v="1"/>
  </r>
  <r>
    <x v="965"/>
    <s v="JAI BALAJI INDUSTRIES LTD"/>
    <n v="63.07"/>
    <n v="63.65"/>
    <n v="57.5"/>
    <n v="57.76"/>
    <n v="64.680000000000007"/>
    <n v="4728870"/>
    <n v="24266"/>
    <n v="52691960277"/>
    <n v="912256930"/>
    <n v="-10.698824984539284"/>
    <x v="849"/>
    <x v="0"/>
    <x v="2"/>
    <x v="0"/>
  </r>
  <r>
    <x v="966"/>
    <s v="JAI CORP LIMITED"/>
    <n v="100.8"/>
    <n v="100.8"/>
    <n v="93.15"/>
    <n v="94.69"/>
    <n v="102.12"/>
    <n v="1306362"/>
    <n v="12312"/>
    <n v="16618567977"/>
    <n v="175504995"/>
    <n v="-7.2757540148844555"/>
    <x v="850"/>
    <x v="0"/>
    <x v="1"/>
    <x v="0"/>
  </r>
  <r>
    <x v="967"/>
    <s v="JAIN RESOURCE RECYCLING L"/>
    <n v="438"/>
    <n v="444.4"/>
    <n v="417.5"/>
    <n v="439.65"/>
    <n v="441.2"/>
    <n v="1755478"/>
    <n v="37244"/>
    <n v="152000000000"/>
    <n v="345085814"/>
    <n v="-0.35131459655485303"/>
    <x v="18"/>
    <x v="1"/>
    <x v="2"/>
    <x v="0"/>
  </r>
  <r>
    <x v="968"/>
    <s v="NANDANI CREATION LIMITED"/>
    <n v="28.66"/>
    <n v="29"/>
    <n v="25.8"/>
    <n v="27.1"/>
    <n v="28.62"/>
    <n v="83073"/>
    <n v="1124"/>
    <n v="517358349.39999998"/>
    <n v="19090714"/>
    <n v="-5.3109713487071959"/>
    <x v="851"/>
    <x v="0"/>
    <x v="1"/>
    <x v="1"/>
  </r>
  <r>
    <x v="969"/>
    <s v="JAMNA AUTO IND LTD"/>
    <n v="117.88"/>
    <n v="117.88"/>
    <n v="111.26"/>
    <n v="112.44"/>
    <n v="119.68"/>
    <n v="2106541"/>
    <n v="19082"/>
    <n v="44861298269"/>
    <n v="398979885"/>
    <n v="-6.0494652406417186"/>
    <x v="852"/>
    <x v="0"/>
    <x v="1"/>
    <x v="0"/>
  </r>
  <r>
    <x v="970"/>
    <s v="JARO INS OF TEC MG N RE L"/>
    <n v="478"/>
    <n v="478"/>
    <n v="444.6"/>
    <n v="457.5"/>
    <n v="486.15"/>
    <n v="207515"/>
    <n v="7298"/>
    <n v="10136502218"/>
    <n v="22156289"/>
    <n v="-5.8932428262881782"/>
    <x v="853"/>
    <x v="0"/>
    <x v="1"/>
    <x v="1"/>
  </r>
  <r>
    <x v="971"/>
    <s v="JASH ENGINEERING LIMITED"/>
    <n v="362.5"/>
    <n v="368"/>
    <n v="337.2"/>
    <n v="344.3"/>
    <n v="368.5"/>
    <n v="152762"/>
    <n v="6265"/>
    <n v="21658232816"/>
    <n v="62905120"/>
    <n v="-6.5671641791044744"/>
    <x v="854"/>
    <x v="0"/>
    <x v="1"/>
    <x v="1"/>
  </r>
  <r>
    <x v="972"/>
    <s v="JAYANT AGRO ORGANICS LTD"/>
    <n v="166"/>
    <n v="170.9"/>
    <n v="162"/>
    <n v="166.94"/>
    <n v="167.59"/>
    <n v="17166"/>
    <n v="315"/>
    <n v="5008200000"/>
    <n v="30000000"/>
    <n v="-0.38785130377707838"/>
    <x v="350"/>
    <x v="1"/>
    <x v="1"/>
    <x v="1"/>
  </r>
  <r>
    <x v="973"/>
    <s v="JAY BHARAT MARUTI LTD"/>
    <n v="86.3"/>
    <n v="86.3"/>
    <n v="78.5"/>
    <n v="78.72"/>
    <n v="85.88"/>
    <n v="341834"/>
    <n v="3998"/>
    <n v="8521440000"/>
    <n v="108250000"/>
    <n v="-8.3372147182114542"/>
    <x v="571"/>
    <x v="0"/>
    <x v="1"/>
    <x v="1"/>
  </r>
  <r>
    <x v="974"/>
    <s v="JAYKAY ENTERPRISES LTD"/>
    <n v="130.62"/>
    <n v="131.79"/>
    <n v="123.24"/>
    <n v="124.13"/>
    <n v="132.62"/>
    <n v="129192"/>
    <n v="2061"/>
    <n v="16172533503"/>
    <n v="130287066"/>
    <n v="-6.4017493590710366"/>
    <x v="855"/>
    <x v="0"/>
    <x v="1"/>
    <x v="1"/>
  </r>
  <r>
    <x v="975"/>
    <s v="JAYASWAL NECO INDUSTR LTD"/>
    <n v="71.8"/>
    <n v="73.489999999999995"/>
    <n v="68.400000000000006"/>
    <n v="68.900000000000006"/>
    <n v="74.239999999999995"/>
    <n v="5417201"/>
    <n v="23983"/>
    <n v="66901779012"/>
    <n v="970998244"/>
    <n v="-7.192887931034468"/>
    <x v="856"/>
    <x v="0"/>
    <x v="2"/>
    <x v="0"/>
  </r>
  <r>
    <x v="976"/>
    <s v="JAYSHREE TEA &amp; INDUSTRIES"/>
    <n v="79.349999999999994"/>
    <n v="79.900000000000006"/>
    <n v="76.599999999999994"/>
    <n v="77.040000000000006"/>
    <n v="80.61"/>
    <n v="59800"/>
    <n v="1125"/>
    <n v="2224721676"/>
    <n v="28877488"/>
    <n v="-4.4287309266840253"/>
    <x v="857"/>
    <x v="0"/>
    <x v="1"/>
    <x v="1"/>
  </r>
  <r>
    <x v="977"/>
    <s v="J B CHEMICALS AND PHARMA"/>
    <n v="2138.6"/>
    <n v="2138.6"/>
    <n v="2069.1999999999998"/>
    <n v="2080.3000000000002"/>
    <n v="2138.6"/>
    <n v="254449"/>
    <n v="35950"/>
    <n v="326000000000"/>
    <n v="156650956"/>
    <n v="-2.7260824838679381"/>
    <x v="858"/>
    <x v="0"/>
    <x v="0"/>
    <x v="1"/>
  </r>
  <r>
    <x v="978"/>
    <s v="JBM AUTO LIMITED"/>
    <n v="556"/>
    <n v="569.4"/>
    <n v="533"/>
    <n v="540.70000000000005"/>
    <n v="567.25"/>
    <n v="2165425"/>
    <n v="46118"/>
    <n v="128000000000"/>
    <n v="236494264"/>
    <n v="-4.6804759806081897"/>
    <x v="859"/>
    <x v="0"/>
    <x v="2"/>
    <x v="0"/>
  </r>
  <r>
    <x v="979"/>
    <s v="JET FREIGHT LOGISTICS LTD"/>
    <n v="17.88"/>
    <n v="17.88"/>
    <n v="16.510000000000002"/>
    <n v="17.2"/>
    <n v="17.88"/>
    <n v="59873"/>
    <n v="330"/>
    <n v="798145084.79999995"/>
    <n v="46403784"/>
    <n v="-3.8031319910514525"/>
    <x v="860"/>
    <x v="0"/>
    <x v="1"/>
    <x v="1"/>
  </r>
  <r>
    <x v="980"/>
    <s v="J.G.CHEMICALS LIMITED"/>
    <n v="331.2"/>
    <n v="331.2"/>
    <n v="312.5"/>
    <n v="315.14999999999998"/>
    <n v="332"/>
    <n v="118114"/>
    <n v="3520"/>
    <n v="12349487754"/>
    <n v="39186063"/>
    <n v="-5.0753012048192838"/>
    <x v="861"/>
    <x v="0"/>
    <x v="1"/>
    <x v="1"/>
  </r>
  <r>
    <x v="981"/>
    <s v="JHS SVEND. LAB. LTD"/>
    <n v="7.99"/>
    <n v="7.99"/>
    <n v="6.55"/>
    <n v="6.84"/>
    <n v="7.93"/>
    <n v="804071"/>
    <n v="2912"/>
    <n v="585531127.5"/>
    <n v="85603966"/>
    <n v="-13.745271122320302"/>
    <x v="862"/>
    <x v="0"/>
    <x v="1"/>
    <x v="1"/>
  </r>
  <r>
    <x v="982"/>
    <s v="JINDAL PHOTO LIMITED"/>
    <n v="1141.4000000000001"/>
    <n v="1142.7"/>
    <n v="1022.3"/>
    <n v="1058.5"/>
    <n v="1141.4000000000001"/>
    <n v="78843"/>
    <n v="4040"/>
    <n v="10858438071"/>
    <n v="10258326"/>
    <n v="-7.2630103381811892"/>
    <x v="863"/>
    <x v="0"/>
    <x v="1"/>
    <x v="1"/>
  </r>
  <r>
    <x v="983"/>
    <s v="JINDAL POLY FILMS LIMITED"/>
    <n v="909.4"/>
    <n v="909.4"/>
    <n v="909.4"/>
    <n v="909.4"/>
    <n v="957.25"/>
    <n v="8971"/>
    <n v="156"/>
    <n v="39819363982"/>
    <n v="43786413"/>
    <n v="-4.998694176025074"/>
    <x v="227"/>
    <x v="0"/>
    <x v="1"/>
    <x v="1"/>
  </r>
  <r>
    <x v="984"/>
    <s v="JINDAL SAW LIMITED"/>
    <n v="192.01"/>
    <n v="192.01"/>
    <n v="177.72"/>
    <n v="179.11"/>
    <n v="194.13"/>
    <n v="4015756"/>
    <n v="44705"/>
    <n v="115000000000"/>
    <n v="639508234"/>
    <n v="-7.7370833977231657"/>
    <x v="864"/>
    <x v="0"/>
    <x v="2"/>
    <x v="0"/>
  </r>
  <r>
    <x v="985"/>
    <s v="JINDAL DRILLING IND. LTD"/>
    <n v="475.25"/>
    <n v="475.25"/>
    <n v="452.7"/>
    <n v="459.1"/>
    <n v="475.25"/>
    <n v="334456"/>
    <n v="9780"/>
    <n v="13305224846"/>
    <n v="28981104"/>
    <n v="-3.3982114676486015"/>
    <x v="865"/>
    <x v="0"/>
    <x v="1"/>
    <x v="1"/>
  </r>
  <r>
    <x v="986"/>
    <s v="JINDAL WORLDWIDE LTD"/>
    <n v="20.98"/>
    <n v="21"/>
    <n v="19.100000000000001"/>
    <n v="19.670000000000002"/>
    <n v="21.32"/>
    <n v="618674"/>
    <n v="2687"/>
    <n v="19721181340"/>
    <n v="1002602000"/>
    <n v="-7.7392120075046842"/>
    <x v="866"/>
    <x v="0"/>
    <x v="1"/>
    <x v="1"/>
  </r>
  <r>
    <x v="987"/>
    <s v="JAIN DVR EQUITY SHARES"/>
    <n v="21.97"/>
    <n v="21.97"/>
    <n v="20.2"/>
    <n v="21.01"/>
    <n v="21.65"/>
    <n v="76085"/>
    <n v="287"/>
    <n v="405373327.10000002"/>
    <n v="19294304"/>
    <n v="-2.9561200923787392"/>
    <x v="867"/>
    <x v="0"/>
    <x v="1"/>
    <x v="1"/>
  </r>
  <r>
    <x v="988"/>
    <s v="JAIN IRRIGATION SYSTEMS"/>
    <n v="29.99"/>
    <n v="30.01"/>
    <n v="27.1"/>
    <n v="27.67"/>
    <n v="30.17"/>
    <n v="11954315"/>
    <n v="20836"/>
    <n v="19773258451"/>
    <n v="714609991"/>
    <n v="-8.2863771958899566"/>
    <x v="868"/>
    <x v="0"/>
    <x v="1"/>
    <x v="0"/>
  </r>
  <r>
    <x v="989"/>
    <s v="JK CEMENT LIMITED"/>
    <n v="4950"/>
    <n v="5011"/>
    <n v="4822.5"/>
    <n v="4878.5"/>
    <n v="5000"/>
    <n v="110507"/>
    <n v="32766"/>
    <n v="377000000000"/>
    <n v="77268251"/>
    <n v="-2.4299999999999997"/>
    <x v="869"/>
    <x v="0"/>
    <x v="0"/>
    <x v="1"/>
  </r>
  <r>
    <x v="990"/>
    <s v="JKUMAR INFR.LTD."/>
    <n v="480"/>
    <n v="480.2"/>
    <n v="454.1"/>
    <n v="460.8"/>
    <n v="488.3"/>
    <n v="946679"/>
    <n v="13152"/>
    <n v="34866665165"/>
    <n v="75665506"/>
    <n v="-5.631783739504403"/>
    <x v="870"/>
    <x v="0"/>
    <x v="1"/>
    <x v="1"/>
  </r>
  <r>
    <x v="991"/>
    <s v="JINKUSHAL INDUSTRIES LTD"/>
    <n v="51"/>
    <n v="52.99"/>
    <n v="49.5"/>
    <n v="50.93"/>
    <n v="51.58"/>
    <n v="150985"/>
    <n v="649"/>
    <n v="1954998980"/>
    <n v="38386000"/>
    <n v="-1.2601783637068604"/>
    <x v="871"/>
    <x v="0"/>
    <x v="1"/>
    <x v="1"/>
  </r>
  <r>
    <x v="992"/>
    <s v="JK LAKSHMI CEMENT LTD"/>
    <n v="592.85"/>
    <n v="592.85"/>
    <n v="575"/>
    <n v="577.79999999999995"/>
    <n v="592.85"/>
    <n v="110192"/>
    <n v="11477"/>
    <n v="71730649343"/>
    <n v="124144426"/>
    <n v="-2.538584802226544"/>
    <x v="872"/>
    <x v="0"/>
    <x v="2"/>
    <x v="1"/>
  </r>
  <r>
    <x v="993"/>
    <s v="JK PAPER LIMITED"/>
    <n v="333.8"/>
    <n v="337.2"/>
    <n v="312"/>
    <n v="315.25"/>
    <n v="336.9"/>
    <n v="327056"/>
    <n v="11774"/>
    <n v="53404088946"/>
    <n v="169402344"/>
    <n v="-6.4262392401305961"/>
    <x v="873"/>
    <x v="0"/>
    <x v="2"/>
    <x v="1"/>
  </r>
  <r>
    <x v="994"/>
    <s v="JK TYRE &amp; INDUSTRIES LTD"/>
    <n v="411"/>
    <n v="411.55"/>
    <n v="390"/>
    <n v="392.05"/>
    <n v="417.25"/>
    <n v="877062"/>
    <n v="33275"/>
    <n v="113000000000"/>
    <n v="288289511"/>
    <n v="-6.0395446375074862"/>
    <x v="874"/>
    <x v="0"/>
    <x v="2"/>
    <x v="1"/>
  </r>
  <r>
    <x v="995"/>
    <s v="JUPITER LIFE LINE HOSP L"/>
    <n v="1272.9000000000001"/>
    <n v="1272.9000000000001"/>
    <n v="1235.4000000000001"/>
    <n v="1258.2"/>
    <n v="1268.9000000000001"/>
    <n v="13036"/>
    <n v="2801"/>
    <n v="82495168880"/>
    <n v="65566022"/>
    <n v="-0.84325005910631612"/>
    <x v="875"/>
    <x v="0"/>
    <x v="2"/>
    <x v="1"/>
  </r>
  <r>
    <x v="996"/>
    <s v="JULLUNDUR MOT AGENCY LTD"/>
    <n v="81.95"/>
    <n v="81.95"/>
    <n v="78.12"/>
    <n v="79.88"/>
    <n v="80.569999999999993"/>
    <n v="4999"/>
    <n v="173"/>
    <n v="1824543394"/>
    <n v="22841054"/>
    <n v="-0.85639816308799521"/>
    <x v="876"/>
    <x v="0"/>
    <x v="1"/>
    <x v="1"/>
  </r>
  <r>
    <x v="997"/>
    <s v="JM FINANCIAL LIMITED"/>
    <n v="120.56"/>
    <n v="120.57"/>
    <n v="115.84"/>
    <n v="117.66"/>
    <n v="123.16"/>
    <n v="3779260"/>
    <n v="31737"/>
    <n v="113000000000"/>
    <n v="956335873"/>
    <n v="-4.4657356284507959"/>
    <x v="228"/>
    <x v="0"/>
    <x v="2"/>
    <x v="0"/>
  </r>
  <r>
    <x v="998"/>
    <s v="JNK INDIA LIMITED"/>
    <n v="233.5"/>
    <n v="234.21"/>
    <n v="220.5"/>
    <n v="223.39"/>
    <n v="237.53"/>
    <n v="134394"/>
    <n v="2796"/>
    <n v="12499545072"/>
    <n v="55953915"/>
    <n v="-5.9529322611880664"/>
    <x v="877"/>
    <x v="0"/>
    <x v="1"/>
    <x v="1"/>
  </r>
  <r>
    <x v="999"/>
    <s v="JOCIL LIMITED"/>
    <n v="112.77"/>
    <n v="112.77"/>
    <n v="107"/>
    <n v="108.26"/>
    <n v="110.49"/>
    <n v="18771"/>
    <n v="125"/>
    <n v="961473299"/>
    <n v="8881150"/>
    <n v="-2.0182821974839262"/>
    <x v="878"/>
    <x v="0"/>
    <x v="1"/>
    <x v="1"/>
  </r>
  <r>
    <x v="1000"/>
    <s v="JIND POL INV &amp; FIN CO LTD"/>
    <n v="1152.5999999999999"/>
    <n v="1174.7"/>
    <n v="1071.2"/>
    <n v="1086"/>
    <n v="1165.7"/>
    <n v="90744"/>
    <n v="5749"/>
    <n v="11415954894"/>
    <n v="10511929"/>
    <n v="-6.8370935918332361"/>
    <x v="879"/>
    <x v="0"/>
    <x v="1"/>
    <x v="1"/>
  </r>
  <r>
    <x v="1001"/>
    <s v="JAIPRAKASH POWER VEN. LTD"/>
    <n v="15.5"/>
    <n v="15.64"/>
    <n v="14.46"/>
    <n v="14.67"/>
    <n v="16.36"/>
    <n v="164508974"/>
    <n v="86040"/>
    <n v="101000000000"/>
    <n v="6853458827"/>
    <n v="-10.330073349633249"/>
    <x v="508"/>
    <x v="0"/>
    <x v="2"/>
    <x v="0"/>
  </r>
  <r>
    <x v="1002"/>
    <s v="JANA SMALL FIN BANK LTD"/>
    <n v="349.25"/>
    <n v="349.25"/>
    <n v="330"/>
    <n v="343.65"/>
    <n v="349.25"/>
    <n v="325532"/>
    <n v="10810"/>
    <n v="36171612037"/>
    <n v="105257128"/>
    <n v="-1.6034359341446023"/>
    <x v="880"/>
    <x v="0"/>
    <x v="1"/>
    <x v="1"/>
  </r>
  <r>
    <x v="1003"/>
    <s v="JINDAL STAINLESS LIMITED"/>
    <n v="720.45"/>
    <n v="721"/>
    <n v="691.5"/>
    <n v="695.7"/>
    <n v="721.95"/>
    <n v="591700"/>
    <n v="28489"/>
    <n v="574000000000"/>
    <n v="824419588"/>
    <n v="-3.6359858715977555"/>
    <x v="881"/>
    <x v="0"/>
    <x v="0"/>
    <x v="1"/>
  </r>
  <r>
    <x v="1004"/>
    <s v="JEENA SIKHO LIFECARE LTD"/>
    <n v="605"/>
    <n v="605"/>
    <n v="574.15"/>
    <n v="586.65"/>
    <n v="611.29999999999995"/>
    <n v="202461"/>
    <n v="10975"/>
    <n v="72921023255"/>
    <n v="124300730"/>
    <n v="-4.0323899885489904"/>
    <x v="882"/>
    <x v="0"/>
    <x v="2"/>
    <x v="1"/>
  </r>
  <r>
    <x v="1005"/>
    <s v="JSW CEMENT LIMITED"/>
    <n v="114.55"/>
    <n v="114.7"/>
    <n v="112.4"/>
    <n v="113.09"/>
    <n v="116.13"/>
    <n v="2988028"/>
    <n v="28900"/>
    <n v="154000000000"/>
    <n v="1363364936"/>
    <n v="-2.6177559631447451"/>
    <x v="883"/>
    <x v="0"/>
    <x v="2"/>
    <x v="0"/>
  </r>
  <r>
    <x v="1006"/>
    <s v="JSW HOLDINGS LIMITED"/>
    <n v="14700"/>
    <n v="14964"/>
    <n v="13700"/>
    <n v="13817"/>
    <n v="15142"/>
    <n v="14824"/>
    <n v="5922"/>
    <n v="153000000000"/>
    <n v="11099625"/>
    <n v="-8.7504953110553423"/>
    <x v="884"/>
    <x v="0"/>
    <x v="2"/>
    <x v="1"/>
  </r>
  <r>
    <x v="1007"/>
    <s v="JSW INFRASTRUCTURE LTD"/>
    <n v="248.15"/>
    <n v="249"/>
    <n v="240"/>
    <n v="241.3"/>
    <n v="251.15"/>
    <n v="1840136"/>
    <n v="35822"/>
    <n v="507000000000"/>
    <n v="2100001567"/>
    <n v="-3.9219589886521975"/>
    <x v="729"/>
    <x v="0"/>
    <x v="0"/>
    <x v="0"/>
  </r>
  <r>
    <x v="1008"/>
    <s v="JTEKT INDIA LIMITED"/>
    <n v="127.27"/>
    <n v="127.27"/>
    <n v="119.1"/>
    <n v="120.08"/>
    <n v="127.27"/>
    <n v="131857"/>
    <n v="2232"/>
    <n v="33309818551"/>
    <n v="277396890"/>
    <n v="-5.6494067730022772"/>
    <x v="885"/>
    <x v="0"/>
    <x v="1"/>
    <x v="1"/>
  </r>
  <r>
    <x v="1009"/>
    <s v="JTL INDUSTRIES LIMITED"/>
    <n v="51.33"/>
    <n v="51.61"/>
    <n v="49.1"/>
    <n v="49.41"/>
    <n v="52.11"/>
    <n v="2294871"/>
    <n v="10317"/>
    <n v="19422163338"/>
    <n v="393081630"/>
    <n v="-5.1813471502590724"/>
    <x v="761"/>
    <x v="0"/>
    <x v="1"/>
    <x v="0"/>
  </r>
  <r>
    <x v="1010"/>
    <s v="JUBILANT AGRI N CON PRO L"/>
    <n v="1634.1"/>
    <n v="1642.4"/>
    <n v="1505"/>
    <n v="1549.7"/>
    <n v="1657.5"/>
    <n v="7151"/>
    <n v="1233"/>
    <n v="23476860912"/>
    <n v="15149294"/>
    <n v="-6.503770739064854"/>
    <x v="886"/>
    <x v="0"/>
    <x v="1"/>
    <x v="1"/>
  </r>
  <r>
    <x v="1011"/>
    <s v="JUBILANT FOODWORKS LTD"/>
    <n v="448"/>
    <n v="448"/>
    <n v="436.2"/>
    <n v="438.05"/>
    <n v="451.55"/>
    <n v="960419"/>
    <n v="28423"/>
    <n v="289000000000"/>
    <n v="659845200"/>
    <n v="-2.9897021370833792"/>
    <x v="887"/>
    <x v="0"/>
    <x v="0"/>
    <x v="1"/>
  </r>
  <r>
    <x v="1012"/>
    <s v="JUBILANT INGREVIA LIMITED"/>
    <n v="582.54999999999995"/>
    <n v="582.6"/>
    <n v="552"/>
    <n v="565.15"/>
    <n v="583.29999999999995"/>
    <n v="268916"/>
    <n v="13821"/>
    <n v="90017735706"/>
    <n v="159281139"/>
    <n v="-3.1116063775072824"/>
    <x v="789"/>
    <x v="0"/>
    <x v="2"/>
    <x v="1"/>
  </r>
  <r>
    <x v="1013"/>
    <s v="JUBILANT PHARMOVA LTD"/>
    <n v="815"/>
    <n v="831.3"/>
    <n v="804.15"/>
    <n v="816.2"/>
    <n v="831.35"/>
    <n v="171243"/>
    <n v="17173"/>
    <n v="130000000000"/>
    <n v="159281139"/>
    <n v="-1.8223371624466203"/>
    <x v="256"/>
    <x v="1"/>
    <x v="2"/>
    <x v="1"/>
  </r>
  <r>
    <x v="1014"/>
    <s v="JUNIPER HOTELS LIMITED"/>
    <n v="204.62"/>
    <n v="204.62"/>
    <n v="192.5"/>
    <n v="193.43"/>
    <n v="204.63"/>
    <n v="137276"/>
    <n v="3663"/>
    <n v="43038636137"/>
    <n v="222502384"/>
    <n v="-5.473293261007667"/>
    <x v="888"/>
    <x v="0"/>
    <x v="1"/>
    <x v="1"/>
  </r>
  <r>
    <x v="1015"/>
    <s v="JUSTDIAL LTD."/>
    <n v="517.95000000000005"/>
    <n v="517.95000000000005"/>
    <n v="499.5"/>
    <n v="500.75"/>
    <n v="520.4"/>
    <n v="205262"/>
    <n v="7882"/>
    <n v="42586111993"/>
    <n v="85044657"/>
    <n v="-3.7759415833973824"/>
    <x v="889"/>
    <x v="0"/>
    <x v="1"/>
    <x v="1"/>
  </r>
  <r>
    <x v="1016"/>
    <s v="JUPITER WAGONS LIMITED"/>
    <n v="259.39999999999998"/>
    <n v="259.39999999999998"/>
    <n v="249"/>
    <n v="252.6"/>
    <n v="262.60000000000002"/>
    <n v="1711997"/>
    <n v="28216"/>
    <n v="107000000000"/>
    <n v="424498049"/>
    <n v="-3.8080731150038183"/>
    <x v="890"/>
    <x v="0"/>
    <x v="2"/>
    <x v="0"/>
  </r>
  <r>
    <x v="1017"/>
    <s v="JYOTHY LABS LIMITED"/>
    <n v="208"/>
    <n v="208"/>
    <n v="199"/>
    <n v="199.6"/>
    <n v="208.55"/>
    <n v="580447"/>
    <n v="25757"/>
    <n v="73296016396"/>
    <n v="367214511"/>
    <n v="-4.2915368017262123"/>
    <x v="729"/>
    <x v="0"/>
    <x v="2"/>
    <x v="1"/>
  </r>
  <r>
    <x v="1018"/>
    <s v="JYOTI CNC AUTOMATION LTD"/>
    <n v="739.95"/>
    <n v="739.95"/>
    <n v="704"/>
    <n v="722.45"/>
    <n v="739.95"/>
    <n v="348713"/>
    <n v="24811"/>
    <n v="164000000000"/>
    <n v="227423096"/>
    <n v="-2.365024663828637"/>
    <x v="688"/>
    <x v="0"/>
    <x v="2"/>
    <x v="1"/>
  </r>
  <r>
    <x v="1019"/>
    <s v="JYOTI STRUCTURES LTD"/>
    <n v="10.35"/>
    <n v="10.36"/>
    <n v="9.6199999999999992"/>
    <n v="9.75"/>
    <n v="10.46"/>
    <n v="14347350"/>
    <n v="13157"/>
    <n v="11636322136"/>
    <n v="1193468937"/>
    <n v="-6.7877629063097595"/>
    <x v="891"/>
    <x v="0"/>
    <x v="1"/>
    <x v="0"/>
  </r>
  <r>
    <x v="1020"/>
    <s v="KABRA EXTRUSION TECHNIK L"/>
    <n v="208.1"/>
    <n v="209.55"/>
    <n v="192.8"/>
    <n v="194.95"/>
    <n v="208.95"/>
    <n v="72110"/>
    <n v="2014"/>
    <n v="6817954378"/>
    <n v="34972836"/>
    <n v="-6.7001675041876059"/>
    <x v="892"/>
    <x v="0"/>
    <x v="1"/>
    <x v="1"/>
  </r>
  <r>
    <x v="1021"/>
    <s v="KAJARIA CERAMICS LTD"/>
    <n v="958.05"/>
    <n v="958.05"/>
    <n v="877.6"/>
    <n v="890.85"/>
    <n v="951.35"/>
    <n v="465318"/>
    <n v="28233"/>
    <n v="142000000000"/>
    <n v="159272290"/>
    <n v="-6.3593840332159566"/>
    <x v="893"/>
    <x v="0"/>
    <x v="2"/>
    <x v="1"/>
  </r>
  <r>
    <x v="1022"/>
    <s v="KAKATIYA CEM SUGAR &amp;IND L"/>
    <n v="100.5"/>
    <n v="100.5"/>
    <n v="96"/>
    <n v="97.09"/>
    <n v="100.5"/>
    <n v="3797"/>
    <n v="121"/>
    <n v="754763873.20000005"/>
    <n v="7773858"/>
    <n v="-3.3930348258706431"/>
    <x v="606"/>
    <x v="0"/>
    <x v="1"/>
    <x v="1"/>
  </r>
  <r>
    <x v="1023"/>
    <s v="SAI SILKS (KALAMANDIR) L"/>
    <n v="100.49"/>
    <n v="100.49"/>
    <n v="94.85"/>
    <n v="95.81"/>
    <n v="100.65"/>
    <n v="1067909"/>
    <n v="12753"/>
    <n v="14694007191"/>
    <n v="153366112"/>
    <n v="-4.8087431693989107"/>
    <x v="894"/>
    <x v="0"/>
    <x v="1"/>
    <x v="0"/>
  </r>
  <r>
    <x v="1024"/>
    <s v="KALPATARU LIMITED"/>
    <n v="295"/>
    <n v="296.14999999999998"/>
    <n v="281.10000000000002"/>
    <n v="282.89999999999998"/>
    <n v="296.25"/>
    <n v="57774"/>
    <n v="2588"/>
    <n v="58253068620"/>
    <n v="205913993"/>
    <n v="-4.5063291139240587"/>
    <x v="895"/>
    <x v="0"/>
    <x v="2"/>
    <x v="1"/>
  </r>
  <r>
    <x v="1025"/>
    <s v="KALYANI FORGE LIMITED"/>
    <n v="554.54999999999995"/>
    <n v="554.54999999999995"/>
    <n v="523.6"/>
    <n v="533.9"/>
    <n v="554.5"/>
    <n v="3278"/>
    <n v="225"/>
    <n v="1942328200"/>
    <n v="3638000"/>
    <n v="-3.7150586113615915"/>
    <x v="896"/>
    <x v="0"/>
    <x v="1"/>
    <x v="1"/>
  </r>
  <r>
    <x v="1026"/>
    <s v="KALYAN JEWELLERS IND LTD"/>
    <n v="378.7"/>
    <n v="378.7"/>
    <n v="361.1"/>
    <n v="362.7"/>
    <n v="382.7"/>
    <n v="3830721"/>
    <n v="53945"/>
    <n v="375000000000"/>
    <n v="1032662662"/>
    <n v="-5.226025607525477"/>
    <x v="897"/>
    <x v="0"/>
    <x v="0"/>
    <x v="0"/>
  </r>
  <r>
    <x v="1027"/>
    <s v="KAMAT HOTELS (I) LTD"/>
    <n v="179.37"/>
    <n v="179.37"/>
    <n v="160.94999999999999"/>
    <n v="162.57"/>
    <n v="182.56"/>
    <n v="116506"/>
    <n v="3435"/>
    <n v="4792575305"/>
    <n v="29480072"/>
    <n v="-10.949824715162142"/>
    <x v="898"/>
    <x v="0"/>
    <x v="1"/>
    <x v="1"/>
  </r>
  <r>
    <x v="1028"/>
    <s v="KAMDHENU LIMITED"/>
    <n v="21.01"/>
    <n v="21.02"/>
    <n v="19.059999999999999"/>
    <n v="19.260000000000002"/>
    <n v="21.12"/>
    <n v="2711634"/>
    <n v="4911"/>
    <n v="5429066580"/>
    <n v="281883000"/>
    <n v="-8.8068181818181781"/>
    <x v="751"/>
    <x v="0"/>
    <x v="1"/>
    <x v="0"/>
  </r>
  <r>
    <x v="1029"/>
    <s v="KAMDHENU VENTURES LIMITED"/>
    <n v="4.16"/>
    <n v="4.26"/>
    <n v="3.97"/>
    <n v="4.13"/>
    <n v="4.29"/>
    <n v="585911"/>
    <n v="1225"/>
    <n v="1298286150"/>
    <n v="314355000"/>
    <n v="-3.729603729603733"/>
    <x v="899"/>
    <x v="0"/>
    <x v="1"/>
    <x v="1"/>
  </r>
  <r>
    <x v="1030"/>
    <s v="KANANI INDUSTRIES LTD"/>
    <n v="1.37"/>
    <n v="1.37"/>
    <n v="1.17"/>
    <n v="1.28"/>
    <n v="1.35"/>
    <n v="213347"/>
    <n v="499"/>
    <n v="253271040"/>
    <n v="197868000"/>
    <n v="-5.1851851851851896"/>
    <x v="346"/>
    <x v="0"/>
    <x v="1"/>
    <x v="1"/>
  </r>
  <r>
    <x v="1031"/>
    <s v="KANORIA CHEMICALS &amp; INDUS"/>
    <n v="62.96"/>
    <n v="62.96"/>
    <n v="58.26"/>
    <n v="59.4"/>
    <n v="62.98"/>
    <n v="80669"/>
    <n v="236"/>
    <n v="2595383980"/>
    <n v="43693333"/>
    <n v="-5.6843442362654786"/>
    <x v="461"/>
    <x v="0"/>
    <x v="1"/>
    <x v="1"/>
  </r>
  <r>
    <x v="1032"/>
    <s v="KANPUR PLASTIPACK LIMITED"/>
    <n v="179"/>
    <n v="179"/>
    <n v="151.25"/>
    <n v="157.83000000000001"/>
    <n v="178.57"/>
    <n v="30511"/>
    <n v="1216"/>
    <n v="3665879215"/>
    <n v="23226758"/>
    <n v="-11.614492915943316"/>
    <x v="900"/>
    <x v="0"/>
    <x v="1"/>
    <x v="1"/>
  </r>
  <r>
    <x v="1033"/>
    <s v="KANSAI NEROLAC PAINTS LTD"/>
    <n v="166"/>
    <n v="166"/>
    <n v="157.91"/>
    <n v="159.07"/>
    <n v="166.77"/>
    <n v="414532"/>
    <n v="15554"/>
    <n v="129000000000"/>
    <n v="808520964"/>
    <n v="-4.6171373748276165"/>
    <x v="901"/>
    <x v="0"/>
    <x v="2"/>
    <x v="1"/>
  </r>
  <r>
    <x v="1034"/>
    <s v="KARMA ENERGY LIMITED"/>
    <n v="37.15"/>
    <n v="38.18"/>
    <n v="37.020000000000003"/>
    <n v="37.65"/>
    <n v="38.96"/>
    <n v="4225"/>
    <n v="55"/>
    <n v="435607412.69999999"/>
    <n v="11569918"/>
    <n v="-3.3624229979466174"/>
    <x v="902"/>
    <x v="1"/>
    <x v="1"/>
    <x v="1"/>
  </r>
  <r>
    <x v="1035"/>
    <s v="KARUR VYSYA BANK LTD"/>
    <n v="259"/>
    <n v="263.5"/>
    <n v="255.55"/>
    <n v="261.14999999999998"/>
    <n v="263.89999999999998"/>
    <n v="3652466"/>
    <n v="77799"/>
    <n v="252000000000"/>
    <n v="966470328"/>
    <n v="-1.0420613868889732"/>
    <x v="903"/>
    <x v="1"/>
    <x v="0"/>
    <x v="0"/>
  </r>
  <r>
    <x v="1036"/>
    <s v="KAUSHALYA INFRA DEV LTD."/>
    <n v="788.05"/>
    <n v="790"/>
    <n v="756"/>
    <n v="773.2"/>
    <n v="767.95"/>
    <n v="276"/>
    <n v="70"/>
    <n v="267763799.19999999"/>
    <n v="346306"/>
    <n v="0.68363825769906894"/>
    <x v="31"/>
    <x v="0"/>
    <x v="1"/>
    <x v="1"/>
  </r>
  <r>
    <x v="1037"/>
    <s v="KAYA LIMITED"/>
    <n v="283.5"/>
    <n v="283.5"/>
    <n v="248.35"/>
    <n v="252.25"/>
    <n v="282.95"/>
    <n v="66946"/>
    <n v="3306"/>
    <n v="3831074370"/>
    <n v="15187609"/>
    <n v="-10.849973493550094"/>
    <x v="904"/>
    <x v="0"/>
    <x v="1"/>
    <x v="1"/>
  </r>
  <r>
    <x v="1038"/>
    <s v="KAYNES TECHNOLOGY IND LTD"/>
    <n v="3550"/>
    <n v="3596"/>
    <n v="3347"/>
    <n v="3409.7"/>
    <n v="3620.6"/>
    <n v="1495670"/>
    <n v="94655"/>
    <n v="229000000000"/>
    <n v="67034654"/>
    <n v="-5.8250013809865795"/>
    <x v="905"/>
    <x v="0"/>
    <x v="0"/>
    <x v="0"/>
  </r>
  <r>
    <x v="1039"/>
    <s v="KCP LTD"/>
    <n v="135.12"/>
    <n v="136"/>
    <n v="127"/>
    <n v="128.19999999999999"/>
    <n v="137.5"/>
    <n v="322907"/>
    <n v="4196"/>
    <n v="16527692712"/>
    <n v="128921160"/>
    <n v="-6.7636363636363717"/>
    <x v="729"/>
    <x v="0"/>
    <x v="1"/>
    <x v="1"/>
  </r>
  <r>
    <x v="1040"/>
    <s v="KCP SUGAR IND CORP LTD."/>
    <n v="24.15"/>
    <n v="24.15"/>
    <n v="22.7"/>
    <n v="23.01"/>
    <n v="23.82"/>
    <n v="212036"/>
    <n v="1129"/>
    <n v="2608990001"/>
    <n v="113385050"/>
    <n v="-3.400503778337526"/>
    <x v="334"/>
    <x v="0"/>
    <x v="1"/>
    <x v="1"/>
  </r>
  <r>
    <x v="1041"/>
    <s v="KDDL LIMITED"/>
    <n v="2155"/>
    <n v="2173"/>
    <n v="2079.3000000000002"/>
    <n v="2102.5"/>
    <n v="2195.4"/>
    <n v="23868"/>
    <n v="2811"/>
    <n v="25859236200"/>
    <n v="12299280"/>
    <n v="-4.2315751115969791"/>
    <x v="906"/>
    <x v="0"/>
    <x v="1"/>
    <x v="1"/>
  </r>
  <r>
    <x v="1042"/>
    <s v="KEC INTL. LIMITED"/>
    <n v="540"/>
    <n v="540.29999999999995"/>
    <n v="511.9"/>
    <n v="514.85"/>
    <n v="546.1"/>
    <n v="506074"/>
    <n v="20575"/>
    <n v="137000000000"/>
    <n v="266200000"/>
    <n v="-5.7223951657205641"/>
    <x v="907"/>
    <x v="0"/>
    <x v="2"/>
    <x v="1"/>
  </r>
  <r>
    <x v="1043"/>
    <s v="KIRLOSKAR ELECTRIC CO LTD"/>
    <n v="81.89"/>
    <n v="86.8"/>
    <n v="79.959999999999994"/>
    <n v="83.17"/>
    <n v="83.35"/>
    <n v="494576"/>
    <n v="4701"/>
    <n v="5523658285"/>
    <n v="66414071"/>
    <n v="-0.21595680863826353"/>
    <x v="908"/>
    <x v="1"/>
    <x v="1"/>
    <x v="1"/>
  </r>
  <r>
    <x v="1044"/>
    <s v="DSJ KEEP LEARNING LTD"/>
    <n v="1.86"/>
    <n v="1.86"/>
    <n v="1.69"/>
    <n v="1.73"/>
    <n v="1.82"/>
    <n v="32015"/>
    <n v="151"/>
    <n v="269381903.60000002"/>
    <n v="155712083"/>
    <n v="-4.9450549450549488"/>
    <x v="909"/>
    <x v="0"/>
    <x v="1"/>
    <x v="1"/>
  </r>
  <r>
    <x v="1045"/>
    <s v="KEI INDUSTRIES LTD."/>
    <n v="4110"/>
    <n v="4121.5"/>
    <n v="3937"/>
    <n v="3990.5"/>
    <n v="4188"/>
    <n v="370258"/>
    <n v="47116"/>
    <n v="381000000000"/>
    <n v="95600595"/>
    <n v="-4.7158548233046798"/>
    <x v="910"/>
    <x v="0"/>
    <x v="0"/>
    <x v="1"/>
  </r>
  <r>
    <x v="1046"/>
    <s v="KELLTON TECH SOL LTD"/>
    <n v="15.8"/>
    <n v="15.8"/>
    <n v="15.31"/>
    <n v="15.43"/>
    <n v="16.09"/>
    <n v="2164055"/>
    <n v="4500"/>
    <n v="8144026058"/>
    <n v="527804670"/>
    <n v="-4.1019266625233071"/>
    <x v="911"/>
    <x v="0"/>
    <x v="1"/>
    <x v="0"/>
  </r>
  <r>
    <x v="1047"/>
    <s v="KERNEX MICROSYS(I) LTD"/>
    <n v="951"/>
    <n v="953.3"/>
    <n v="900"/>
    <n v="905"/>
    <n v="962"/>
    <n v="165744"/>
    <n v="9479"/>
    <n v="15167276910"/>
    <n v="16759422"/>
    <n v="-5.9251559251559254"/>
    <x v="912"/>
    <x v="0"/>
    <x v="1"/>
    <x v="1"/>
  </r>
  <r>
    <x v="1048"/>
    <s v="KESORAM INDUSTRIES LTD"/>
    <n v="8.1999999999999993"/>
    <n v="8.1999999999999993"/>
    <n v="7.41"/>
    <n v="7.81"/>
    <n v="8.0500000000000007"/>
    <n v="1241894"/>
    <n v="1992"/>
    <n v="2426283208"/>
    <n v="310663663"/>
    <n v="-2.9813664596273428"/>
    <x v="913"/>
    <x v="0"/>
    <x v="1"/>
    <x v="0"/>
  </r>
  <r>
    <x v="1049"/>
    <s v="KEYNOTE FIN SERV LTD."/>
    <n v="242"/>
    <n v="259.8"/>
    <n v="242"/>
    <n v="247.85"/>
    <n v="258.95"/>
    <n v="2429"/>
    <n v="134"/>
    <n v="1379690980"/>
    <n v="5566637"/>
    <n v="-4.2865418034369549"/>
    <x v="914"/>
    <x v="1"/>
    <x v="1"/>
    <x v="1"/>
  </r>
  <r>
    <x v="1050"/>
    <s v="KFIN TECHNOLOGIES LIMITED"/>
    <n v="910"/>
    <n v="911.4"/>
    <n v="870"/>
    <n v="877.6"/>
    <n v="914.55"/>
    <n v="910416"/>
    <n v="30766"/>
    <n v="151000000000"/>
    <n v="172401007"/>
    <n v="-4.0402383685965697"/>
    <x v="915"/>
    <x v="0"/>
    <x v="2"/>
    <x v="1"/>
  </r>
  <r>
    <x v="1051"/>
    <s v="KHADIM INDIA LIMITED"/>
    <n v="88.48"/>
    <n v="89.99"/>
    <n v="80.92"/>
    <n v="85.29"/>
    <n v="88.01"/>
    <n v="856857"/>
    <n v="7035"/>
    <n v="1567492201"/>
    <n v="18378382"/>
    <n v="-3.0905578911487317"/>
    <x v="916"/>
    <x v="0"/>
    <x v="1"/>
    <x v="1"/>
  </r>
  <r>
    <x v="1052"/>
    <s v="KHAITAN CHEM &amp; FERT LTD"/>
    <n v="48.06"/>
    <n v="48.49"/>
    <n v="46.26"/>
    <n v="46.82"/>
    <n v="48.85"/>
    <n v="189844"/>
    <n v="2474"/>
    <n v="4541034344"/>
    <n v="96989200"/>
    <n v="-4.1555783009211895"/>
    <x v="917"/>
    <x v="0"/>
    <x v="1"/>
    <x v="1"/>
  </r>
  <r>
    <x v="1053"/>
    <s v="KHAITAN (INDIA)LTD."/>
    <n v="98.89"/>
    <n v="98.89"/>
    <n v="93.03"/>
    <n v="93.34"/>
    <n v="95.69"/>
    <n v="1034"/>
    <n v="59"/>
    <n v="443365000"/>
    <n v="4750000"/>
    <n v="-2.4558470059567297"/>
    <x v="918"/>
    <x v="0"/>
    <x v="1"/>
    <x v="1"/>
  </r>
  <r>
    <x v="1054"/>
    <s v="KHANDWALA SECURITIES LTD"/>
    <n v="15.41"/>
    <n v="17.100000000000001"/>
    <n v="15.05"/>
    <n v="15.87"/>
    <n v="16"/>
    <n v="5294"/>
    <n v="81"/>
    <n v="242077885.40000001"/>
    <n v="15253805"/>
    <n v="-0.81250000000000488"/>
    <x v="919"/>
    <x v="1"/>
    <x v="1"/>
    <x v="1"/>
  </r>
  <r>
    <x v="1055"/>
    <s v="KALYANI INVEST CO LTD"/>
    <n v="4331"/>
    <n v="4338.5"/>
    <n v="4154"/>
    <n v="4187"/>
    <n v="4434"/>
    <n v="3909"/>
    <n v="687"/>
    <n v="18277536222"/>
    <n v="4365306"/>
    <n v="-5.5705908885881827"/>
    <x v="910"/>
    <x v="0"/>
    <x v="1"/>
    <x v="1"/>
  </r>
  <r>
    <x v="1056"/>
    <s v="KILITCH DRUGS INDIA LTD"/>
    <n v="321"/>
    <n v="325"/>
    <n v="312.35000000000002"/>
    <n v="313.60000000000002"/>
    <n v="316.10000000000002"/>
    <n v="57994"/>
    <n v="2100"/>
    <n v="5481973235"/>
    <n v="17480782"/>
    <n v="-0.79088895919012958"/>
    <x v="623"/>
    <x v="0"/>
    <x v="1"/>
    <x v="1"/>
  </r>
  <r>
    <x v="1057"/>
    <s v="KRISHNA INST OF MED SCI L"/>
    <n v="641"/>
    <n v="641.04999999999995"/>
    <n v="619"/>
    <n v="630.5"/>
    <n v="645.1"/>
    <n v="388274"/>
    <n v="26435"/>
    <n v="252000000000"/>
    <n v="400138935"/>
    <n v="-2.2632150054255189"/>
    <x v="920"/>
    <x v="0"/>
    <x v="0"/>
    <x v="1"/>
  </r>
  <r>
    <x v="1058"/>
    <s v="KINGFA SCI &amp; TEC IND LTD."/>
    <n v="4015"/>
    <n v="4039"/>
    <n v="3927"/>
    <n v="3949"/>
    <n v="4073.3"/>
    <n v="3805"/>
    <n v="1002"/>
    <n v="53514403569"/>
    <n v="13551381"/>
    <n v="-3.0515798001620351"/>
    <x v="921"/>
    <x v="0"/>
    <x v="2"/>
    <x v="1"/>
  </r>
  <r>
    <x v="1059"/>
    <s v="KIOCL LIMITED"/>
    <n v="342"/>
    <n v="348.8"/>
    <n v="321.14999999999998"/>
    <n v="324.60000000000002"/>
    <n v="351.75"/>
    <n v="1402495"/>
    <n v="50376"/>
    <n v="197000000000"/>
    <n v="607751096"/>
    <n v="-7.7185501066098023"/>
    <x v="922"/>
    <x v="0"/>
    <x v="2"/>
    <x v="0"/>
  </r>
  <r>
    <x v="1060"/>
    <s v="KIRI INDUSTRIES LIMITED"/>
    <n v="369"/>
    <n v="371.95"/>
    <n v="354.9"/>
    <n v="357.9"/>
    <n v="374.85"/>
    <n v="936779"/>
    <n v="15867"/>
    <n v="21482072077"/>
    <n v="60022554"/>
    <n v="-4.5218087234894071"/>
    <x v="923"/>
    <x v="0"/>
    <x v="1"/>
    <x v="1"/>
  </r>
  <r>
    <x v="1061"/>
    <s v="KIRLOSKAR BROTHERS LTD"/>
    <n v="1552.9"/>
    <n v="1556.1"/>
    <n v="1470"/>
    <n v="1483"/>
    <n v="1561.4"/>
    <n v="48913"/>
    <n v="9147"/>
    <n v="118000000000"/>
    <n v="79408926"/>
    <n v="-5.0211348789547898"/>
    <x v="924"/>
    <x v="0"/>
    <x v="2"/>
    <x v="1"/>
  </r>
  <r>
    <x v="1062"/>
    <s v="KIRLOSKAR OIL ENG LTD"/>
    <n v="1366.2"/>
    <n v="1371"/>
    <n v="1275.2"/>
    <n v="1287.7"/>
    <n v="1376.7"/>
    <n v="228162"/>
    <n v="21781"/>
    <n v="187000000000"/>
    <n v="145331414"/>
    <n v="-6.4647345100602882"/>
    <x v="925"/>
    <x v="0"/>
    <x v="2"/>
    <x v="1"/>
  </r>
  <r>
    <x v="1063"/>
    <s v="KIRLOSKAR INDUSTRIES LTD"/>
    <n v="2725"/>
    <n v="2725"/>
    <n v="2619.1999999999998"/>
    <n v="2631.5"/>
    <n v="2735.8"/>
    <n v="11305"/>
    <n v="1985"/>
    <n v="27639081329"/>
    <n v="10503166"/>
    <n v="-3.8124131880985521"/>
    <x v="926"/>
    <x v="0"/>
    <x v="1"/>
    <x v="1"/>
  </r>
  <r>
    <x v="1064"/>
    <s v="KIRLOSKAR PNEUMATIC COM L"/>
    <n v="1040"/>
    <n v="1060.7"/>
    <n v="1033.2"/>
    <n v="1041.5999999999999"/>
    <n v="1050.7"/>
    <n v="93727"/>
    <n v="11330"/>
    <n v="67641076944"/>
    <n v="64939590"/>
    <n v="-0.86608927381746792"/>
    <x v="927"/>
    <x v="1"/>
    <x v="2"/>
    <x v="1"/>
  </r>
  <r>
    <x v="1065"/>
    <s v="KITEX GARMENTS LTD"/>
    <n v="156"/>
    <n v="156.62"/>
    <n v="149"/>
    <n v="150.21"/>
    <n v="159.4"/>
    <n v="803317"/>
    <n v="9701"/>
    <n v="29966895000"/>
    <n v="199500000"/>
    <n v="-5.7653701380175644"/>
    <x v="928"/>
    <x v="0"/>
    <x v="1"/>
    <x v="1"/>
  </r>
  <r>
    <x v="1066"/>
    <s v="KEWAL KIRAN CLOTHING LTD"/>
    <n v="423"/>
    <n v="427.1"/>
    <n v="408.35"/>
    <n v="413.05"/>
    <n v="426.85"/>
    <n v="101330"/>
    <n v="8444"/>
    <n v="25454282664"/>
    <n v="61625185"/>
    <n v="-3.2329858264027198"/>
    <x v="929"/>
    <x v="0"/>
    <x v="1"/>
    <x v="1"/>
  </r>
  <r>
    <x v="1067"/>
    <s v="KNOWLEDGE MARINE &amp; EN W L"/>
    <n v="1535"/>
    <n v="1535"/>
    <n v="1409"/>
    <n v="1443.1"/>
    <n v="1545.2"/>
    <n v="136193"/>
    <n v="11946"/>
    <n v="35275292255"/>
    <n v="24444108"/>
    <n v="-6.6075588920528174"/>
    <x v="930"/>
    <x v="0"/>
    <x v="1"/>
    <x v="1"/>
  </r>
  <r>
    <x v="1068"/>
    <s v="K M SUGAR MILLS LTD"/>
    <n v="25.66"/>
    <n v="25.66"/>
    <n v="24.42"/>
    <n v="24.54"/>
    <n v="25.74"/>
    <n v="90003"/>
    <n v="928"/>
    <n v="2257684172"/>
    <n v="92000170"/>
    <n v="-4.6620046620046596"/>
    <x v="760"/>
    <x v="0"/>
    <x v="1"/>
    <x v="1"/>
  </r>
  <r>
    <x v="1069"/>
    <s v="KN AGRI RESOURCES LIMITED"/>
    <n v="168.5"/>
    <n v="169.7"/>
    <n v="162.54"/>
    <n v="162.75"/>
    <n v="171.09"/>
    <n v="11371"/>
    <n v="266"/>
    <n v="4068572603"/>
    <n v="24998910"/>
    <n v="-4.8746273890934617"/>
    <x v="931"/>
    <x v="0"/>
    <x v="1"/>
    <x v="1"/>
  </r>
  <r>
    <x v="1070"/>
    <s v="KNR CONSTRU LTD."/>
    <n v="117.5"/>
    <n v="117.5"/>
    <n v="111"/>
    <n v="114.06"/>
    <n v="118.01"/>
    <n v="1512358"/>
    <n v="20272"/>
    <n v="32077618476"/>
    <n v="281234600"/>
    <n v="-3.3471739683077728"/>
    <x v="252"/>
    <x v="0"/>
    <x v="1"/>
    <x v="0"/>
  </r>
  <r>
    <x v="1071"/>
    <s v="KOHINOOR FOODS LIMITED"/>
    <n v="23"/>
    <n v="23"/>
    <n v="21.5"/>
    <n v="21.96"/>
    <n v="22.69"/>
    <n v="80735"/>
    <n v="1170"/>
    <n v="814090798.79999995"/>
    <n v="37071530"/>
    <n v="-3.2172763331864274"/>
    <x v="932"/>
    <x v="0"/>
    <x v="1"/>
    <x v="1"/>
  </r>
  <r>
    <x v="1072"/>
    <s v="KOKUYO CAMLIN LIMITED"/>
    <n v="76.94"/>
    <n v="77.11"/>
    <n v="73.010000000000005"/>
    <n v="73.58"/>
    <n v="76.94"/>
    <n v="67600"/>
    <n v="769"/>
    <n v="7380354046"/>
    <n v="100303806"/>
    <n v="-4.3670392513646989"/>
    <x v="933"/>
    <x v="0"/>
    <x v="1"/>
    <x v="1"/>
  </r>
  <r>
    <x v="1073"/>
    <s v="KOLTE PATIL DEV. LTD."/>
    <n v="324.60000000000002"/>
    <n v="330"/>
    <n v="317.25"/>
    <n v="323.10000000000002"/>
    <n v="324.64999999999998"/>
    <n v="80610"/>
    <n v="2773"/>
    <n v="28652538371"/>
    <n v="88680094"/>
    <n v="-0.47743724010471422"/>
    <x v="248"/>
    <x v="0"/>
    <x v="1"/>
    <x v="1"/>
  </r>
  <r>
    <x v="1074"/>
    <s v="KOPRAN LTD"/>
    <n v="118.9"/>
    <n v="118.99"/>
    <n v="110.8"/>
    <n v="114.08"/>
    <n v="118.22"/>
    <n v="337418"/>
    <n v="3352"/>
    <n v="5508649522"/>
    <n v="48287601"/>
    <n v="-3.5019455252918297"/>
    <x v="934"/>
    <x v="0"/>
    <x v="1"/>
    <x v="1"/>
  </r>
  <r>
    <x v="1075"/>
    <s v="KOTHARI SUG &amp; CHEM LTD."/>
    <n v="23.94"/>
    <n v="23.94"/>
    <n v="22.72"/>
    <n v="23.31"/>
    <n v="23.7"/>
    <n v="60632"/>
    <n v="567"/>
    <n v="1932132800"/>
    <n v="82888580"/>
    <n v="-1.6455696202531671"/>
    <x v="935"/>
    <x v="0"/>
    <x v="1"/>
    <x v="1"/>
  </r>
  <r>
    <x v="1076"/>
    <s v="KOTHARI PETROCHEM LTD"/>
    <n v="110.88"/>
    <n v="110.88"/>
    <n v="104"/>
    <n v="106.39"/>
    <n v="110.88"/>
    <n v="70376"/>
    <n v="1611"/>
    <n v="6260668496"/>
    <n v="58846400"/>
    <n v="-4.0494227994227954"/>
    <x v="936"/>
    <x v="0"/>
    <x v="1"/>
    <x v="1"/>
  </r>
  <r>
    <x v="1077"/>
    <s v="KOTHARI PRODUCTS LTD"/>
    <n v="63.86"/>
    <n v="64.09"/>
    <n v="61.3"/>
    <n v="61.89"/>
    <n v="63.86"/>
    <n v="7292"/>
    <n v="170"/>
    <n v="3694073610"/>
    <n v="59687730"/>
    <n v="-3.0848731600375805"/>
    <x v="937"/>
    <x v="0"/>
    <x v="1"/>
    <x v="1"/>
  </r>
  <r>
    <x v="1078"/>
    <s v="KOTYARK INDUSTRIES LTD"/>
    <n v="373"/>
    <n v="399.4"/>
    <n v="364"/>
    <n v="386.05"/>
    <n v="371"/>
    <n v="54458"/>
    <n v="1498"/>
    <n v="3968252732"/>
    <n v="10279116"/>
    <n v="4.056603773584909"/>
    <x v="157"/>
    <x v="1"/>
    <x v="1"/>
    <x v="1"/>
  </r>
  <r>
    <x v="1079"/>
    <s v="K.P. ENERGY LIMITED"/>
    <n v="277"/>
    <n v="278"/>
    <n v="262.55"/>
    <n v="264.5"/>
    <n v="279.2"/>
    <n v="218127"/>
    <n v="6493"/>
    <n v="17696912345"/>
    <n v="66907041"/>
    <n v="-5.2650429799426899"/>
    <x v="805"/>
    <x v="0"/>
    <x v="1"/>
    <x v="1"/>
  </r>
  <r>
    <x v="1080"/>
    <s v="KPI GREEN ENERGY LIMITED"/>
    <n v="373.25"/>
    <n v="375"/>
    <n v="356"/>
    <n v="357.95"/>
    <n v="378"/>
    <n v="930222"/>
    <n v="24999"/>
    <n v="70638237080"/>
    <n v="197341073"/>
    <n v="-5.3042328042328073"/>
    <x v="938"/>
    <x v="0"/>
    <x v="2"/>
    <x v="1"/>
  </r>
  <r>
    <x v="1081"/>
    <s v="KALPATARU PROJECT INT LTD"/>
    <n v="1060"/>
    <n v="1060"/>
    <n v="1007.1"/>
    <n v="1018.1"/>
    <n v="1071"/>
    <n v="264246"/>
    <n v="21525"/>
    <n v="174000000000"/>
    <n v="170772546"/>
    <n v="-4.9393090569561133"/>
    <x v="939"/>
    <x v="0"/>
    <x v="2"/>
    <x v="1"/>
  </r>
  <r>
    <x v="1082"/>
    <s v="KPIT TECHNOLOGIES LIMITED"/>
    <n v="650"/>
    <n v="662.9"/>
    <n v="645.54999999999995"/>
    <n v="659.3"/>
    <n v="660.95"/>
    <n v="2233577"/>
    <n v="50446"/>
    <n v="181000000000"/>
    <n v="274143808"/>
    <n v="-0.24964066873441118"/>
    <x v="940"/>
    <x v="1"/>
    <x v="2"/>
    <x v="0"/>
  </r>
  <r>
    <x v="1083"/>
    <s v="KPR MILL LTD."/>
    <n v="817.95"/>
    <n v="833"/>
    <n v="804"/>
    <n v="822.75"/>
    <n v="823.1"/>
    <n v="556327"/>
    <n v="29485"/>
    <n v="281000000000"/>
    <n v="341814000"/>
    <n v="-4.2522172275546437E-2"/>
    <x v="538"/>
    <x v="1"/>
    <x v="0"/>
    <x v="1"/>
  </r>
  <r>
    <x v="1084"/>
    <s v="KRBL LIMITED"/>
    <n v="287.35000000000002"/>
    <n v="294.89999999999998"/>
    <n v="282.35000000000002"/>
    <n v="285.2"/>
    <n v="287.35000000000002"/>
    <n v="865241"/>
    <n v="26036"/>
    <n v="65279397198"/>
    <n v="228889892"/>
    <n v="-0.74821646076214854"/>
    <x v="941"/>
    <x v="0"/>
    <x v="2"/>
    <x v="1"/>
  </r>
  <r>
    <x v="1085"/>
    <s v="KREBS BIOCHEMICALS &amp; IND"/>
    <n v="47.76"/>
    <n v="47.76"/>
    <n v="45.75"/>
    <n v="45.98"/>
    <n v="48"/>
    <n v="1652"/>
    <n v="54"/>
    <n v="991355744.29999995"/>
    <n v="21560586"/>
    <n v="-4.2083333333333393"/>
    <x v="717"/>
    <x v="0"/>
    <x v="1"/>
    <x v="1"/>
  </r>
  <r>
    <x v="1086"/>
    <s v="KRIDHAN INFRA LIMITED"/>
    <n v="2.36"/>
    <n v="2.54"/>
    <n v="2.21"/>
    <n v="2.25"/>
    <n v="2.3199999999999998"/>
    <n v="232589"/>
    <n v="217"/>
    <n v="213253211.30000001"/>
    <n v="94779205"/>
    <n v="-3.0172413793103381"/>
    <x v="942"/>
    <x v="0"/>
    <x v="1"/>
    <x v="1"/>
  </r>
  <r>
    <x v="1087"/>
    <s v="KRISHANA PHOSCHEM LIMITED"/>
    <n v="479.9"/>
    <n v="479.9"/>
    <n v="466.2"/>
    <n v="469"/>
    <n v="487.2"/>
    <n v="62559"/>
    <n v="2182"/>
    <n v="28399169400"/>
    <n v="60552600"/>
    <n v="-3.7356321839080433"/>
    <x v="943"/>
    <x v="0"/>
    <x v="1"/>
    <x v="1"/>
  </r>
  <r>
    <x v="1088"/>
    <s v="KRISHIVAL FOODS LIMITED"/>
    <n v="320.05"/>
    <n v="320.85000000000002"/>
    <n v="310.85000000000002"/>
    <n v="314.8"/>
    <n v="320.10000000000002"/>
    <n v="14931"/>
    <n v="531"/>
    <n v="7018510387"/>
    <n v="22295141"/>
    <n v="-1.6557325835676386"/>
    <x v="161"/>
    <x v="0"/>
    <x v="1"/>
    <x v="1"/>
  </r>
  <r>
    <x v="1089"/>
    <s v="KRISHNA DEF AND ALD IND L"/>
    <n v="888"/>
    <n v="891.7"/>
    <n v="825.7"/>
    <n v="838.8"/>
    <n v="898.4"/>
    <n v="165830"/>
    <n v="9036"/>
    <n v="12514079009"/>
    <n v="14919026"/>
    <n v="-6.634016028495104"/>
    <x v="125"/>
    <x v="0"/>
    <x v="1"/>
    <x v="1"/>
  </r>
  <r>
    <x v="1090"/>
    <s v="KRITI INDUSTRIES IND LTD"/>
    <n v="67"/>
    <n v="69.959999999999994"/>
    <n v="58.63"/>
    <n v="60.09"/>
    <n v="68.63"/>
    <n v="170383"/>
    <n v="2760"/>
    <n v="3166502640"/>
    <n v="52696000"/>
    <n v="-12.443537811452707"/>
    <x v="944"/>
    <x v="0"/>
    <x v="1"/>
    <x v="1"/>
  </r>
  <r>
    <x v="1091"/>
    <s v="KRITIKA WIRES LIMITED"/>
    <n v="5.82"/>
    <n v="5.82"/>
    <n v="5.2"/>
    <n v="5.41"/>
    <n v="5.84"/>
    <n v="708415"/>
    <n v="889"/>
    <n v="1440574800"/>
    <n v="266280000"/>
    <n v="-7.363013698630132"/>
    <x v="945"/>
    <x v="0"/>
    <x v="1"/>
    <x v="1"/>
  </r>
  <r>
    <x v="1092"/>
    <s v="KRITI NUTRIENTS LIMITED"/>
    <n v="63.69"/>
    <n v="64.8"/>
    <n v="58.22"/>
    <n v="60.11"/>
    <n v="63.52"/>
    <n v="29592"/>
    <n v="544"/>
    <n v="3011722587"/>
    <n v="50103520"/>
    <n v="-5.3683879093199049"/>
    <x v="946"/>
    <x v="0"/>
    <x v="1"/>
    <x v="1"/>
  </r>
  <r>
    <x v="1093"/>
    <s v="KRN HEAT EXCHANGE N REF L"/>
    <n v="885"/>
    <n v="890"/>
    <n v="831.5"/>
    <n v="847.95"/>
    <n v="896.85"/>
    <n v="655226"/>
    <n v="23459"/>
    <n v="52705688970"/>
    <n v="62156600"/>
    <n v="-5.4524167921057005"/>
    <x v="947"/>
    <x v="0"/>
    <x v="2"/>
    <x v="1"/>
  </r>
  <r>
    <x v="1094"/>
    <s v="KRONOX LAB SCIENCES LTD"/>
    <n v="109"/>
    <n v="110.64"/>
    <n v="103.72"/>
    <n v="104.53"/>
    <n v="110.65"/>
    <n v="57231"/>
    <n v="1781"/>
    <n v="3878481120"/>
    <n v="37104000"/>
    <n v="-5.5309534568459142"/>
    <x v="108"/>
    <x v="0"/>
    <x v="1"/>
    <x v="1"/>
  </r>
  <r>
    <x v="1095"/>
    <s v="KROSS LIMITED"/>
    <n v="172.68"/>
    <n v="172.68"/>
    <n v="157.69999999999999"/>
    <n v="160.65"/>
    <n v="171.69"/>
    <n v="457484"/>
    <n v="6090"/>
    <n v="10363438644"/>
    <n v="64509422"/>
    <n v="-6.4301939542198108"/>
    <x v="948"/>
    <x v="0"/>
    <x v="1"/>
    <x v="1"/>
  </r>
  <r>
    <x v="1096"/>
    <s v="KRSNAA DIAGNOSTICS LTD"/>
    <n v="580"/>
    <n v="586.4"/>
    <n v="567.35"/>
    <n v="574.29999999999995"/>
    <n v="587.65"/>
    <n v="71189"/>
    <n v="5817"/>
    <n v="18629529330"/>
    <n v="32438672"/>
    <n v="-2.2717604015995958"/>
    <x v="949"/>
    <x v="0"/>
    <x v="1"/>
    <x v="1"/>
  </r>
  <r>
    <x v="1097"/>
    <s v="KRYSTAL INTEGRATED SER L"/>
    <n v="556.70000000000005"/>
    <n v="557.65"/>
    <n v="540"/>
    <n v="540.04999999999995"/>
    <n v="553.15"/>
    <n v="25668"/>
    <n v="660"/>
    <n v="7545552678"/>
    <n v="13971952"/>
    <n v="-2.3682545421675898"/>
    <x v="950"/>
    <x v="0"/>
    <x v="1"/>
    <x v="1"/>
  </r>
  <r>
    <x v="1098"/>
    <s v="KSB LIMITED"/>
    <n v="777.7"/>
    <n v="788.8"/>
    <n v="757.05"/>
    <n v="782.85"/>
    <n v="782.3"/>
    <n v="536554"/>
    <n v="28411"/>
    <n v="136000000000"/>
    <n v="174039220"/>
    <n v="7.0305509395381341E-2"/>
    <x v="951"/>
    <x v="1"/>
    <x v="2"/>
    <x v="1"/>
  </r>
  <r>
    <x v="1099"/>
    <s v="KAVERI SEED CO. LTD."/>
    <n v="801.8"/>
    <n v="814"/>
    <n v="772.05"/>
    <n v="785.4"/>
    <n v="814"/>
    <n v="328459"/>
    <n v="13199"/>
    <n v="40400246363"/>
    <n v="51439071"/>
    <n v="-3.5135135135135167"/>
    <x v="952"/>
    <x v="0"/>
    <x v="1"/>
    <x v="1"/>
  </r>
  <r>
    <x v="1100"/>
    <s v="KSH INTERNATIONAL LIMITED"/>
    <n v="427.1"/>
    <n v="443.75"/>
    <n v="414"/>
    <n v="434.9"/>
    <n v="434.2"/>
    <n v="330725"/>
    <n v="12340"/>
    <n v="29466953930"/>
    <n v="67755700"/>
    <n v="0.16121602947949992"/>
    <x v="953"/>
    <x v="1"/>
    <x v="1"/>
    <x v="1"/>
  </r>
  <r>
    <x v="1101"/>
    <s v="KALYANI STEELS LIMITED"/>
    <n v="649"/>
    <n v="654"/>
    <n v="625.15"/>
    <n v="638.04999999999995"/>
    <n v="651.65"/>
    <n v="68678"/>
    <n v="4044"/>
    <n v="27852834933"/>
    <n v="43653060"/>
    <n v="-2.0870098979513578"/>
    <x v="954"/>
    <x v="0"/>
    <x v="1"/>
    <x v="1"/>
  </r>
  <r>
    <x v="1102"/>
    <s v="KSOLVES INDIA LIMITED"/>
    <n v="270"/>
    <n v="273"/>
    <n v="258"/>
    <n v="260.25"/>
    <n v="275.45"/>
    <n v="76833"/>
    <n v="2793"/>
    <n v="6171048000"/>
    <n v="23712000"/>
    <n v="-5.5182428752949679"/>
    <x v="955"/>
    <x v="0"/>
    <x v="1"/>
    <x v="1"/>
  </r>
  <r>
    <x v="1103"/>
    <s v="KARNATAKA BANK LIMITED"/>
    <n v="223"/>
    <n v="225.96"/>
    <n v="212.5"/>
    <n v="214.5"/>
    <n v="228.93"/>
    <n v="3367717"/>
    <n v="33201"/>
    <n v="81111103788"/>
    <n v="378140344"/>
    <n v="-6.3032367972742778"/>
    <x v="956"/>
    <x v="0"/>
    <x v="2"/>
    <x v="0"/>
  </r>
  <r>
    <x v="1104"/>
    <s v="KUANTUM PAPERS LIMITED"/>
    <n v="75.05"/>
    <n v="76.33"/>
    <n v="71.510000000000005"/>
    <n v="71.989999999999995"/>
    <n v="77.63"/>
    <n v="174508"/>
    <n v="2465"/>
    <n v="6282108724"/>
    <n v="87263630"/>
    <n v="-7.2652325132036593"/>
    <x v="957"/>
    <x v="0"/>
    <x v="1"/>
    <x v="1"/>
  </r>
  <r>
    <x v="1105"/>
    <s v="KWALITY WALL'S (INDIA) L"/>
    <n v="23.53"/>
    <n v="23.55"/>
    <n v="22.42"/>
    <n v="23.18"/>
    <n v="23.53"/>
    <n v="9903961"/>
    <n v="29894"/>
    <n v="54463525453"/>
    <n v="2349591262"/>
    <n v="-1.4874628134296703"/>
    <x v="958"/>
    <x v="0"/>
    <x v="2"/>
    <x v="0"/>
  </r>
  <r>
    <x v="1106"/>
    <s v="LAGNAM SPINTEX LIMITED"/>
    <n v="65.010000000000005"/>
    <n v="65.010000000000005"/>
    <n v="58.66"/>
    <n v="60.76"/>
    <n v="63.8"/>
    <n v="6117"/>
    <n v="454"/>
    <n v="1073568440"/>
    <n v="17669000"/>
    <n v="-4.7648902821316605"/>
    <x v="959"/>
    <x v="0"/>
    <x v="1"/>
    <x v="1"/>
  </r>
  <r>
    <x v="1107"/>
    <s v="LORENZINI APPARELS LTD"/>
    <n v="7.02"/>
    <n v="7.11"/>
    <n v="6.66"/>
    <n v="6.77"/>
    <n v="7.13"/>
    <n v="36344"/>
    <n v="187"/>
    <n v="1169449042"/>
    <n v="172739888"/>
    <n v="-5.0490883590462881"/>
    <x v="960"/>
    <x v="0"/>
    <x v="1"/>
    <x v="1"/>
  </r>
  <r>
    <x v="1108"/>
    <s v="DR. LAL PATH LABS LTD."/>
    <n v="1295.0999999999999"/>
    <n v="1326.5"/>
    <n v="1272.5999999999999"/>
    <n v="1307.5999999999999"/>
    <n v="1308.2"/>
    <n v="367170"/>
    <n v="49352"/>
    <n v="219000000000"/>
    <n v="167551020"/>
    <n v="-4.5864546705407155E-2"/>
    <x v="961"/>
    <x v="1"/>
    <x v="0"/>
    <x v="1"/>
  </r>
  <r>
    <x v="1109"/>
    <s v="LAMBODHARA TEXTILES LTD."/>
    <n v="95.5"/>
    <n v="95.5"/>
    <n v="89.02"/>
    <n v="90.7"/>
    <n v="94.88"/>
    <n v="11628"/>
    <n v="226"/>
    <n v="941248320"/>
    <n v="10377600"/>
    <n v="-4.4055649241146631"/>
    <x v="962"/>
    <x v="0"/>
    <x v="1"/>
    <x v="1"/>
  </r>
  <r>
    <x v="1110"/>
    <s v="LANDMARK CARS LIMITED"/>
    <n v="357"/>
    <n v="378.9"/>
    <n v="347.25"/>
    <n v="368.25"/>
    <n v="360.4"/>
    <n v="133819"/>
    <n v="4332"/>
    <n v="15269453108"/>
    <n v="41464910"/>
    <n v="2.1781354051054449"/>
    <x v="963"/>
    <x v="1"/>
    <x v="1"/>
    <x v="1"/>
  </r>
  <r>
    <x v="1111"/>
    <s v="LA OPALA RG LIMITED"/>
    <n v="182"/>
    <n v="183.96"/>
    <n v="176.22"/>
    <n v="177.14"/>
    <n v="184.05"/>
    <n v="139225"/>
    <n v="3663"/>
    <n v="19662540000"/>
    <n v="111000000"/>
    <n v="-3.7544145612605404"/>
    <x v="964"/>
    <x v="0"/>
    <x v="1"/>
    <x v="1"/>
  </r>
  <r>
    <x v="1112"/>
    <s v="LASA SUPERGENERICS LTD"/>
    <n v="7.3"/>
    <n v="7.3"/>
    <n v="6.91"/>
    <n v="7.01"/>
    <n v="7.13"/>
    <n v="69130"/>
    <n v="347"/>
    <n v="351209685.39999998"/>
    <n v="50101239"/>
    <n v="-1.6830294530154295"/>
    <x v="715"/>
    <x v="0"/>
    <x v="1"/>
    <x v="1"/>
  </r>
  <r>
    <x v="1113"/>
    <s v="LATENT VIEW ANALYTICS LTD"/>
    <n v="265"/>
    <n v="265.05"/>
    <n v="248"/>
    <n v="249.6"/>
    <n v="267.35000000000002"/>
    <n v="1294815"/>
    <n v="42493"/>
    <n v="51648475008"/>
    <n v="206924980"/>
    <n v="-6.6392369553020485"/>
    <x v="923"/>
    <x v="0"/>
    <x v="2"/>
    <x v="0"/>
  </r>
  <r>
    <x v="1114"/>
    <s v="LATTEYS INDUSTRIES LTD"/>
    <n v="19.899999999999999"/>
    <n v="19.899999999999999"/>
    <n v="18.5"/>
    <n v="18.86"/>
    <n v="19.5"/>
    <n v="56374"/>
    <n v="463"/>
    <n v="1084371260"/>
    <n v="57495825"/>
    <n v="-3.2820512820512846"/>
    <x v="723"/>
    <x v="0"/>
    <x v="1"/>
    <x v="1"/>
  </r>
  <r>
    <x v="1115"/>
    <s v="LAURUS LABS LIMITED"/>
    <n v="979.1"/>
    <n v="981.4"/>
    <n v="957.4"/>
    <n v="961.4"/>
    <n v="987.2"/>
    <n v="1068049"/>
    <n v="35502"/>
    <n v="519000000000"/>
    <n v="539856582"/>
    <n v="-2.6134521880064896"/>
    <x v="68"/>
    <x v="0"/>
    <x v="0"/>
    <x v="0"/>
  </r>
  <r>
    <x v="1116"/>
    <s v="LAXMI DENTAL LIMITED"/>
    <n v="173"/>
    <n v="174.7"/>
    <n v="166.43"/>
    <n v="168.45"/>
    <n v="173.71"/>
    <n v="139265"/>
    <n v="5240"/>
    <n v="9258373999"/>
    <n v="54962149"/>
    <n v="-3.0280352311323582"/>
    <x v="965"/>
    <x v="0"/>
    <x v="1"/>
    <x v="1"/>
  </r>
  <r>
    <x v="1117"/>
    <s v="LAXMI INDIA FINANCE LTD"/>
    <n v="82"/>
    <n v="83.99"/>
    <n v="77.61"/>
    <n v="82"/>
    <n v="82.55"/>
    <n v="287515"/>
    <n v="3155"/>
    <n v="4285965750"/>
    <n v="52267875"/>
    <n v="-0.66626287098727699"/>
    <x v="966"/>
    <x v="0"/>
    <x v="1"/>
    <x v="1"/>
  </r>
  <r>
    <x v="1118"/>
    <s v="LE MERITE EXPORTS LIMITED"/>
    <n v="448.35"/>
    <n v="448.35"/>
    <n v="435.05"/>
    <n v="440.15"/>
    <n v="446.1"/>
    <n v="98884"/>
    <n v="688"/>
    <n v="11018539040"/>
    <n v="25033600"/>
    <n v="-1.3337816633042021"/>
    <x v="967"/>
    <x v="0"/>
    <x v="1"/>
    <x v="1"/>
  </r>
  <r>
    <x v="1119"/>
    <s v="LEMON TREE HOTELS LTD"/>
    <n v="104"/>
    <n v="104.27"/>
    <n v="100.5"/>
    <n v="102.14"/>
    <n v="105.66"/>
    <n v="3842041"/>
    <n v="42850"/>
    <n v="80920053833"/>
    <n v="792246464"/>
    <n v="-3.3314404694302442"/>
    <x v="968"/>
    <x v="0"/>
    <x v="2"/>
    <x v="0"/>
  </r>
  <r>
    <x v="1120"/>
    <s v="LENSKART SOLUTIONS LTD"/>
    <n v="507.7"/>
    <n v="513"/>
    <n v="483.05"/>
    <n v="501.5"/>
    <n v="526.20000000000005"/>
    <n v="2283557"/>
    <n v="64441"/>
    <n v="870000000000"/>
    <n v="1734870187"/>
    <n v="-4.6940326871911902"/>
    <x v="969"/>
    <x v="0"/>
    <x v="0"/>
    <x v="0"/>
  </r>
  <r>
    <x v="1121"/>
    <s v="LAKSHMI FIN IND CORP LTD"/>
    <n v="120.75"/>
    <n v="121.5"/>
    <n v="114.03"/>
    <n v="121.16"/>
    <n v="120.78"/>
    <n v="383"/>
    <n v="38"/>
    <n v="363480000"/>
    <n v="3000000"/>
    <n v="0.31462162609703215"/>
    <x v="970"/>
    <x v="1"/>
    <x v="1"/>
    <x v="1"/>
  </r>
  <r>
    <x v="1122"/>
    <s v="LG BALAKRISHNAN &amp; BROS"/>
    <n v="1684"/>
    <n v="1707.9"/>
    <n v="1642"/>
    <n v="1651.3"/>
    <n v="1710"/>
    <n v="31821"/>
    <n v="4446"/>
    <n v="52663946541"/>
    <n v="31892416"/>
    <n v="-3.4327485380116984"/>
    <x v="971"/>
    <x v="0"/>
    <x v="2"/>
    <x v="1"/>
  </r>
  <r>
    <x v="1123"/>
    <s v="LG ELECTRONICS INDIA LTD"/>
    <n v="1535"/>
    <n v="1539"/>
    <n v="1450"/>
    <n v="1484.6"/>
    <n v="1559.7"/>
    <n v="823647"/>
    <n v="54519"/>
    <n v="1010000000000"/>
    <n v="678772392"/>
    <n v="-4.8150285311277896"/>
    <x v="692"/>
    <x v="0"/>
    <x v="0"/>
    <x v="1"/>
  </r>
  <r>
    <x v="1124"/>
    <s v="LAXMI GOLDORNA HOUSE LTD"/>
    <n v="260"/>
    <n v="264.05"/>
    <n v="231.35"/>
    <n v="237.05"/>
    <n v="263.35000000000002"/>
    <n v="33674"/>
    <n v="1023"/>
    <n v="11874441348"/>
    <n v="50092560"/>
    <n v="-9.9867097019176043"/>
    <x v="972"/>
    <x v="0"/>
    <x v="1"/>
    <x v="1"/>
  </r>
  <r>
    <x v="1125"/>
    <s v="LIBAS CONSU PRODUCTS LTD"/>
    <n v="10.1"/>
    <n v="10.24"/>
    <n v="9.52"/>
    <n v="9.82"/>
    <n v="10.039999999999999"/>
    <n v="28820"/>
    <n v="168"/>
    <n v="258703775.59999999"/>
    <n v="26344580"/>
    <n v="-2.1912350597609453"/>
    <x v="311"/>
    <x v="0"/>
    <x v="1"/>
    <x v="1"/>
  </r>
  <r>
    <x v="1126"/>
    <s v="LIBERTY SHOES LTD"/>
    <n v="249.56"/>
    <n v="249.56"/>
    <n v="231"/>
    <n v="235.71"/>
    <n v="248.34"/>
    <n v="29911"/>
    <n v="874"/>
    <n v="4016498400"/>
    <n v="17040000"/>
    <n v="-5.0857695095433666"/>
    <x v="973"/>
    <x v="0"/>
    <x v="1"/>
    <x v="1"/>
  </r>
  <r>
    <x v="1127"/>
    <s v="LIC HOUSING FINANCE LTD"/>
    <n v="483"/>
    <n v="483.7"/>
    <n v="458.9"/>
    <n v="460.7"/>
    <n v="486.15"/>
    <n v="3943606"/>
    <n v="55549"/>
    <n v="253000000000"/>
    <n v="550063000"/>
    <n v="-5.2350097706469176"/>
    <x v="740"/>
    <x v="0"/>
    <x v="0"/>
    <x v="0"/>
  </r>
  <r>
    <x v="1128"/>
    <s v="LIKHITHA INFRASTRUC LTD"/>
    <n v="141.5"/>
    <n v="141.5"/>
    <n v="131.44999999999999"/>
    <n v="133.15"/>
    <n v="141.74"/>
    <n v="97644"/>
    <n v="2820"/>
    <n v="5252767500"/>
    <n v="39450000"/>
    <n v="-6.0603922675321034"/>
    <x v="465"/>
    <x v="0"/>
    <x v="1"/>
    <x v="1"/>
  </r>
  <r>
    <x v="1129"/>
    <s v="LINC LIMITED"/>
    <n v="102.87"/>
    <n v="102.87"/>
    <n v="96"/>
    <n v="96.95"/>
    <n v="102.87"/>
    <n v="30125"/>
    <n v="594"/>
    <n v="5767474450"/>
    <n v="59489164"/>
    <n v="-5.7548362010304288"/>
    <x v="974"/>
    <x v="0"/>
    <x v="1"/>
    <x v="1"/>
  </r>
  <r>
    <x v="1130"/>
    <s v="LINCOLN PHARMA LTD"/>
    <n v="582"/>
    <n v="600.6"/>
    <n v="582"/>
    <n v="586.85"/>
    <n v="600.4"/>
    <n v="34470"/>
    <n v="1331"/>
    <n v="11754445877"/>
    <n v="20029728"/>
    <n v="-2.2568287808127838"/>
    <x v="975"/>
    <x v="1"/>
    <x v="1"/>
    <x v="1"/>
  </r>
  <r>
    <x v="1131"/>
    <s v="LINDE INDIA LIMITED"/>
    <n v="7015"/>
    <n v="7025"/>
    <n v="6558"/>
    <n v="6765"/>
    <n v="7014.5"/>
    <n v="71879"/>
    <n v="20293"/>
    <n v="577000000000"/>
    <n v="85284223"/>
    <n v="-3.5569178131014323"/>
    <x v="976"/>
    <x v="0"/>
    <x v="0"/>
    <x v="1"/>
  </r>
  <r>
    <x v="1132"/>
    <s v="LLOYDS ENGG WORK LIMITED"/>
    <n v="40.92"/>
    <n v="40.92"/>
    <n v="38"/>
    <n v="38.200000000000003"/>
    <n v="41.3"/>
    <n v="7931175"/>
    <n v="22361"/>
    <n v="44514832259"/>
    <n v="1165309745"/>
    <n v="-7.50605326876512"/>
    <x v="977"/>
    <x v="0"/>
    <x v="1"/>
    <x v="0"/>
  </r>
  <r>
    <x v="1133"/>
    <s v="LLOYDS ENTERPRISES LTD"/>
    <n v="44.8"/>
    <n v="44.89"/>
    <n v="41.66"/>
    <n v="42.17"/>
    <n v="45.4"/>
    <n v="3585219"/>
    <n v="13726"/>
    <n v="53645579608"/>
    <n v="1272126621"/>
    <n v="-7.1145374449339149"/>
    <x v="234"/>
    <x v="0"/>
    <x v="2"/>
    <x v="0"/>
  </r>
  <r>
    <x v="1134"/>
    <s v="LLOYDS METALS N ENERGY L"/>
    <n v="1230"/>
    <n v="1234"/>
    <n v="1186.4000000000001"/>
    <n v="1209.5999999999999"/>
    <n v="1245.8"/>
    <n v="1480245"/>
    <n v="28127"/>
    <n v="639000000000"/>
    <n v="528502270"/>
    <n v="-2.9057633649060879"/>
    <x v="978"/>
    <x v="0"/>
    <x v="0"/>
    <x v="0"/>
  </r>
  <r>
    <x v="1135"/>
    <s v="LMW LIMITED"/>
    <n v="13701"/>
    <n v="13701"/>
    <n v="12500"/>
    <n v="12607"/>
    <n v="13702"/>
    <n v="8404"/>
    <n v="2878"/>
    <n v="135000000000"/>
    <n v="10683000"/>
    <n v="-7.9915340826156767"/>
    <x v="979"/>
    <x v="0"/>
    <x v="2"/>
    <x v="1"/>
  </r>
  <r>
    <x v="1136"/>
    <s v="LOKESH MACHINES LTD"/>
    <n v="195.07"/>
    <n v="197.99"/>
    <n v="190.95"/>
    <n v="191.45"/>
    <n v="198.33"/>
    <n v="52881"/>
    <n v="3119"/>
    <n v="3828381617"/>
    <n v="19996770"/>
    <n v="-3.4689658649725321"/>
    <x v="980"/>
    <x v="0"/>
    <x v="1"/>
    <x v="1"/>
  </r>
  <r>
    <x v="1137"/>
    <s v="LORDS CHLORO ALKALI LTD"/>
    <n v="120"/>
    <n v="120"/>
    <n v="112"/>
    <n v="113.94"/>
    <n v="119.13"/>
    <n v="15878"/>
    <n v="506"/>
    <n v="2866030922"/>
    <n v="25153861"/>
    <n v="-4.3565852430118337"/>
    <x v="345"/>
    <x v="0"/>
    <x v="1"/>
    <x v="1"/>
  </r>
  <r>
    <x v="1138"/>
    <s v="SRI LOTUS DEVLPRS N RTY L"/>
    <n v="112.55"/>
    <n v="115.41"/>
    <n v="107"/>
    <n v="107.67"/>
    <n v="114.58"/>
    <n v="3596447"/>
    <n v="16913"/>
    <n v="52620881856"/>
    <n v="488723710"/>
    <n v="-6.0307208936987236"/>
    <x v="981"/>
    <x v="0"/>
    <x v="2"/>
    <x v="0"/>
  </r>
  <r>
    <x v="1139"/>
    <s v="LOTUS EYE HOSP &amp; INST L"/>
    <n v="110.17"/>
    <n v="112.3"/>
    <n v="103.63"/>
    <n v="104.36"/>
    <n v="109.08"/>
    <n v="6549"/>
    <n v="376"/>
    <n v="2170304999"/>
    <n v="20796330"/>
    <n v="-4.3270993766043269"/>
    <x v="982"/>
    <x v="0"/>
    <x v="1"/>
    <x v="1"/>
  </r>
  <r>
    <x v="1140"/>
    <s v="LOVABLE LINGERIE LTD"/>
    <n v="64"/>
    <n v="64.5"/>
    <n v="60"/>
    <n v="61.33"/>
    <n v="65"/>
    <n v="19245"/>
    <n v="356"/>
    <n v="907684000"/>
    <n v="14800000"/>
    <n v="-5.6461538461538483"/>
    <x v="606"/>
    <x v="0"/>
    <x v="1"/>
    <x v="1"/>
  </r>
  <r>
    <x v="1141"/>
    <s v="LANDMARK PR.DEV.CO.LTD"/>
    <n v="6.08"/>
    <n v="6.24"/>
    <n v="5.72"/>
    <n v="5.78"/>
    <n v="6.09"/>
    <n v="17382"/>
    <n v="170"/>
    <n v="775347464.79999995"/>
    <n v="134143160"/>
    <n v="-5.0903119868637052"/>
    <x v="983"/>
    <x v="0"/>
    <x v="1"/>
    <x v="1"/>
  </r>
  <r>
    <x v="1142"/>
    <s v="L&amp;T FINANCE LIMITED"/>
    <n v="260.2"/>
    <n v="260.25"/>
    <n v="245.6"/>
    <n v="247.65"/>
    <n v="261.2"/>
    <n v="8126742"/>
    <n v="71842"/>
    <n v="620000000000"/>
    <n v="2502627626"/>
    <n v="-5.1875957120980036"/>
    <x v="984"/>
    <x v="0"/>
    <x v="0"/>
    <x v="0"/>
  </r>
  <r>
    <x v="1143"/>
    <s v="LT FOODS LIMITED"/>
    <n v="375.9"/>
    <n v="375.9"/>
    <n v="362"/>
    <n v="364"/>
    <n v="378.45"/>
    <n v="515461"/>
    <n v="18565"/>
    <n v="126000000000"/>
    <n v="347252944"/>
    <n v="-3.8182058396089285"/>
    <x v="691"/>
    <x v="0"/>
    <x v="2"/>
    <x v="1"/>
  </r>
  <r>
    <x v="1144"/>
    <s v="L&amp;T TECHNOLOGY SER. LTD."/>
    <n v="3219.9"/>
    <n v="3219.9"/>
    <n v="3050"/>
    <n v="3075.6"/>
    <n v="3229.1"/>
    <n v="129801"/>
    <n v="22074"/>
    <n v="326000000000"/>
    <n v="105989318"/>
    <n v="-4.7536465268960395"/>
    <x v="985"/>
    <x v="0"/>
    <x v="0"/>
    <x v="1"/>
  </r>
  <r>
    <x v="1145"/>
    <s v="LUMAX INDUSTRIES LTD"/>
    <n v="4950"/>
    <n v="4963"/>
    <n v="4720"/>
    <n v="4808"/>
    <n v="5055.5"/>
    <n v="20133"/>
    <n v="4015"/>
    <n v="44943895456"/>
    <n v="9347732"/>
    <n v="-4.8956581940460886"/>
    <x v="710"/>
    <x v="0"/>
    <x v="1"/>
    <x v="1"/>
  </r>
  <r>
    <x v="1146"/>
    <s v="LUMAX AUTO TECH LTD"/>
    <n v="1560.2"/>
    <n v="1560.2"/>
    <n v="1465.2"/>
    <n v="1480.4"/>
    <n v="1568"/>
    <n v="146583"/>
    <n v="16963"/>
    <n v="101000000000"/>
    <n v="68157705"/>
    <n v="-5.5867346938775455"/>
    <x v="986"/>
    <x v="0"/>
    <x v="2"/>
    <x v="1"/>
  </r>
  <r>
    <x v="1147"/>
    <s v="LUPIN LIMITED"/>
    <n v="2319.6999999999998"/>
    <n v="2321"/>
    <n v="2282.1"/>
    <n v="2296.6999999999998"/>
    <n v="2322.5"/>
    <n v="1092156"/>
    <n v="41664"/>
    <n v="1050000000000"/>
    <n v="456798806"/>
    <n v="-1.1108719052744966"/>
    <x v="987"/>
    <x v="0"/>
    <x v="0"/>
    <x v="0"/>
  </r>
  <r>
    <x v="1148"/>
    <s v="LUX INDUSTRIES LIMITED"/>
    <n v="938.35"/>
    <n v="964"/>
    <n v="908.1"/>
    <n v="926.35"/>
    <n v="941.1"/>
    <n v="149450"/>
    <n v="9242"/>
    <n v="27856901694"/>
    <n v="30071681"/>
    <n v="-1.5673148443311018"/>
    <x v="988"/>
    <x v="0"/>
    <x v="1"/>
    <x v="1"/>
  </r>
  <r>
    <x v="1149"/>
    <s v="LAXMI ORGANIC INDUS LTD"/>
    <n v="119.4"/>
    <n v="119.4"/>
    <n v="112.1"/>
    <n v="112.9"/>
    <n v="120.16"/>
    <n v="837194"/>
    <n v="10330"/>
    <n v="31289994862"/>
    <n v="277147873"/>
    <n v="-6.0419440745672359"/>
    <x v="372"/>
    <x v="0"/>
    <x v="1"/>
    <x v="1"/>
  </r>
  <r>
    <x v="1150"/>
    <s v="LYKA LABS LTD"/>
    <n v="55.9"/>
    <n v="55.9"/>
    <n v="49.5"/>
    <n v="49.83"/>
    <n v="54.95"/>
    <n v="345202"/>
    <n v="2125"/>
    <n v="1778432700"/>
    <n v="35690000"/>
    <n v="-9.3175614194722556"/>
    <x v="989"/>
    <x v="0"/>
    <x v="1"/>
    <x v="1"/>
  </r>
  <r>
    <x v="1151"/>
    <s v="LYPSA GEMS &amp; JEWEL LTD"/>
    <n v="4.6500000000000004"/>
    <n v="4.95"/>
    <n v="4.4000000000000004"/>
    <n v="4.4800000000000004"/>
    <n v="4.67"/>
    <n v="28302"/>
    <n v="403"/>
    <n v="132088320"/>
    <n v="29484000"/>
    <n v="-4.0685224839400318"/>
    <x v="990"/>
    <x v="0"/>
    <x v="1"/>
    <x v="1"/>
  </r>
  <r>
    <x v="1152"/>
    <s v="M&amp;M FIN. SERVICES LTD"/>
    <n v="306"/>
    <n v="307.39999999999998"/>
    <n v="290"/>
    <n v="293.05"/>
    <n v="308.35000000000002"/>
    <n v="1619227"/>
    <n v="50244"/>
    <n v="407000000000"/>
    <n v="1389971160"/>
    <n v="-4.9618939516782907"/>
    <x v="557"/>
    <x v="0"/>
    <x v="0"/>
    <x v="0"/>
  </r>
  <r>
    <x v="1153"/>
    <s v="MACPOWER CNC MACHINES LTD"/>
    <n v="835.2"/>
    <n v="883"/>
    <n v="831.95"/>
    <n v="853.1"/>
    <n v="849.8"/>
    <n v="38020"/>
    <n v="3124"/>
    <n v="8534548896"/>
    <n v="10004160"/>
    <n v="0.3883266650976781"/>
    <x v="991"/>
    <x v="1"/>
    <x v="1"/>
    <x v="1"/>
  </r>
  <r>
    <x v="1154"/>
    <s v="MADHAV MARBLE &amp; GRANITE"/>
    <n v="35.4"/>
    <n v="35.4"/>
    <n v="31.61"/>
    <n v="32.32"/>
    <n v="34.28"/>
    <n v="49580"/>
    <n v="495"/>
    <n v="289167040"/>
    <n v="8947000"/>
    <n v="-5.7176196032672131"/>
    <x v="109"/>
    <x v="0"/>
    <x v="1"/>
    <x v="1"/>
  </r>
  <r>
    <x v="1155"/>
    <s v="MADHUCON PROJECTS LTD."/>
    <n v="4.05"/>
    <n v="4.2"/>
    <n v="4.01"/>
    <n v="4.01"/>
    <n v="4.22"/>
    <n v="74000"/>
    <n v="99"/>
    <n v="295917709.39999998"/>
    <n v="73794940"/>
    <n v="-4.9763033175355442"/>
    <x v="992"/>
    <x v="0"/>
    <x v="1"/>
    <x v="1"/>
  </r>
  <r>
    <x v="1156"/>
    <s v="MADRAS FERTILISERS LTD"/>
    <n v="59.16"/>
    <n v="60.25"/>
    <n v="57.2"/>
    <n v="58.21"/>
    <n v="60.66"/>
    <n v="149023"/>
    <n v="1568"/>
    <n v="9377706673"/>
    <n v="161101300"/>
    <n v="-4.0389053742169407"/>
    <x v="383"/>
    <x v="0"/>
    <x v="1"/>
    <x v="1"/>
  </r>
  <r>
    <x v="1157"/>
    <s v="MAGADH SUGAR &amp; ENERGY LTD"/>
    <n v="455"/>
    <n v="461.45"/>
    <n v="431"/>
    <n v="436.45"/>
    <n v="459.45"/>
    <n v="21359"/>
    <n v="1242"/>
    <n v="6150291914"/>
    <n v="14091630"/>
    <n v="-5.0059854173468272"/>
    <x v="993"/>
    <x v="0"/>
    <x v="1"/>
    <x v="1"/>
  </r>
  <r>
    <x v="1158"/>
    <s v="MAGNUM VENTURES LTD."/>
    <n v="17.260000000000002"/>
    <n v="18.739999999999998"/>
    <n v="16.399999999999999"/>
    <n v="16.73"/>
    <n v="18.100000000000001"/>
    <n v="112758"/>
    <n v="531"/>
    <n v="1144521333"/>
    <n v="68411317"/>
    <n v="-7.5690607734806683"/>
    <x v="994"/>
    <x v="0"/>
    <x v="1"/>
    <x v="1"/>
  </r>
  <r>
    <x v="1159"/>
    <s v="BANK OF MAHARASHTRA"/>
    <n v="64.180000000000007"/>
    <n v="64.180000000000007"/>
    <n v="61.51"/>
    <n v="62.32"/>
    <n v="65.489999999999995"/>
    <n v="21311564"/>
    <n v="71995"/>
    <n v="479000000000"/>
    <n v="7691554950"/>
    <n v="-4.8404336539929682"/>
    <x v="995"/>
    <x v="0"/>
    <x v="0"/>
    <x v="0"/>
  </r>
  <r>
    <x v="1160"/>
    <s v="MAHA RASHTRA APEX COPR. L"/>
    <n v="57.6"/>
    <n v="57.6"/>
    <n v="50.52"/>
    <n v="51.25"/>
    <n v="56.45"/>
    <n v="50579"/>
    <n v="897"/>
    <n v="1450385250"/>
    <n v="28300200"/>
    <n v="-9.2116917626217933"/>
    <x v="530"/>
    <x v="0"/>
    <x v="1"/>
    <x v="1"/>
  </r>
  <r>
    <x v="1161"/>
    <s v="MAHINDRA EPC IRRIG LTD"/>
    <n v="115"/>
    <n v="115"/>
    <n v="105"/>
    <n v="105.66"/>
    <n v="115.58"/>
    <n v="70921"/>
    <n v="2444"/>
    <n v="2952401275"/>
    <n v="27942469"/>
    <n v="-8.5827997923516204"/>
    <x v="161"/>
    <x v="0"/>
    <x v="1"/>
    <x v="1"/>
  </r>
  <r>
    <x v="1162"/>
    <s v="MAHESHWARI LOGISTICS LTD."/>
    <n v="44.35"/>
    <n v="44.35"/>
    <n v="42.11"/>
    <n v="42.68"/>
    <n v="44.13"/>
    <n v="36197"/>
    <n v="183"/>
    <n v="1263208496"/>
    <n v="29597200"/>
    <n v="-3.2857466576025445"/>
    <x v="734"/>
    <x v="0"/>
    <x v="1"/>
    <x v="1"/>
  </r>
  <r>
    <x v="1163"/>
    <s v="MAHINDRA LIFESPACE DEVLTD"/>
    <n v="339"/>
    <n v="339"/>
    <n v="321.60000000000002"/>
    <n v="324.14999999999998"/>
    <n v="341.4"/>
    <n v="121540"/>
    <n v="5118"/>
    <n v="69145815110"/>
    <n v="213314253"/>
    <n v="-5.052724077328647"/>
    <x v="557"/>
    <x v="0"/>
    <x v="2"/>
    <x v="1"/>
  </r>
  <r>
    <x v="1164"/>
    <s v="MAHINDRA LOGISTIC LIMITED"/>
    <n v="363.5"/>
    <n v="363.5"/>
    <n v="346"/>
    <n v="349"/>
    <n v="365.7"/>
    <n v="225232"/>
    <n v="8144"/>
    <n v="34614089079"/>
    <n v="99180771"/>
    <n v="-4.5665846322121926"/>
    <x v="292"/>
    <x v="0"/>
    <x v="1"/>
    <x v="1"/>
  </r>
  <r>
    <x v="1165"/>
    <s v="MAHARASHTRA SCOOTERS LTD"/>
    <n v="12489"/>
    <n v="12489"/>
    <n v="11822"/>
    <n v="11891"/>
    <n v="12441"/>
    <n v="6386"/>
    <n v="2107"/>
    <n v="136000000000"/>
    <n v="11428568"/>
    <n v="-4.4208664898320071"/>
    <x v="996"/>
    <x v="0"/>
    <x v="2"/>
    <x v="1"/>
  </r>
  <r>
    <x v="1166"/>
    <s v="MAHARASHTRA SEAMLESS LTD"/>
    <n v="559.85"/>
    <n v="559.95000000000005"/>
    <n v="535.04999999999995"/>
    <n v="537.70000000000005"/>
    <n v="564.75"/>
    <n v="155306"/>
    <n v="11259"/>
    <n v="72051397800"/>
    <n v="133999252"/>
    <n v="-4.7897299690128294"/>
    <x v="997"/>
    <x v="0"/>
    <x v="2"/>
    <x v="1"/>
  </r>
  <r>
    <x v="1167"/>
    <s v="MAITHAN ALLOYS LTD"/>
    <n v="914"/>
    <n v="918.9"/>
    <n v="855"/>
    <n v="864.6"/>
    <n v="935.3"/>
    <n v="63540"/>
    <n v="3892"/>
    <n v="25169846130"/>
    <n v="29111550"/>
    <n v="-7.5590719555222856"/>
    <x v="998"/>
    <x v="0"/>
    <x v="1"/>
    <x v="1"/>
  </r>
  <r>
    <x v="1168"/>
    <s v="MALLCOM (INDIA) LIMITED"/>
    <n v="1048.7"/>
    <n v="1048.7"/>
    <n v="976.6"/>
    <n v="1000.7"/>
    <n v="1033.2"/>
    <n v="7703"/>
    <n v="698"/>
    <n v="6244368000"/>
    <n v="6240000"/>
    <n v="-3.1455671699574141"/>
    <x v="999"/>
    <x v="0"/>
    <x v="1"/>
    <x v="1"/>
  </r>
  <r>
    <x v="1169"/>
    <s v="MALU PAPER MILLS LIMITED"/>
    <n v="31.79"/>
    <n v="32.74"/>
    <n v="28.76"/>
    <n v="29.41"/>
    <n v="31.87"/>
    <n v="7276"/>
    <n v="181"/>
    <n v="501712542.5"/>
    <n v="17059250"/>
    <n v="-7.718857860056481"/>
    <x v="1000"/>
    <x v="0"/>
    <x v="1"/>
    <x v="1"/>
  </r>
  <r>
    <x v="1170"/>
    <s v="MAMATA MACHINERY LIMITED"/>
    <n v="369"/>
    <n v="372.35"/>
    <n v="350.05"/>
    <n v="352.75"/>
    <n v="374"/>
    <n v="93243"/>
    <n v="3965"/>
    <n v="8680401450"/>
    <n v="24607800"/>
    <n v="-5.6818181818181817"/>
    <x v="1001"/>
    <x v="0"/>
    <x v="1"/>
    <x v="1"/>
  </r>
  <r>
    <x v="1171"/>
    <s v="MAN COAT METAL &amp; IND LTD"/>
    <n v="106.15"/>
    <n v="106.15"/>
    <n v="97.1"/>
    <n v="100.89"/>
    <n v="106.16"/>
    <n v="415609"/>
    <n v="6344"/>
    <n v="10677597305"/>
    <n v="105834050"/>
    <n v="-4.9642049736247138"/>
    <x v="1002"/>
    <x v="0"/>
    <x v="1"/>
    <x v="1"/>
  </r>
  <r>
    <x v="1172"/>
    <s v="MANAKSIA LTD."/>
    <n v="50.05"/>
    <n v="50.05"/>
    <n v="46.9"/>
    <n v="47.3"/>
    <n v="50.14"/>
    <n v="31123"/>
    <n v="615"/>
    <n v="3099760565"/>
    <n v="65534050"/>
    <n v="-5.6641404068607963"/>
    <x v="1003"/>
    <x v="0"/>
    <x v="1"/>
    <x v="1"/>
  </r>
  <r>
    <x v="1173"/>
    <s v="MANAKSIA STEELS LTD"/>
    <n v="51.28"/>
    <n v="51.56"/>
    <n v="48"/>
    <n v="48.13"/>
    <n v="52.33"/>
    <n v="34532"/>
    <n v="491"/>
    <n v="3154153827"/>
    <n v="65534050"/>
    <n v="-8.0259889164914888"/>
    <x v="1004"/>
    <x v="0"/>
    <x v="1"/>
    <x v="1"/>
  </r>
  <r>
    <x v="1174"/>
    <s v="MANALI PETROCHEMICALS LT"/>
    <n v="44.6"/>
    <n v="44.72"/>
    <n v="42"/>
    <n v="42.12"/>
    <n v="45.51"/>
    <n v="542992"/>
    <n v="5203"/>
    <n v="7244607526"/>
    <n v="171999229"/>
    <n v="-7.4489123269611088"/>
    <x v="1005"/>
    <x v="0"/>
    <x v="1"/>
    <x v="1"/>
  </r>
  <r>
    <x v="1175"/>
    <s v="MANAPPURAM FINANCE LTD"/>
    <n v="252.9"/>
    <n v="254.95"/>
    <n v="245.15"/>
    <n v="252.3"/>
    <n v="259.25"/>
    <n v="7400338"/>
    <n v="42529"/>
    <n v="214000000000"/>
    <n v="846434729"/>
    <n v="-2.6808100289296002"/>
    <x v="209"/>
    <x v="0"/>
    <x v="0"/>
    <x v="0"/>
  </r>
  <r>
    <x v="1176"/>
    <s v="MANBA FINANCE LIMITED"/>
    <n v="112.5"/>
    <n v="113.98"/>
    <n v="108.1"/>
    <n v="109.4"/>
    <n v="114.27"/>
    <n v="117199"/>
    <n v="1241"/>
    <n v="5496191454"/>
    <n v="50239410"/>
    <n v="-4.2618360024503286"/>
    <x v="1006"/>
    <x v="0"/>
    <x v="1"/>
    <x v="1"/>
  </r>
  <r>
    <x v="1177"/>
    <s v="MANGAL CREDIT N FINCORP L"/>
    <n v="173"/>
    <n v="173.5"/>
    <n v="165"/>
    <n v="168.41"/>
    <n v="170.39"/>
    <n v="48016"/>
    <n v="843"/>
    <n v="3555806382"/>
    <n v="21113986"/>
    <n v="-1.1620400258231058"/>
    <x v="172"/>
    <x v="0"/>
    <x v="1"/>
    <x v="1"/>
  </r>
  <r>
    <x v="1178"/>
    <s v="MANGALAM CEMENT LTD"/>
    <n v="817.2"/>
    <n v="825.65"/>
    <n v="800"/>
    <n v="807.9"/>
    <n v="833.8"/>
    <n v="133427"/>
    <n v="3748"/>
    <n v="22215067054"/>
    <n v="27497298"/>
    <n v="-3.1062604941232883"/>
    <x v="1007"/>
    <x v="0"/>
    <x v="1"/>
    <x v="1"/>
  </r>
  <r>
    <x v="1179"/>
    <s v="MAN INDUSTRIES (I) LTD."/>
    <n v="365"/>
    <n v="365.85"/>
    <n v="331.1"/>
    <n v="337.15"/>
    <n v="371.4"/>
    <n v="700838"/>
    <n v="14867"/>
    <n v="25289476863"/>
    <n v="75009571"/>
    <n v="-9.2218632202477107"/>
    <x v="630"/>
    <x v="0"/>
    <x v="1"/>
    <x v="1"/>
  </r>
  <r>
    <x v="1180"/>
    <s v="MAN INFRA LTD"/>
    <n v="90.01"/>
    <n v="90.32"/>
    <n v="85.1"/>
    <n v="85.8"/>
    <n v="91.09"/>
    <n v="943413"/>
    <n v="5948"/>
    <n v="34634586129"/>
    <n v="403666505"/>
    <n v="-5.8074431880557755"/>
    <x v="1008"/>
    <x v="0"/>
    <x v="1"/>
    <x v="1"/>
  </r>
  <r>
    <x v="1181"/>
    <s v="MANKIND PHARMA LIMITED"/>
    <n v="1980"/>
    <n v="1984.8"/>
    <n v="1909.7"/>
    <n v="1927.4"/>
    <n v="2000"/>
    <n v="654194"/>
    <n v="42879"/>
    <n v="796000000000"/>
    <n v="412805072"/>
    <n v="-3.6299999999999959"/>
    <x v="1009"/>
    <x v="0"/>
    <x v="0"/>
    <x v="1"/>
  </r>
  <r>
    <x v="1182"/>
    <s v="MANOMAY TEX INDIA LTD"/>
    <n v="205"/>
    <n v="209.4"/>
    <n v="198.11"/>
    <n v="200.28"/>
    <n v="203.47"/>
    <n v="77884"/>
    <n v="1750"/>
    <n v="3614800646"/>
    <n v="18048735"/>
    <n v="-1.5677986926819667"/>
    <x v="1010"/>
    <x v="0"/>
    <x v="1"/>
    <x v="1"/>
  </r>
  <r>
    <x v="1183"/>
    <s v="MANORAMA INDUSTRIES LTD"/>
    <n v="1250"/>
    <n v="1250"/>
    <n v="1190.5999999999999"/>
    <n v="1207.4000000000001"/>
    <n v="1271.9000000000001"/>
    <n v="149586"/>
    <n v="13617"/>
    <n v="72092079122"/>
    <n v="59708530"/>
    <n v="-5.0711533925623078"/>
    <x v="1011"/>
    <x v="0"/>
    <x v="2"/>
    <x v="1"/>
  </r>
  <r>
    <x v="1184"/>
    <s v="MANGALAM ORGANICS LIMITED"/>
    <n v="392.25"/>
    <n v="419.35"/>
    <n v="383.2"/>
    <n v="395.75"/>
    <n v="400.25"/>
    <n v="5230"/>
    <n v="428"/>
    <n v="3389377130"/>
    <n v="8564440"/>
    <n v="-1.1242973141786383"/>
    <x v="1012"/>
    <x v="1"/>
    <x v="1"/>
    <x v="1"/>
  </r>
  <r>
    <x v="1185"/>
    <s v="MANUGRAPH INDIA LIMITED"/>
    <n v="12.3"/>
    <n v="12.38"/>
    <n v="11.55"/>
    <n v="11.59"/>
    <n v="12.28"/>
    <n v="44690"/>
    <n v="240"/>
    <n v="352510557"/>
    <n v="30415061"/>
    <n v="-5.6188925081433183"/>
    <x v="139"/>
    <x v="0"/>
    <x v="1"/>
    <x v="1"/>
  </r>
  <r>
    <x v="1186"/>
    <s v="VEDANT FASHIONS LIMITED"/>
    <n v="355.15"/>
    <n v="355.15"/>
    <n v="335.1"/>
    <n v="338.3"/>
    <n v="355.15"/>
    <n v="939109"/>
    <n v="42196"/>
    <n v="82197800745"/>
    <n v="242973103"/>
    <n v="-4.7444741658454079"/>
    <x v="1013"/>
    <x v="0"/>
    <x v="2"/>
    <x v="1"/>
  </r>
  <r>
    <x v="1187"/>
    <s v="C.E. INFO SYSTEMS LIMITED"/>
    <n v="910"/>
    <n v="910"/>
    <n v="856.2"/>
    <n v="861"/>
    <n v="915.7"/>
    <n v="177804"/>
    <n v="19045"/>
    <n v="47115353565"/>
    <n v="54721665"/>
    <n v="-5.9735721306104672"/>
    <x v="1014"/>
    <x v="0"/>
    <x v="1"/>
    <x v="1"/>
  </r>
  <r>
    <x v="1188"/>
    <s v="MARAL OVERSEAS LTD"/>
    <n v="39.5"/>
    <n v="40.200000000000003"/>
    <n v="36.5"/>
    <n v="38.869999999999997"/>
    <n v="40.200000000000003"/>
    <n v="12300"/>
    <n v="172"/>
    <n v="1613415960"/>
    <n v="41508000"/>
    <n v="-3.3084577114427991"/>
    <x v="210"/>
    <x v="0"/>
    <x v="1"/>
    <x v="1"/>
  </r>
  <r>
    <x v="1189"/>
    <s v="MARATHON NXTGEN REALT LTD"/>
    <n v="418.4"/>
    <n v="418.4"/>
    <n v="394.05"/>
    <n v="406.85"/>
    <n v="418.95"/>
    <n v="181943"/>
    <n v="3245"/>
    <n v="27430049140"/>
    <n v="67420546"/>
    <n v="-2.888172812984835"/>
    <x v="1015"/>
    <x v="0"/>
    <x v="1"/>
    <x v="1"/>
  </r>
  <r>
    <x v="1190"/>
    <s v="MARICO LIMITED"/>
    <n v="734.8"/>
    <n v="744.8"/>
    <n v="723.55"/>
    <n v="725.3"/>
    <n v="744.3"/>
    <n v="1774602"/>
    <n v="54344"/>
    <n v="942000000000"/>
    <n v="1298087659"/>
    <n v="-2.5527341125890097"/>
    <x v="425"/>
    <x v="0"/>
    <x v="0"/>
    <x v="0"/>
  </r>
  <r>
    <x v="1191"/>
    <s v="MARINE ELECTRICAL (I) LTD"/>
    <n v="166.24"/>
    <n v="170"/>
    <n v="161"/>
    <n v="161.66999999999999"/>
    <n v="170.73"/>
    <n v="362699"/>
    <n v="6919"/>
    <n v="22301472765"/>
    <n v="137944410"/>
    <n v="-5.3066244948163783"/>
    <x v="729"/>
    <x v="0"/>
    <x v="1"/>
    <x v="1"/>
  </r>
  <r>
    <x v="1192"/>
    <s v="MARKOLINES PAVEMENT TEC L"/>
    <n v="154"/>
    <n v="154"/>
    <n v="145.19999999999999"/>
    <n v="146.9"/>
    <n v="151.49"/>
    <n v="241990"/>
    <n v="1920"/>
    <n v="3237811148"/>
    <n v="22040920"/>
    <n v="-3.0299029638920083"/>
    <x v="1016"/>
    <x v="0"/>
    <x v="1"/>
    <x v="1"/>
  </r>
  <r>
    <x v="1193"/>
    <s v="MARKSANS PHARMA LIMITED"/>
    <n v="168.21"/>
    <n v="168.5"/>
    <n v="157.19999999999999"/>
    <n v="160.19999999999999"/>
    <n v="170.05"/>
    <n v="914292"/>
    <n v="28294"/>
    <n v="72616807768"/>
    <n v="453288438"/>
    <n v="-5.7924139958835763"/>
    <x v="1017"/>
    <x v="0"/>
    <x v="2"/>
    <x v="1"/>
  </r>
  <r>
    <x v="1194"/>
    <s v="MARSONS LIMITED"/>
    <n v="133.97"/>
    <n v="134.85"/>
    <n v="124.02"/>
    <n v="125.87"/>
    <n v="133.97"/>
    <n v="413760"/>
    <n v="4465"/>
    <n v="21662227000"/>
    <n v="172100000"/>
    <n v="-6.0461297305366832"/>
    <x v="1018"/>
    <x v="0"/>
    <x v="1"/>
    <x v="1"/>
  </r>
  <r>
    <x v="1195"/>
    <s v="MAS FINANCIAL SERV LTD"/>
    <n v="309.55"/>
    <n v="309.55"/>
    <n v="286"/>
    <n v="293.3"/>
    <n v="302.55"/>
    <n v="142746"/>
    <n v="5836"/>
    <n v="53220275474"/>
    <n v="181453377"/>
    <n v="-3.0573458932407864"/>
    <x v="655"/>
    <x v="0"/>
    <x v="2"/>
    <x v="1"/>
  </r>
  <r>
    <x v="1196"/>
    <s v="MASK INVESTMENTS LIMITED"/>
    <n v="117.51"/>
    <n v="139.56"/>
    <n v="117.51"/>
    <n v="139.56"/>
    <n v="130.56"/>
    <n v="3"/>
    <n v="3"/>
    <n v="425867340"/>
    <n v="3051500"/>
    <n v="6.8933823529411766"/>
    <x v="1019"/>
    <x v="1"/>
    <x v="1"/>
    <x v="1"/>
  </r>
  <r>
    <x v="1197"/>
    <s v="MASTEK LTD"/>
    <n v="1430.7"/>
    <n v="1448.1"/>
    <n v="1376"/>
    <n v="1382.6"/>
    <n v="1449.5"/>
    <n v="96727"/>
    <n v="10523"/>
    <n v="42842127081"/>
    <n v="30986639"/>
    <n v="-4.6153846153846221"/>
    <x v="1020"/>
    <x v="0"/>
    <x v="1"/>
    <x v="1"/>
  </r>
  <r>
    <x v="1198"/>
    <s v="MASTER TRUST LIMITED"/>
    <n v="68.77"/>
    <n v="68.77"/>
    <n v="62.05"/>
    <n v="62.3"/>
    <n v="68.77"/>
    <n v="195137"/>
    <n v="2073"/>
    <n v="7663896800"/>
    <n v="123016000"/>
    <n v="-9.4081721680965522"/>
    <x v="1021"/>
    <x v="0"/>
    <x v="1"/>
    <x v="1"/>
  </r>
  <r>
    <x v="1199"/>
    <s v="MATRIMONY.COM LIMITED"/>
    <n v="416.8"/>
    <n v="422.4"/>
    <n v="404.1"/>
    <n v="409.85"/>
    <n v="423.45"/>
    <n v="29042"/>
    <n v="1472"/>
    <n v="8837768507"/>
    <n v="21563422"/>
    <n v="-3.2117133073562321"/>
    <x v="440"/>
    <x v="0"/>
    <x v="1"/>
    <x v="1"/>
  </r>
  <r>
    <x v="1200"/>
    <s v="MAWANA SUGARS LIMITED"/>
    <n v="80.75"/>
    <n v="84"/>
    <n v="80.150000000000006"/>
    <n v="81.78"/>
    <n v="82.6"/>
    <n v="78665"/>
    <n v="1339"/>
    <n v="3198977138"/>
    <n v="39116864"/>
    <n v="-0.99273607748183201"/>
    <x v="696"/>
    <x v="1"/>
    <x v="1"/>
    <x v="1"/>
  </r>
  <r>
    <x v="1201"/>
    <s v="MAX ESTATES LIMITED"/>
    <n v="364.9"/>
    <n v="364.9"/>
    <n v="335.9"/>
    <n v="340.25"/>
    <n v="368.9"/>
    <n v="133774"/>
    <n v="5056"/>
    <n v="55184465639"/>
    <n v="162187996"/>
    <n v="-7.766332339387362"/>
    <x v="538"/>
    <x v="0"/>
    <x v="2"/>
    <x v="1"/>
  </r>
  <r>
    <x v="1202"/>
    <s v="MAX INDIA LIMITED"/>
    <n v="144.91"/>
    <n v="144.91"/>
    <n v="137.06"/>
    <n v="138.32"/>
    <n v="145.16"/>
    <n v="76700"/>
    <n v="1649"/>
    <n v="7252167672"/>
    <n v="52430362"/>
    <n v="-4.712041884816756"/>
    <x v="672"/>
    <x v="0"/>
    <x v="1"/>
    <x v="1"/>
  </r>
  <r>
    <x v="1203"/>
    <s v="MAYUR UNIQUOTERS LTD"/>
    <n v="504.7"/>
    <n v="504.7"/>
    <n v="488"/>
    <n v="493.2"/>
    <n v="509.35"/>
    <n v="100551"/>
    <n v="3732"/>
    <n v="21430822320"/>
    <n v="43452600"/>
    <n v="-3.1707077647982786"/>
    <x v="768"/>
    <x v="0"/>
    <x v="1"/>
    <x v="1"/>
  </r>
  <r>
    <x v="1204"/>
    <s v="MAZDA LIMITED"/>
    <n v="171.5"/>
    <n v="192.9"/>
    <n v="168.87"/>
    <n v="171.78"/>
    <n v="171.31"/>
    <n v="87100"/>
    <n v="2729"/>
    <n v="3439894500"/>
    <n v="20025000"/>
    <n v="0.27435642986398856"/>
    <x v="1022"/>
    <x v="1"/>
    <x v="1"/>
    <x v="1"/>
  </r>
  <r>
    <x v="1205"/>
    <s v="MADHYA BHARAT AGRO P. LTD"/>
    <n v="447"/>
    <n v="448.65"/>
    <n v="437.25"/>
    <n v="441.5"/>
    <n v="453.05"/>
    <n v="330607"/>
    <n v="4369"/>
    <n v="38687294010"/>
    <n v="87626940"/>
    <n v="-2.5493874848250768"/>
    <x v="1023"/>
    <x v="0"/>
    <x v="1"/>
    <x v="1"/>
  </r>
  <r>
    <x v="1206"/>
    <s v="M AND B ENGINEERING LTD"/>
    <n v="262.5"/>
    <n v="264.60000000000002"/>
    <n v="246"/>
    <n v="248"/>
    <n v="271.05"/>
    <n v="257606"/>
    <n v="7412"/>
    <n v="14172757320"/>
    <n v="57148215"/>
    <n v="-8.5039660579228951"/>
    <x v="975"/>
    <x v="0"/>
    <x v="1"/>
    <x v="1"/>
  </r>
  <r>
    <x v="1207"/>
    <s v="MBL INFRASTRUCTURE LTD"/>
    <n v="21.9"/>
    <n v="21.9"/>
    <n v="20.05"/>
    <n v="20.309999999999999"/>
    <n v="22.08"/>
    <n v="551831"/>
    <n v="1143"/>
    <n v="3097869189"/>
    <n v="152529256"/>
    <n v="-8.0163043478260843"/>
    <x v="1024"/>
    <x v="0"/>
    <x v="1"/>
    <x v="1"/>
  </r>
  <r>
    <x v="1208"/>
    <s v="MCLEOD RUSSEL INDIA LTD."/>
    <n v="34.200000000000003"/>
    <n v="34.47"/>
    <n v="32.11"/>
    <n v="32.31"/>
    <n v="34.74"/>
    <n v="839697"/>
    <n v="2377"/>
    <n v="3374964798"/>
    <n v="104455735"/>
    <n v="-6.9948186528497391"/>
    <x v="1025"/>
    <x v="0"/>
    <x v="1"/>
    <x v="1"/>
  </r>
  <r>
    <x v="1209"/>
    <s v="MAGELLANIC CLOUD LIMITED"/>
    <n v="21.73"/>
    <n v="21.73"/>
    <n v="20.67"/>
    <n v="20.75"/>
    <n v="21.75"/>
    <n v="1436483"/>
    <n v="3987"/>
    <n v="12126198740"/>
    <n v="584395120"/>
    <n v="-4.5977011494252871"/>
    <x v="1026"/>
    <x v="0"/>
    <x v="1"/>
    <x v="0"/>
  </r>
  <r>
    <x v="1210"/>
    <s v="MULTI COMMODITY EXCHANGE"/>
    <n v="2400"/>
    <n v="2402.5"/>
    <n v="2260"/>
    <n v="2314.4"/>
    <n v="2414.5"/>
    <n v="6653727"/>
    <n v="218750"/>
    <n v="590000000000"/>
    <n v="254991845"/>
    <n v="-4.1457858769931626"/>
    <x v="1027"/>
    <x v="0"/>
    <x v="0"/>
    <x v="0"/>
  </r>
  <r>
    <x v="1211"/>
    <s v="GLOBAL HEALTH LIMITED"/>
    <n v="997.8"/>
    <n v="1008"/>
    <n v="965"/>
    <n v="969.6"/>
    <n v="1005.7"/>
    <n v="210705"/>
    <n v="26944"/>
    <n v="261000000000"/>
    <n v="268790382"/>
    <n v="-3.5895396241423905"/>
    <x v="1028"/>
    <x v="0"/>
    <x v="0"/>
    <x v="1"/>
  </r>
  <r>
    <x v="1212"/>
    <s v="MEDI ASSIST HEALTH SER L"/>
    <n v="325.05"/>
    <n v="325.05"/>
    <n v="302.10000000000002"/>
    <n v="304.55"/>
    <n v="325.14999999999998"/>
    <n v="165584"/>
    <n v="8713"/>
    <n v="22676105326"/>
    <n v="74457742"/>
    <n v="-6.3355374442564862"/>
    <x v="1029"/>
    <x v="0"/>
    <x v="1"/>
    <x v="1"/>
  </r>
  <r>
    <x v="1213"/>
    <s v="MEDICAMEN BIOTECH LIMITED"/>
    <n v="250"/>
    <n v="252.35"/>
    <n v="237"/>
    <n v="240.15"/>
    <n v="253.6"/>
    <n v="64951"/>
    <n v="2168"/>
    <n v="3257110022"/>
    <n v="13562815"/>
    <n v="-5.3036277602523612"/>
    <x v="1030"/>
    <x v="0"/>
    <x v="1"/>
    <x v="1"/>
  </r>
  <r>
    <x v="1214"/>
    <s v="MEDICO REMEDIES LIMITED"/>
    <n v="38.15"/>
    <n v="38.18"/>
    <n v="33.299999999999997"/>
    <n v="34.950000000000003"/>
    <n v="38.15"/>
    <n v="165410"/>
    <n v="1967"/>
    <n v="2900290800"/>
    <n v="82984000"/>
    <n v="-8.3879423328964506"/>
    <x v="1031"/>
    <x v="0"/>
    <x v="1"/>
    <x v="1"/>
  </r>
  <r>
    <x v="1215"/>
    <s v="MEDPLUS HEALTH SERV LTD"/>
    <n v="819.9"/>
    <n v="819.9"/>
    <n v="793.4"/>
    <n v="797.75"/>
    <n v="820.65"/>
    <n v="73165"/>
    <n v="5350"/>
    <n v="95588463993"/>
    <n v="119822581"/>
    <n v="-2.7904709681350122"/>
    <x v="1032"/>
    <x v="0"/>
    <x v="2"/>
    <x v="1"/>
  </r>
  <r>
    <x v="1216"/>
    <s v="MEESHO LIMITED"/>
    <n v="143.9"/>
    <n v="144.5"/>
    <n v="139.11000000000001"/>
    <n v="141.87"/>
    <n v="144.6"/>
    <n v="6338685"/>
    <n v="63025"/>
    <n v="640000000000"/>
    <n v="4513131000"/>
    <n v="-1.887966804979246"/>
    <x v="116"/>
    <x v="0"/>
    <x v="0"/>
    <x v="0"/>
  </r>
  <r>
    <x v="1217"/>
    <s v="MEGASTAR FOODS LIMITED"/>
    <n v="250"/>
    <n v="250.15"/>
    <n v="246.5"/>
    <n v="247.42"/>
    <n v="250.13"/>
    <n v="5996"/>
    <n v="110"/>
    <n v="2794287254"/>
    <n v="11293700"/>
    <n v="-1.0834366129612634"/>
    <x v="1033"/>
    <x v="0"/>
    <x v="1"/>
    <x v="1"/>
  </r>
  <r>
    <x v="1218"/>
    <s v="MANGAL ELECTRICAL IND L"/>
    <n v="229.06"/>
    <n v="229.06"/>
    <n v="212.8"/>
    <n v="218.33"/>
    <n v="231.46"/>
    <n v="81000"/>
    <n v="2606"/>
    <n v="6032484973"/>
    <n v="27630124"/>
    <n v="-5.6726864253002658"/>
    <x v="1034"/>
    <x v="0"/>
    <x v="1"/>
    <x v="1"/>
  </r>
  <r>
    <x v="1219"/>
    <s v="MENON BEARINGS LIMITED"/>
    <n v="118.11"/>
    <n v="119.37"/>
    <n v="111.6"/>
    <n v="112.57"/>
    <n v="118.11"/>
    <n v="133733"/>
    <n v="3548"/>
    <n v="6308422800"/>
    <n v="56040000"/>
    <n v="-4.6905427144187675"/>
    <x v="1035"/>
    <x v="0"/>
    <x v="1"/>
    <x v="1"/>
  </r>
  <r>
    <x v="1220"/>
    <s v="METRO BRANDS LIMITED"/>
    <n v="925"/>
    <n v="930.5"/>
    <n v="894.4"/>
    <n v="902.6"/>
    <n v="930.7"/>
    <n v="53358"/>
    <n v="13929"/>
    <n v="246000000000"/>
    <n v="272433991"/>
    <n v="-3.0192328355001634"/>
    <x v="1036"/>
    <x v="0"/>
    <x v="0"/>
    <x v="1"/>
  </r>
  <r>
    <x v="1221"/>
    <s v="METROPOLIS HEALTHCARE LTD"/>
    <n v="434.5"/>
    <n v="475"/>
    <n v="421.2"/>
    <n v="450.2"/>
    <n v="441.1"/>
    <n v="193686"/>
    <n v="11706"/>
    <n v="93321025186"/>
    <n v="207287928"/>
    <n v="2.0630242575379656"/>
    <x v="1037"/>
    <x v="1"/>
    <x v="2"/>
    <x v="1"/>
  </r>
  <r>
    <x v="1222"/>
    <s v="MAHALAXMI FABRIC MILLS LT"/>
    <n v="22.54"/>
    <n v="23"/>
    <n v="21.63"/>
    <n v="22.04"/>
    <n v="23"/>
    <n v="541"/>
    <n v="62"/>
    <n v="234070861"/>
    <n v="10620275"/>
    <n v="-4.1739130434782643"/>
    <x v="1038"/>
    <x v="0"/>
    <x v="1"/>
    <x v="1"/>
  </r>
  <r>
    <x v="1223"/>
    <s v="MAX FINANCIAL SERV LTD"/>
    <n v="1630.5"/>
    <n v="1630.5"/>
    <n v="1553.5"/>
    <n v="1567.5"/>
    <n v="1639.3"/>
    <n v="1451852"/>
    <n v="85018"/>
    <n v="541000000000"/>
    <n v="345114771"/>
    <n v="-4.3799182577929576"/>
    <x v="1039"/>
    <x v="0"/>
    <x v="0"/>
    <x v="0"/>
  </r>
  <r>
    <x v="1224"/>
    <s v="MANGALAM GLOBAL ENT LTD"/>
    <n v="10.35"/>
    <n v="12.3"/>
    <n v="10.19"/>
    <n v="11.71"/>
    <n v="10.49"/>
    <n v="6145487"/>
    <n v="5249"/>
    <n v="3859096076"/>
    <n v="329555600"/>
    <n v="11.630123927550054"/>
    <x v="1040"/>
    <x v="1"/>
    <x v="1"/>
    <x v="0"/>
  </r>
  <r>
    <x v="1225"/>
    <s v="MAHANAGAR GAS LTD."/>
    <n v="960"/>
    <n v="960.5"/>
    <n v="900"/>
    <n v="908.4"/>
    <n v="967.1"/>
    <n v="476869"/>
    <n v="25687"/>
    <n v="89729733535"/>
    <n v="98777778"/>
    <n v="-6.0696928962878749"/>
    <x v="1041"/>
    <x v="0"/>
    <x v="2"/>
    <x v="1"/>
  </r>
  <r>
    <x v="1226"/>
    <s v="MAHALAXMI RUBTECH LIMITED"/>
    <n v="166.99"/>
    <n v="166.99"/>
    <n v="157"/>
    <n v="161.91999999999999"/>
    <n v="167.04"/>
    <n v="1834"/>
    <n v="56"/>
    <n v="1719634928"/>
    <n v="10620275"/>
    <n v="-3.065134099616861"/>
    <x v="1042"/>
    <x v="0"/>
    <x v="1"/>
    <x v="1"/>
  </r>
  <r>
    <x v="1227"/>
    <s v="MAHINDRA HOLIDAYS LTD"/>
    <n v="256"/>
    <n v="256"/>
    <n v="246.05"/>
    <n v="248"/>
    <n v="256.75"/>
    <n v="106753"/>
    <n v="6484"/>
    <n v="50105751608"/>
    <n v="202039321"/>
    <n v="-3.4079844206426486"/>
    <x v="1043"/>
    <x v="0"/>
    <x v="2"/>
    <x v="1"/>
  </r>
  <r>
    <x v="1228"/>
    <s v="MIC ELECTRONICS LTD"/>
    <n v="32.81"/>
    <n v="32.81"/>
    <n v="31.17"/>
    <n v="31.31"/>
    <n v="32.81"/>
    <n v="878727"/>
    <n v="3871"/>
    <n v="7546071944"/>
    <n v="241011560"/>
    <n v="-4.5717768972874229"/>
    <x v="1044"/>
    <x v="0"/>
    <x v="1"/>
    <x v="1"/>
  </r>
  <r>
    <x v="1229"/>
    <s v="MISHRA DHATU NIGAM LTD"/>
    <n v="313"/>
    <n v="313"/>
    <n v="292"/>
    <n v="293.85000000000002"/>
    <n v="315.3"/>
    <n v="639700"/>
    <n v="21293"/>
    <n v="55049859000"/>
    <n v="187340000"/>
    <n v="-6.8030447193149337"/>
    <x v="1045"/>
    <x v="0"/>
    <x v="2"/>
    <x v="1"/>
  </r>
  <r>
    <x v="1230"/>
    <s v="MIDWEST LIMITED"/>
    <n v="1250"/>
    <n v="1259"/>
    <n v="1172.2"/>
    <n v="1187.2"/>
    <n v="1239.0999999999999"/>
    <n v="43523"/>
    <n v="4124"/>
    <n v="42930120755"/>
    <n v="36160816"/>
    <n v="-4.1885239286578866"/>
    <x v="1046"/>
    <x v="0"/>
    <x v="1"/>
    <x v="1"/>
  </r>
  <r>
    <x v="1231"/>
    <s v="MINDA CORPORATION LTD"/>
    <n v="492.5"/>
    <n v="494.85"/>
    <n v="484.15"/>
    <n v="490.85"/>
    <n v="502.5"/>
    <n v="145054"/>
    <n v="8720"/>
    <n v="117000000000"/>
    <n v="239079428"/>
    <n v="-2.3184079601990004"/>
    <x v="1047"/>
    <x v="0"/>
    <x v="2"/>
    <x v="1"/>
  </r>
  <r>
    <x v="1232"/>
    <s v="MINDTECK (INDIA) LIMITED"/>
    <n v="169.02"/>
    <n v="169.04"/>
    <n v="158.5"/>
    <n v="160.97"/>
    <n v="170"/>
    <n v="62493"/>
    <n v="2208"/>
    <n v="5143670954"/>
    <n v="31954221"/>
    <n v="-5.3117647058823536"/>
    <x v="1048"/>
    <x v="0"/>
    <x v="1"/>
    <x v="1"/>
  </r>
  <r>
    <x v="1233"/>
    <s v="MIRC ELECTRONICS LTD"/>
    <n v="24.9"/>
    <n v="24.9"/>
    <n v="23.1"/>
    <n v="23.38"/>
    <n v="25.49"/>
    <n v="1027661"/>
    <n v="2228"/>
    <n v="8636393470"/>
    <n v="369392364"/>
    <n v="-8.2777559827383271"/>
    <x v="1049"/>
    <x v="0"/>
    <x v="1"/>
    <x v="0"/>
  </r>
  <r>
    <x v="1234"/>
    <s v="MIRZA INTERNATIONAL LIMIT"/>
    <n v="29.03"/>
    <n v="29.32"/>
    <n v="27.12"/>
    <n v="27.59"/>
    <n v="29.35"/>
    <n v="159001"/>
    <n v="1846"/>
    <n v="3812990421"/>
    <n v="138201900"/>
    <n v="-5.996592844974451"/>
    <x v="1050"/>
    <x v="0"/>
    <x v="1"/>
    <x v="1"/>
  </r>
  <r>
    <x v="1235"/>
    <s v="MITCON CON &amp; ENG SER LTD"/>
    <n v="51.3"/>
    <n v="54.4"/>
    <n v="51.3"/>
    <n v="52.46"/>
    <n v="53.27"/>
    <n v="11245"/>
    <n v="160"/>
    <n v="913770208.29999995"/>
    <n v="17418418"/>
    <n v="-1.5205556598460714"/>
    <x v="1051"/>
    <x v="1"/>
    <x v="1"/>
    <x v="1"/>
  </r>
  <r>
    <x v="1236"/>
    <s v="MITTAL LIFE STYLE LIMITED"/>
    <n v="0.95"/>
    <n v="1.03"/>
    <n v="0.92"/>
    <n v="0.97"/>
    <n v="0.97"/>
    <n v="740374"/>
    <n v="527"/>
    <n v="217296218.40000001"/>
    <n v="224016720"/>
    <n v="0"/>
    <x v="1052"/>
    <x v="1"/>
    <x v="1"/>
    <x v="1"/>
  </r>
  <r>
    <x v="1237"/>
    <s v="M K PROTEINS LIMITED"/>
    <n v="4.92"/>
    <n v="4.93"/>
    <n v="4.6500000000000004"/>
    <n v="4.67"/>
    <n v="4.92"/>
    <n v="262881"/>
    <n v="739"/>
    <n v="1752987240"/>
    <n v="375372000"/>
    <n v="-5.0813008130081299"/>
    <x v="1053"/>
    <x v="0"/>
    <x v="1"/>
    <x v="1"/>
  </r>
  <r>
    <x v="1238"/>
    <s v="MM FORGINGS LTD"/>
    <n v="427.4"/>
    <n v="431"/>
    <n v="406.8"/>
    <n v="413.2"/>
    <n v="428.25"/>
    <n v="118128"/>
    <n v="6512"/>
    <n v="19949957120"/>
    <n v="48281600"/>
    <n v="-3.5143023934617657"/>
    <x v="1054"/>
    <x v="0"/>
    <x v="1"/>
    <x v="1"/>
  </r>
  <r>
    <x v="1239"/>
    <s v="MMP INDUSTRIES LIMITED"/>
    <n v="214.5"/>
    <n v="215.98"/>
    <n v="205.55"/>
    <n v="206.68"/>
    <n v="217.67"/>
    <n v="21493"/>
    <n v="652"/>
    <n v="5250212055"/>
    <n v="25402613"/>
    <n v="-5.0489272752331429"/>
    <x v="1055"/>
    <x v="0"/>
    <x v="1"/>
    <x v="1"/>
  </r>
  <r>
    <x v="1240"/>
    <s v="MMTC LIMITED"/>
    <n v="58"/>
    <n v="58.3"/>
    <n v="55.34"/>
    <n v="55.72"/>
    <n v="60.04"/>
    <n v="4706995"/>
    <n v="24344"/>
    <n v="83580000000"/>
    <n v="1500000000"/>
    <n v="-7.1952031978680884"/>
    <x v="1056"/>
    <x v="0"/>
    <x v="2"/>
    <x v="0"/>
  </r>
  <r>
    <x v="1241"/>
    <s v="ONE MOBIKWIK SYSTEMS LTD"/>
    <n v="179.92"/>
    <n v="180.45"/>
    <n v="171.31"/>
    <n v="173.9"/>
    <n v="181.82"/>
    <n v="837919"/>
    <n v="11957"/>
    <n v="13678705846"/>
    <n v="78658458"/>
    <n v="-4.3559564404355893"/>
    <x v="1057"/>
    <x v="0"/>
    <x v="1"/>
    <x v="1"/>
  </r>
  <r>
    <x v="1242"/>
    <s v="MODI NATURALS LIMITED"/>
    <n v="284.95"/>
    <n v="298"/>
    <n v="280.10000000000002"/>
    <n v="289.95"/>
    <n v="299.64999999999998"/>
    <n v="7353"/>
    <n v="305"/>
    <n v="3858189810"/>
    <n v="13306397"/>
    <n v="-3.237109961621889"/>
    <x v="1058"/>
    <x v="1"/>
    <x v="1"/>
    <x v="1"/>
  </r>
  <r>
    <x v="1243"/>
    <s v="MODI RUBBER LTD"/>
    <n v="112"/>
    <n v="114"/>
    <n v="109.59"/>
    <n v="112.88"/>
    <n v="109.81"/>
    <n v="7945"/>
    <n v="132"/>
    <n v="2826575252"/>
    <n v="25040532"/>
    <n v="2.7957380930698417"/>
    <x v="1059"/>
    <x v="1"/>
    <x v="1"/>
    <x v="1"/>
  </r>
  <r>
    <x v="1244"/>
    <s v="MODIS NAVNIRMAN LTD"/>
    <n v="320"/>
    <n v="320"/>
    <n v="295"/>
    <n v="302.8"/>
    <n v="316.60000000000002"/>
    <n v="13765"/>
    <n v="540"/>
    <n v="5932215360"/>
    <n v="19591200"/>
    <n v="-4.3588123815540145"/>
    <x v="821"/>
    <x v="0"/>
    <x v="1"/>
    <x v="1"/>
  </r>
  <r>
    <x v="1245"/>
    <s v="MODISON LIMITED"/>
    <n v="125.01"/>
    <n v="125.01"/>
    <n v="114"/>
    <n v="114.59"/>
    <n v="125.96"/>
    <n v="58136"/>
    <n v="1441"/>
    <n v="3718445500"/>
    <n v="32450000"/>
    <n v="-9.0266751349634724"/>
    <x v="1060"/>
    <x v="0"/>
    <x v="1"/>
    <x v="1"/>
  </r>
  <r>
    <x v="1246"/>
    <s v="MODERN THREADS INDIA LTD"/>
    <n v="43"/>
    <n v="44.96"/>
    <n v="42.72"/>
    <n v="44.96"/>
    <n v="44.96"/>
    <n v="5"/>
    <n v="5"/>
    <n v="1563491194"/>
    <n v="34775160"/>
    <n v="0"/>
    <x v="734"/>
    <x v="1"/>
    <x v="1"/>
    <x v="1"/>
  </r>
  <r>
    <x v="1247"/>
    <s v="MOHIT INDUSTRIES LTD"/>
    <n v="22.9"/>
    <n v="22.94"/>
    <n v="20.66"/>
    <n v="20.97"/>
    <n v="22.89"/>
    <n v="13928"/>
    <n v="196"/>
    <n v="296884347.80000001"/>
    <n v="14157575"/>
    <n v="-8.3879423328964684"/>
    <x v="1061"/>
    <x v="0"/>
    <x v="1"/>
    <x v="1"/>
  </r>
  <r>
    <x v="1248"/>
    <s v="MOIL LIMITED"/>
    <n v="286"/>
    <n v="291"/>
    <n v="276"/>
    <n v="285.25"/>
    <n v="291.60000000000002"/>
    <n v="1499590"/>
    <n v="34596"/>
    <n v="58044156438"/>
    <n v="203485211"/>
    <n v="-2.177640603566537"/>
    <x v="955"/>
    <x v="0"/>
    <x v="2"/>
    <x v="0"/>
  </r>
  <r>
    <x v="1249"/>
    <s v="MOKSH ORNAMENTS LIMITED"/>
    <n v="10.11"/>
    <n v="10.3"/>
    <n v="9.61"/>
    <n v="9.84"/>
    <n v="10.38"/>
    <n v="130108"/>
    <n v="542"/>
    <n v="868369835.29999995"/>
    <n v="88248967"/>
    <n v="-5.202312138728332"/>
    <x v="175"/>
    <x v="0"/>
    <x v="1"/>
    <x v="1"/>
  </r>
  <r>
    <x v="1250"/>
    <s v="MEGHMANI ORGANICS LIMITED"/>
    <n v="41.85"/>
    <n v="42.1"/>
    <n v="40.049999999999997"/>
    <n v="40.369999999999997"/>
    <n v="42.62"/>
    <n v="1458900"/>
    <n v="5091"/>
    <n v="10266664698"/>
    <n v="254314211"/>
    <n v="-5.2792116377287659"/>
    <x v="1062"/>
    <x v="0"/>
    <x v="1"/>
    <x v="0"/>
  </r>
  <r>
    <x v="1251"/>
    <s v="MOLD-TEK TECHNOLOGIES LTD"/>
    <n v="120"/>
    <n v="122.99"/>
    <n v="114.45"/>
    <n v="115.59"/>
    <n v="123.22"/>
    <n v="51119"/>
    <n v="1097"/>
    <n v="3329583590"/>
    <n v="28805118"/>
    <n v="-6.1921765947086476"/>
    <x v="1063"/>
    <x v="0"/>
    <x v="1"/>
    <x v="1"/>
  </r>
  <r>
    <x v="1252"/>
    <s v="MOLD-TEK PACKAGING LTD"/>
    <n v="509.15"/>
    <n v="509.15"/>
    <n v="475"/>
    <n v="477.75"/>
    <n v="512.15"/>
    <n v="110819"/>
    <n v="5541"/>
    <n v="15823385282"/>
    <n v="33120639"/>
    <n v="-6.7167821927169733"/>
    <x v="1064"/>
    <x v="0"/>
    <x v="1"/>
    <x v="1"/>
  </r>
  <r>
    <x v="1253"/>
    <s v="MONARCH NETWORTH CAP LTD"/>
    <n v="269.35000000000002"/>
    <n v="269.35000000000002"/>
    <n v="243.2"/>
    <n v="245.55"/>
    <n v="268"/>
    <n v="136561"/>
    <n v="2551"/>
    <n v="18147958878"/>
    <n v="73907387"/>
    <n v="-8.3768656716417862"/>
    <x v="1065"/>
    <x v="0"/>
    <x v="1"/>
    <x v="1"/>
  </r>
  <r>
    <x v="1254"/>
    <s v="MONEYBOXX FINANCE LIMITED"/>
    <n v="57.6"/>
    <n v="62.03"/>
    <n v="55.61"/>
    <n v="58.44"/>
    <n v="62.25"/>
    <n v="62720"/>
    <n v="652"/>
    <n v="3822513648"/>
    <n v="65409200"/>
    <n v="-6.1204819277108466"/>
    <x v="1066"/>
    <x v="1"/>
    <x v="1"/>
    <x v="1"/>
  </r>
  <r>
    <x v="1255"/>
    <s v="MONTE CARLO FASHIONS LTD."/>
    <n v="514.9"/>
    <n v="514.9"/>
    <n v="496"/>
    <n v="497.85"/>
    <n v="525.35"/>
    <n v="20796"/>
    <n v="2042"/>
    <n v="10321458062"/>
    <n v="20732064"/>
    <n v="-5.2346055010945083"/>
    <x v="1067"/>
    <x v="0"/>
    <x v="1"/>
    <x v="1"/>
  </r>
  <r>
    <x v="1256"/>
    <s v="MOREPEN LAB. LTD"/>
    <n v="36.590000000000003"/>
    <n v="36.75"/>
    <n v="35.1"/>
    <n v="35.33"/>
    <n v="36.99"/>
    <n v="3329979"/>
    <n v="12319"/>
    <n v="19359204186"/>
    <n v="547953699"/>
    <n v="-4.4876993782103369"/>
    <x v="1068"/>
    <x v="0"/>
    <x v="1"/>
    <x v="0"/>
  </r>
  <r>
    <x v="1257"/>
    <s v="MOSCHIP TECHNOLOGIES LTD"/>
    <n v="163.5"/>
    <n v="163.6"/>
    <n v="156.43"/>
    <n v="157.06"/>
    <n v="165.72"/>
    <n v="1380857"/>
    <n v="19971"/>
    <n v="30264338550"/>
    <n v="192692847"/>
    <n v="-5.2256818730388588"/>
    <x v="1069"/>
    <x v="0"/>
    <x v="1"/>
    <x v="0"/>
  </r>
  <r>
    <x v="1258"/>
    <s v="MOTILAL OSWAL FIN LTD"/>
    <n v="653"/>
    <n v="654.79999999999995"/>
    <n v="614.9"/>
    <n v="628.20000000000005"/>
    <n v="662.6"/>
    <n v="1147202"/>
    <n v="53016"/>
    <n v="377000000000"/>
    <n v="600781611"/>
    <n v="-5.1916691820102594"/>
    <x v="1070"/>
    <x v="0"/>
    <x v="0"/>
    <x v="0"/>
  </r>
  <r>
    <x v="1259"/>
    <s v="MOTISONS JEWELLERS LTD"/>
    <n v="13.05"/>
    <n v="13.05"/>
    <n v="12.01"/>
    <n v="12.14"/>
    <n v="13.05"/>
    <n v="2386348"/>
    <n v="3626"/>
    <n v="11951344400"/>
    <n v="984460000"/>
    <n v="-6.9731800766283536"/>
    <x v="1071"/>
    <x v="0"/>
    <x v="1"/>
    <x v="0"/>
  </r>
  <r>
    <x v="1260"/>
    <s v="MOTOR &amp; GENERAL FINANCE L"/>
    <n v="20.77"/>
    <n v="20.77"/>
    <n v="19.32"/>
    <n v="19.75"/>
    <n v="20.09"/>
    <n v="16820"/>
    <n v="105"/>
    <n v="764862002.5"/>
    <n v="38727190"/>
    <n v="-1.6923842707814825"/>
    <x v="334"/>
    <x v="0"/>
    <x v="1"/>
    <x v="1"/>
  </r>
  <r>
    <x v="1261"/>
    <s v="MPHASIS LIMITED"/>
    <n v="2079.9"/>
    <n v="2090.4"/>
    <n v="2039"/>
    <n v="2063.6"/>
    <n v="2091.1"/>
    <n v="471389"/>
    <n v="27786"/>
    <n v="393000000000"/>
    <n v="190557873"/>
    <n v="-1.315097317201473"/>
    <x v="1072"/>
    <x v="0"/>
    <x v="0"/>
    <x v="1"/>
  </r>
  <r>
    <x v="1262"/>
    <s v="MPS LIMITED"/>
    <n v="1480.6"/>
    <n v="1496"/>
    <n v="1432.7"/>
    <n v="1445.4"/>
    <n v="1506"/>
    <n v="38358"/>
    <n v="4625"/>
    <n v="24724746446"/>
    <n v="17105816"/>
    <n v="-4.0239043824701133"/>
    <x v="1073"/>
    <x v="0"/>
    <x v="1"/>
    <x v="1"/>
  </r>
  <r>
    <x v="1263"/>
    <s v="MRF LTD"/>
    <n v="127515"/>
    <n v="127515"/>
    <n v="123455"/>
    <n v="124975"/>
    <n v="127535"/>
    <n v="7960"/>
    <n v="6605"/>
    <n v="530000000000"/>
    <n v="4241143"/>
    <n v="-2.0072921158897561"/>
    <x v="1074"/>
    <x v="0"/>
    <x v="0"/>
    <x v="1"/>
  </r>
  <r>
    <x v="1264"/>
    <s v="MRPL"/>
    <n v="191.14"/>
    <n v="195.64"/>
    <n v="181.15"/>
    <n v="183.15"/>
    <n v="191.19"/>
    <n v="19049656"/>
    <n v="110371"/>
    <n v="321000000000"/>
    <n v="1752598777"/>
    <n v="-4.2052408598776045"/>
    <x v="1075"/>
    <x v="0"/>
    <x v="0"/>
    <x v="0"/>
  </r>
  <r>
    <x v="1265"/>
    <s v="MSP STEEL &amp; POWER LTD."/>
    <n v="29.99"/>
    <n v="29.99"/>
    <n v="27.22"/>
    <n v="28.05"/>
    <n v="30.04"/>
    <n v="1139801"/>
    <n v="2873"/>
    <n v="15898645892"/>
    <n v="566796645"/>
    <n v="-6.6245006657789567"/>
    <x v="1076"/>
    <x v="0"/>
    <x v="1"/>
    <x v="0"/>
  </r>
  <r>
    <x v="1266"/>
    <s v="MSTC LIMITED"/>
    <n v="415"/>
    <n v="415"/>
    <n v="382.25"/>
    <n v="391.45"/>
    <n v="415.65"/>
    <n v="239779"/>
    <n v="9269"/>
    <n v="27558080000"/>
    <n v="70400000"/>
    <n v="-5.8222061830867293"/>
    <x v="1077"/>
    <x v="0"/>
    <x v="1"/>
    <x v="1"/>
  </r>
  <r>
    <x v="1267"/>
    <s v="MOTHERSON SUMI WRNG IND L"/>
    <n v="36.89"/>
    <n v="36.89"/>
    <n v="35.700000000000003"/>
    <n v="35.89"/>
    <n v="36.979999999999997"/>
    <n v="17364254"/>
    <n v="64078"/>
    <n v="238000000000"/>
    <n v="6631661898"/>
    <n v="-2.9475392103839813"/>
    <x v="528"/>
    <x v="0"/>
    <x v="0"/>
    <x v="0"/>
  </r>
  <r>
    <x v="1268"/>
    <s v="MTAR TECHNOLOGIES LIMITED"/>
    <n v="3475"/>
    <n v="3501.8"/>
    <n v="3321.3"/>
    <n v="3372.2"/>
    <n v="3525.3"/>
    <n v="186291"/>
    <n v="25457"/>
    <n v="104000000000"/>
    <n v="30759591"/>
    <n v="-4.3428928034493621"/>
    <x v="1078"/>
    <x v="0"/>
    <x v="2"/>
    <x v="1"/>
  </r>
  <r>
    <x v="1269"/>
    <s v="MAHANAGAR TELEPHONE NIGAM"/>
    <n v="24.3"/>
    <n v="24.36"/>
    <n v="23.04"/>
    <n v="23.25"/>
    <n v="24.75"/>
    <n v="1435249"/>
    <n v="5185"/>
    <n v="14647500000"/>
    <n v="630000000"/>
    <n v="-6.0606060606060606"/>
    <x v="1079"/>
    <x v="0"/>
    <x v="1"/>
    <x v="0"/>
  </r>
  <r>
    <x v="1270"/>
    <s v="MUFIN GREEN FINANCE LTD"/>
    <n v="103"/>
    <n v="103.22"/>
    <n v="97"/>
    <n v="98.51"/>
    <n v="102.99"/>
    <n v="541998"/>
    <n v="3574"/>
    <n v="17065027480"/>
    <n v="173231423"/>
    <n v="-4.3499368870764057"/>
    <x v="1080"/>
    <x v="0"/>
    <x v="1"/>
    <x v="1"/>
  </r>
  <r>
    <x v="1271"/>
    <s v="CREDO BRANDS MARKETING L"/>
    <n v="74.5"/>
    <n v="74.540000000000006"/>
    <n v="72.05"/>
    <n v="72.48"/>
    <n v="74.61"/>
    <n v="157042"/>
    <n v="2133"/>
    <n v="4738025065"/>
    <n v="65370103"/>
    <n v="-2.8548451950140672"/>
    <x v="1081"/>
    <x v="0"/>
    <x v="1"/>
    <x v="1"/>
  </r>
  <r>
    <x v="1272"/>
    <s v="MUKAND LTD."/>
    <n v="122.65"/>
    <n v="124.49"/>
    <n v="119.26"/>
    <n v="120.11"/>
    <n v="126.39"/>
    <n v="77893"/>
    <n v="1390"/>
    <n v="17355362072"/>
    <n v="144495563"/>
    <n v="-4.9687475274942647"/>
    <x v="1082"/>
    <x v="0"/>
    <x v="1"/>
    <x v="1"/>
  </r>
  <r>
    <x v="1273"/>
    <s v="MUKKA PROTEINS LIMITED"/>
    <n v="21.2"/>
    <n v="21.32"/>
    <n v="20.16"/>
    <n v="20.32"/>
    <n v="21.13"/>
    <n v="369284"/>
    <n v="1923"/>
    <n v="6096000000"/>
    <n v="300000000"/>
    <n v="-3.8334122101277748"/>
    <x v="1083"/>
    <x v="0"/>
    <x v="1"/>
    <x v="1"/>
  </r>
  <r>
    <x v="1274"/>
    <s v="MUKTA ARTS LIMITED"/>
    <n v="42.45"/>
    <n v="42.48"/>
    <n v="37.299999999999997"/>
    <n v="37.97"/>
    <n v="42.03"/>
    <n v="14527"/>
    <n v="319"/>
    <n v="857560044"/>
    <n v="22585200"/>
    <n v="-9.6597668332143751"/>
    <x v="1084"/>
    <x v="0"/>
    <x v="1"/>
    <x v="1"/>
  </r>
  <r>
    <x v="1275"/>
    <s v="MUNJAL AUTO IND. LTD."/>
    <n v="72.900000000000006"/>
    <n v="73.290000000000006"/>
    <n v="70.14"/>
    <n v="70.78"/>
    <n v="74.14"/>
    <n v="98865"/>
    <n v="1431"/>
    <n v="7078000000"/>
    <n v="100000000"/>
    <n v="-4.5319665497707033"/>
    <x v="232"/>
    <x v="0"/>
    <x v="1"/>
    <x v="1"/>
  </r>
  <r>
    <x v="1276"/>
    <s v="MUNJAL SHOWA LTD"/>
    <n v="120.47"/>
    <n v="120.47"/>
    <n v="115.75"/>
    <n v="117"/>
    <n v="120.46"/>
    <n v="40674"/>
    <n v="711"/>
    <n v="4679415000"/>
    <n v="39995000"/>
    <n v="-2.8723227627428143"/>
    <x v="1085"/>
    <x v="0"/>
    <x v="1"/>
    <x v="1"/>
  </r>
  <r>
    <x v="1277"/>
    <s v="MURUDESHWAR CERAMICS LTD"/>
    <n v="29.25"/>
    <n v="29.88"/>
    <n v="28.01"/>
    <n v="28.3"/>
    <n v="29.39"/>
    <n v="54114"/>
    <n v="424"/>
    <n v="1713430858"/>
    <n v="60545260"/>
    <n v="-3.708744470908472"/>
    <x v="1086"/>
    <x v="0"/>
    <x v="1"/>
    <x v="1"/>
  </r>
  <r>
    <x v="1278"/>
    <s v="MUTHOOT CAP SERV LTD"/>
    <n v="194.7"/>
    <n v="194.7"/>
    <n v="175.25"/>
    <n v="180.82"/>
    <n v="196.53"/>
    <n v="74156"/>
    <n v="2021"/>
    <n v="2974042917"/>
    <n v="16447533"/>
    <n v="-7.9936905307077835"/>
    <x v="385"/>
    <x v="0"/>
    <x v="1"/>
    <x v="1"/>
  </r>
  <r>
    <x v="1279"/>
    <s v="MUTHOOT FINANCE LIMITED"/>
    <n v="3190"/>
    <n v="3220.5"/>
    <n v="3042.1"/>
    <n v="3115.6"/>
    <n v="3315.9"/>
    <n v="2186867"/>
    <n v="107496"/>
    <n v="1250000000000"/>
    <n v="401468476"/>
    <n v="-6.0405922977170654"/>
    <x v="1087"/>
    <x v="0"/>
    <x v="0"/>
    <x v="0"/>
  </r>
  <r>
    <x v="1280"/>
    <s v="MUTHOOT MICROFIN LIMITED"/>
    <n v="148.01"/>
    <n v="153.68"/>
    <n v="141.19999999999999"/>
    <n v="148.5"/>
    <n v="150.85"/>
    <n v="304551"/>
    <n v="5215"/>
    <n v="25318088136"/>
    <n v="170492176"/>
    <n v="-1.557838912827308"/>
    <x v="1088"/>
    <x v="1"/>
    <x v="1"/>
    <x v="1"/>
  </r>
  <r>
    <x v="1281"/>
    <s v="MANOJ VAIBHAV GEM N JEW L"/>
    <n v="141.9"/>
    <n v="141.9"/>
    <n v="136.81"/>
    <n v="140.36000000000001"/>
    <n v="143.18"/>
    <n v="111465"/>
    <n v="2246"/>
    <n v="6856226819"/>
    <n v="48847441"/>
    <n v="-1.9695488196675464"/>
    <x v="1089"/>
    <x v="0"/>
    <x v="1"/>
    <x v="1"/>
  </r>
  <r>
    <x v="1282"/>
    <s v="MANGALAM WORLDWIDE LTD"/>
    <n v="260.85000000000002"/>
    <n v="260.85000000000002"/>
    <n v="246"/>
    <n v="252.05"/>
    <n v="265.64999999999998"/>
    <n v="92881"/>
    <n v="1928"/>
    <n v="7486054882"/>
    <n v="29700674"/>
    <n v="-5.1195181629964113"/>
    <x v="1090"/>
    <x v="0"/>
    <x v="1"/>
    <x v="1"/>
  </r>
  <r>
    <x v="1283"/>
    <s v="NACL INDUSTRIES LIMITED"/>
    <n v="133.25"/>
    <n v="137"/>
    <n v="131.1"/>
    <n v="131.1"/>
    <n v="137.99"/>
    <n v="130363"/>
    <n v="1069"/>
    <n v="30679147694"/>
    <n v="234013331"/>
    <n v="-4.9931154431480644"/>
    <x v="1091"/>
    <x v="0"/>
    <x v="1"/>
    <x v="1"/>
  </r>
  <r>
    <x v="1284"/>
    <s v="NAGARJUN FERT AND CHE LTD"/>
    <n v="3.99"/>
    <n v="3.99"/>
    <n v="3.82"/>
    <n v="3.84"/>
    <n v="3.97"/>
    <n v="804541"/>
    <n v="971"/>
    <n v="2296569612"/>
    <n v="598065003"/>
    <n v="-3.2745591939546683"/>
    <x v="1092"/>
    <x v="0"/>
    <x v="1"/>
    <x v="1"/>
  </r>
  <r>
    <x v="1285"/>
    <s v="NAGREEKA CAP &amp; INFR.LTD"/>
    <n v="23"/>
    <n v="23.97"/>
    <n v="21.53"/>
    <n v="22.1"/>
    <n v="22.96"/>
    <n v="9986"/>
    <n v="166"/>
    <n v="278798130"/>
    <n v="12615300"/>
    <n v="-3.7456445993031338"/>
    <x v="1093"/>
    <x v="0"/>
    <x v="1"/>
    <x v="1"/>
  </r>
  <r>
    <x v="1286"/>
    <s v="NAGREEKA EXPORTS LTD."/>
    <n v="21.24"/>
    <n v="22.4"/>
    <n v="20.29"/>
    <n v="20.41"/>
    <n v="21.34"/>
    <n v="9162"/>
    <n v="183"/>
    <n v="637797192.5"/>
    <n v="31249250"/>
    <n v="-4.3580131208997175"/>
    <x v="379"/>
    <x v="0"/>
    <x v="1"/>
    <x v="1"/>
  </r>
  <r>
    <x v="1287"/>
    <s v="NAHAR CAP &amp; FIN."/>
    <n v="239"/>
    <n v="239"/>
    <n v="209.01"/>
    <n v="210.01"/>
    <n v="225.85"/>
    <n v="46794"/>
    <n v="2306"/>
    <n v="3516862532"/>
    <n v="16746167"/>
    <n v="-7.0135045384104506"/>
    <x v="1094"/>
    <x v="0"/>
    <x v="1"/>
    <x v="1"/>
  </r>
  <r>
    <x v="1288"/>
    <s v="NAHAR INDS ENT LTD"/>
    <n v="89.25"/>
    <n v="89.68"/>
    <n v="86.15"/>
    <n v="86.99"/>
    <n v="89.93"/>
    <n v="14769"/>
    <n v="405"/>
    <n v="3758453491"/>
    <n v="43205581"/>
    <n v="-3.269209385077295"/>
    <x v="1095"/>
    <x v="0"/>
    <x v="1"/>
    <x v="1"/>
  </r>
  <r>
    <x v="1289"/>
    <s v="NAHAR POLY FILMS LIMITED"/>
    <n v="235"/>
    <n v="235"/>
    <n v="220.06"/>
    <n v="223.64"/>
    <n v="237.53"/>
    <n v="12249"/>
    <n v="967"/>
    <n v="5498858307"/>
    <n v="24587991"/>
    <n v="-5.8476823980128882"/>
    <x v="1096"/>
    <x v="0"/>
    <x v="1"/>
    <x v="1"/>
  </r>
  <r>
    <x v="1290"/>
    <s v="NAHAR SPINNING MILLS LTD."/>
    <n v="211"/>
    <n v="211"/>
    <n v="201.43"/>
    <n v="202.05"/>
    <n v="210.54"/>
    <n v="41165"/>
    <n v="905"/>
    <n v="7286994471"/>
    <n v="36065303"/>
    <n v="-4.0324878882872524"/>
    <x v="1097"/>
    <x v="0"/>
    <x v="1"/>
    <x v="1"/>
  </r>
  <r>
    <x v="1291"/>
    <s v="NIPPON L I A M LTD"/>
    <n v="823"/>
    <n v="828.9"/>
    <n v="805.1"/>
    <n v="817.2"/>
    <n v="838.9"/>
    <n v="976724"/>
    <n v="54240"/>
    <n v="521000000000"/>
    <n v="637034489"/>
    <n v="-2.5867207056860093"/>
    <x v="1098"/>
    <x v="0"/>
    <x v="0"/>
    <x v="1"/>
  </r>
  <r>
    <x v="1292"/>
    <s v="NARMADA AGROBASE LIMITED"/>
    <n v="32.200000000000003"/>
    <n v="32.5"/>
    <n v="30.06"/>
    <n v="31.15"/>
    <n v="32.5"/>
    <n v="154284"/>
    <n v="975"/>
    <n v="1181718829"/>
    <n v="37936399"/>
    <n v="-4.1538461538461577"/>
    <x v="1099"/>
    <x v="0"/>
    <x v="1"/>
    <x v="1"/>
  </r>
  <r>
    <x v="1293"/>
    <s v="NATURAL CAPSULES LIMITED"/>
    <n v="140.36000000000001"/>
    <n v="148.30000000000001"/>
    <n v="140.36000000000001"/>
    <n v="147.51"/>
    <n v="145.41"/>
    <n v="4478"/>
    <n v="113"/>
    <n v="1525423627"/>
    <n v="10341154"/>
    <n v="1.4441922838869365"/>
    <x v="1100"/>
    <x v="1"/>
    <x v="1"/>
    <x v="1"/>
  </r>
  <r>
    <x v="1294"/>
    <s v="NATCO PHARMA LTD."/>
    <n v="960"/>
    <n v="965.25"/>
    <n v="924.4"/>
    <n v="927.55"/>
    <n v="959.2"/>
    <n v="714373"/>
    <n v="41848"/>
    <n v="166000000000"/>
    <n v="179109870"/>
    <n v="-3.2996246872393753"/>
    <x v="1101"/>
    <x v="0"/>
    <x v="2"/>
    <x v="1"/>
  </r>
  <r>
    <x v="1295"/>
    <s v="NATH BIO-GENES (I) LTD"/>
    <n v="140.03"/>
    <n v="140.47"/>
    <n v="131.97999999999999"/>
    <n v="134.22"/>
    <n v="139.75"/>
    <n v="62950"/>
    <n v="676"/>
    <n v="2550716880"/>
    <n v="19004000"/>
    <n v="-3.9570661896243302"/>
    <x v="1102"/>
    <x v="0"/>
    <x v="1"/>
    <x v="1"/>
  </r>
  <r>
    <x v="1296"/>
    <s v="NATIONAL ALUMINIUM CO LTD"/>
    <n v="357.5"/>
    <n v="361.2"/>
    <n v="347"/>
    <n v="349.75"/>
    <n v="368.5"/>
    <n v="14168007"/>
    <n v="97305"/>
    <n v="642000000000"/>
    <n v="1836631787"/>
    <n v="-5.0881953867028491"/>
    <x v="1103"/>
    <x v="0"/>
    <x v="0"/>
    <x v="0"/>
  </r>
  <r>
    <x v="1297"/>
    <s v="NAVA LIMITED"/>
    <n v="545.15"/>
    <n v="552.65"/>
    <n v="537"/>
    <n v="544.45000000000005"/>
    <n v="553.5"/>
    <n v="385863"/>
    <n v="15464"/>
    <n v="154000000000"/>
    <n v="283001276"/>
    <n v="-1.6350496838301636"/>
    <x v="1104"/>
    <x v="0"/>
    <x v="2"/>
    <x v="1"/>
  </r>
  <r>
    <x v="1298"/>
    <s v="NAVIN FLUORINE INT. LTD"/>
    <n v="6061"/>
    <n v="6093.5"/>
    <n v="5866"/>
    <n v="5886.5"/>
    <n v="6124"/>
    <n v="112393"/>
    <n v="21207"/>
    <n v="302000000000"/>
    <n v="51222524"/>
    <n v="-3.8781841933376882"/>
    <x v="1105"/>
    <x v="0"/>
    <x v="0"/>
    <x v="1"/>
  </r>
  <r>
    <x v="1299"/>
    <s v="NAVKAR CORPORATION LTD."/>
    <n v="81.150000000000006"/>
    <n v="82.72"/>
    <n v="79.319999999999993"/>
    <n v="80.25"/>
    <n v="82.77"/>
    <n v="303500"/>
    <n v="3296"/>
    <n v="12079164275"/>
    <n v="150519181"/>
    <n v="-3.044581370061612"/>
    <x v="1106"/>
    <x v="0"/>
    <x v="1"/>
    <x v="1"/>
  </r>
  <r>
    <x v="1300"/>
    <s v="NAVKAR URBANSTRUCTURE LTD"/>
    <n v="0.9"/>
    <n v="0.9"/>
    <n v="0.83"/>
    <n v="0.83"/>
    <n v="0.87"/>
    <n v="2062860"/>
    <n v="499"/>
    <n v="931335050.29999995"/>
    <n v="1122090422"/>
    <n v="-4.5977011494252915"/>
    <x v="1107"/>
    <x v="0"/>
    <x v="1"/>
    <x v="0"/>
  </r>
  <r>
    <x v="1301"/>
    <s v="NAVNEET EDUCATION LTD"/>
    <n v="125"/>
    <n v="127.46"/>
    <n v="123.12"/>
    <n v="123.69"/>
    <n v="127.07"/>
    <n v="198114"/>
    <n v="3718"/>
    <n v="27361858358"/>
    <n v="221213181"/>
    <n v="-2.6599512079955896"/>
    <x v="1108"/>
    <x v="0"/>
    <x v="1"/>
    <x v="1"/>
  </r>
  <r>
    <x v="1302"/>
    <s v="NAZARA TECHNOLOGIES LTD"/>
    <n v="233"/>
    <n v="233.1"/>
    <n v="215.7"/>
    <n v="217.65"/>
    <n v="235.35"/>
    <n v="1575866"/>
    <n v="21786"/>
    <n v="80631712474"/>
    <n v="370465024"/>
    <n v="-7.5207138304652599"/>
    <x v="1109"/>
    <x v="0"/>
    <x v="2"/>
    <x v="0"/>
  </r>
  <r>
    <x v="1303"/>
    <s v="NBCC (INDIA) LIMITED"/>
    <n v="82.9"/>
    <n v="82.96"/>
    <n v="78.87"/>
    <n v="79.09"/>
    <n v="83.91"/>
    <n v="12197511"/>
    <n v="47245"/>
    <n v="214000000000"/>
    <n v="2700000000"/>
    <n v="-5.7442497914432051"/>
    <x v="1110"/>
    <x v="0"/>
    <x v="0"/>
    <x v="0"/>
  </r>
  <r>
    <x v="1304"/>
    <s v="N.B.I. IND. FIN. CO. LTD"/>
    <n v="1759"/>
    <n v="1759"/>
    <n v="1701.1"/>
    <n v="1732.8"/>
    <n v="1723.8"/>
    <n v="528"/>
    <n v="116"/>
    <n v="5120164080"/>
    <n v="2954850"/>
    <n v="0.52210233205708323"/>
    <x v="458"/>
    <x v="0"/>
    <x v="1"/>
    <x v="1"/>
  </r>
  <r>
    <x v="1305"/>
    <s v="NCC LIMITED"/>
    <n v="140"/>
    <n v="140"/>
    <n v="131.16"/>
    <n v="132.29"/>
    <n v="140.59"/>
    <n v="3581064"/>
    <n v="35156"/>
    <n v="83057825127"/>
    <n v="627846588"/>
    <n v="-5.9036915854612788"/>
    <x v="306"/>
    <x v="0"/>
    <x v="2"/>
    <x v="0"/>
  </r>
  <r>
    <x v="1306"/>
    <s v="NCL INDUSTRIES LIMITED"/>
    <n v="169.1"/>
    <n v="169.5"/>
    <n v="160.06"/>
    <n v="162.65"/>
    <n v="169.8"/>
    <n v="157027"/>
    <n v="2596"/>
    <n v="7357113294"/>
    <n v="45232790"/>
    <n v="-4.2108362779740904"/>
    <x v="1111"/>
    <x v="0"/>
    <x v="1"/>
    <x v="1"/>
  </r>
  <r>
    <x v="1307"/>
    <s v="NAGA DHUNSERI GROUP LTD"/>
    <n v="2630"/>
    <n v="2700"/>
    <n v="2630"/>
    <n v="2631.5"/>
    <n v="2630"/>
    <n v="778"/>
    <n v="87"/>
    <n v="2631500000"/>
    <n v="1000000"/>
    <n v="5.7034220532319393E-2"/>
    <x v="1112"/>
    <x v="1"/>
    <x v="1"/>
    <x v="1"/>
  </r>
  <r>
    <x v="1308"/>
    <s v="NANDAN DENIM LIMITED"/>
    <n v="2.21"/>
    <n v="2.21"/>
    <n v="2.0499999999999998"/>
    <n v="2.08"/>
    <n v="2.23"/>
    <n v="2913660"/>
    <n v="2250"/>
    <n v="2998261094"/>
    <n v="1441471680"/>
    <n v="-6.7264573991031344"/>
    <x v="551"/>
    <x v="0"/>
    <x v="1"/>
    <x v="0"/>
  </r>
  <r>
    <x v="1309"/>
    <s v="NDL VENTURES LIMITED"/>
    <n v="114.07"/>
    <n v="114.53"/>
    <n v="111"/>
    <n v="112.64"/>
    <n v="114.05"/>
    <n v="66511"/>
    <n v="465"/>
    <n v="3792771389"/>
    <n v="33671621"/>
    <n v="-1.2362998684787345"/>
    <x v="1095"/>
    <x v="0"/>
    <x v="1"/>
    <x v="1"/>
  </r>
  <r>
    <x v="1310"/>
    <s v="NDR AUTO COMPONENTS LTD"/>
    <n v="667.95"/>
    <n v="676.35"/>
    <n v="635"/>
    <n v="639.85"/>
    <n v="681.55"/>
    <n v="33299"/>
    <n v="2186"/>
    <n v="15219026764"/>
    <n v="23785304"/>
    <n v="-6.1184065732521367"/>
    <x v="1113"/>
    <x v="0"/>
    <x v="1"/>
    <x v="1"/>
  </r>
  <r>
    <x v="1311"/>
    <s v="NDTV LTD"/>
    <n v="67.11"/>
    <n v="69.98"/>
    <n v="65"/>
    <n v="66.02"/>
    <n v="69.95"/>
    <n v="260807"/>
    <n v="2879"/>
    <n v="7448687816"/>
    <n v="112824717"/>
    <n v="-5.6182987848463286"/>
    <x v="1114"/>
    <x v="0"/>
    <x v="1"/>
    <x v="1"/>
  </r>
  <r>
    <x v="1312"/>
    <s v="NORTH EAST CARRY CORP LTD"/>
    <n v="12.75"/>
    <n v="13"/>
    <n v="12"/>
    <n v="12.02"/>
    <n v="12.99"/>
    <n v="110693"/>
    <n v="556"/>
    <n v="1202000000"/>
    <n v="100000000"/>
    <n v="-7.4672825250192503"/>
    <x v="156"/>
    <x v="0"/>
    <x v="1"/>
    <x v="1"/>
  </r>
  <r>
    <x v="1313"/>
    <s v="NECTAR LIFESCIENCES LTD."/>
    <n v="10.9"/>
    <n v="10.9"/>
    <n v="10.42"/>
    <n v="10.42"/>
    <n v="10.96"/>
    <n v="509486"/>
    <n v="877"/>
    <n v="2024199307"/>
    <n v="194260970"/>
    <n v="-4.9270072992700804"/>
    <x v="176"/>
    <x v="0"/>
    <x v="1"/>
    <x v="1"/>
  </r>
  <r>
    <x v="1314"/>
    <s v="NELCAST LIMITED"/>
    <n v="117.44"/>
    <n v="119.9"/>
    <n v="116"/>
    <n v="118.35"/>
    <n v="119.83"/>
    <n v="135415"/>
    <n v="1600"/>
    <n v="10296592020"/>
    <n v="87001200"/>
    <n v="-1.235083034298593"/>
    <x v="1115"/>
    <x v="1"/>
    <x v="1"/>
    <x v="1"/>
  </r>
  <r>
    <x v="1315"/>
    <s v="NELCO LTD"/>
    <n v="585"/>
    <n v="585"/>
    <n v="532.20000000000005"/>
    <n v="537.95000000000005"/>
    <n v="587.35"/>
    <n v="113139"/>
    <n v="6417"/>
    <n v="12275158280"/>
    <n v="22818400"/>
    <n v="-8.4106580403507234"/>
    <x v="1116"/>
    <x v="0"/>
    <x v="1"/>
    <x v="1"/>
  </r>
  <r>
    <x v="1316"/>
    <s v="NEOGEN CHEMICALS LIMITED"/>
    <n v="1310"/>
    <n v="1325"/>
    <n v="1244.4000000000001"/>
    <n v="1249.5999999999999"/>
    <n v="1336.4"/>
    <n v="58499"/>
    <n v="7032"/>
    <n v="32966539830"/>
    <n v="26381674"/>
    <n v="-6.4950613588746018"/>
    <x v="336"/>
    <x v="0"/>
    <x v="1"/>
    <x v="1"/>
  </r>
  <r>
    <x v="1317"/>
    <s v="NEPHROCARE HEALTH SERV L"/>
    <n v="530.35"/>
    <n v="535"/>
    <n v="489.85"/>
    <n v="501"/>
    <n v="532.9"/>
    <n v="92031"/>
    <n v="4758"/>
    <n v="50270699217"/>
    <n v="100340717"/>
    <n v="-5.98611371739538"/>
    <x v="1117"/>
    <x v="0"/>
    <x v="2"/>
    <x v="1"/>
  </r>
  <r>
    <x v="1318"/>
    <s v="NESCO LTD."/>
    <n v="1040"/>
    <n v="1042.8"/>
    <n v="1000.1"/>
    <n v="1016.9"/>
    <n v="1055.4000000000001"/>
    <n v="115378"/>
    <n v="7762"/>
    <n v="71650733324"/>
    <n v="70459960"/>
    <n v="-3.6479060072010716"/>
    <x v="1118"/>
    <x v="0"/>
    <x v="2"/>
    <x v="1"/>
  </r>
  <r>
    <x v="1319"/>
    <s v="NETWEB TECH INDIA LTD"/>
    <n v="3245"/>
    <n v="3246"/>
    <n v="3061.9"/>
    <n v="3087.6"/>
    <n v="3284.4"/>
    <n v="960357"/>
    <n v="67014"/>
    <n v="175000000000"/>
    <n v="56653868"/>
    <n v="-5.9919620021921869"/>
    <x v="1119"/>
    <x v="0"/>
    <x v="2"/>
    <x v="1"/>
  </r>
  <r>
    <x v="1320"/>
    <s v="NETWORK18 MEDIA &amp; INV LTD"/>
    <n v="30.6"/>
    <n v="30.6"/>
    <n v="29.02"/>
    <n v="29.21"/>
    <n v="30.91"/>
    <n v="6443624"/>
    <n v="15391"/>
    <n v="45041820526"/>
    <n v="1542000018"/>
    <n v="-5.4998382400517611"/>
    <x v="1120"/>
    <x v="0"/>
    <x v="1"/>
    <x v="0"/>
  </r>
  <r>
    <x v="1321"/>
    <s v="NEULAND LAB LTD."/>
    <n v="11801"/>
    <n v="11936"/>
    <n v="11500"/>
    <n v="11555"/>
    <n v="11995"/>
    <n v="23060"/>
    <n v="8913"/>
    <n v="148000000000"/>
    <n v="12829889"/>
    <n v="-3.6681950812838684"/>
    <x v="1121"/>
    <x v="0"/>
    <x v="2"/>
    <x v="1"/>
  </r>
  <r>
    <x v="1322"/>
    <s v="NEWGEN SOFTWARE TECH LTD"/>
    <n v="435"/>
    <n v="435"/>
    <n v="415"/>
    <n v="420.55"/>
    <n v="440.6"/>
    <n v="854702"/>
    <n v="21515"/>
    <n v="59851745323"/>
    <n v="142317787"/>
    <n v="-4.5506128007262854"/>
    <x v="180"/>
    <x v="0"/>
    <x v="2"/>
    <x v="1"/>
  </r>
  <r>
    <x v="1323"/>
    <s v="NEXT MEDIAWORKS LIMITED"/>
    <n v="4.0999999999999996"/>
    <n v="4.0999999999999996"/>
    <n v="3.51"/>
    <n v="3.79"/>
    <n v="4.16"/>
    <n v="95959"/>
    <n v="371"/>
    <n v="253524121.30000001"/>
    <n v="66892908"/>
    <n v="-8.8942307692307701"/>
    <x v="310"/>
    <x v="0"/>
    <x v="1"/>
    <x v="1"/>
  </r>
  <r>
    <x v="1324"/>
    <s v="NATIONAL FERT. LTD"/>
    <n v="68.95"/>
    <n v="68.95"/>
    <n v="66.05"/>
    <n v="67.400000000000006"/>
    <n v="69.39"/>
    <n v="1828375"/>
    <n v="11839"/>
    <n v="33064984160"/>
    <n v="490578400"/>
    <n v="-2.8678483931402146"/>
    <x v="1122"/>
    <x v="0"/>
    <x v="1"/>
    <x v="0"/>
  </r>
  <r>
    <x v="1325"/>
    <s v="NAKODA GROUP OF IND. LTD"/>
    <n v="24.73"/>
    <n v="24.92"/>
    <n v="22.2"/>
    <n v="22.39"/>
    <n v="24.14"/>
    <n v="8221"/>
    <n v="156"/>
    <n v="392676984.30000001"/>
    <n v="17538052"/>
    <n v="-7.2493786246893119"/>
    <x v="1123"/>
    <x v="0"/>
    <x v="1"/>
    <x v="1"/>
  </r>
  <r>
    <x v="1326"/>
    <s v="NGL FINE CHEM LIMITED"/>
    <n v="2180"/>
    <n v="2180"/>
    <n v="2007"/>
    <n v="2044.7"/>
    <n v="2183.8000000000002"/>
    <n v="4131"/>
    <n v="1000"/>
    <n v="12632205673"/>
    <n v="6178024"/>
    <n v="-6.3696309185822937"/>
    <x v="89"/>
    <x v="0"/>
    <x v="1"/>
    <x v="1"/>
  </r>
  <r>
    <x v="1327"/>
    <s v="NARAYANA HRUDAYALAYA LTD."/>
    <n v="1644"/>
    <n v="1651"/>
    <n v="1600.3"/>
    <n v="1624.6"/>
    <n v="1652.2"/>
    <n v="258931"/>
    <n v="30804"/>
    <n v="332000000000"/>
    <n v="204360804"/>
    <n v="-1.670499939474648"/>
    <x v="1124"/>
    <x v="0"/>
    <x v="0"/>
    <x v="1"/>
  </r>
  <r>
    <x v="1328"/>
    <s v="NHPC LTD"/>
    <n v="76.8"/>
    <n v="77.17"/>
    <n v="74.7"/>
    <n v="75.28"/>
    <n v="76.8"/>
    <n v="11883610"/>
    <n v="43160"/>
    <n v="756000000000"/>
    <n v="10045034805"/>
    <n v="-1.9791666666666616"/>
    <x v="1125"/>
    <x v="0"/>
    <x v="0"/>
    <x v="0"/>
  </r>
  <r>
    <x v="1329"/>
    <s v="THE NEW INDIA ASSU CO LTD"/>
    <n v="131.55000000000001"/>
    <n v="131.55000000000001"/>
    <n v="124"/>
    <n v="124.65"/>
    <n v="132.51"/>
    <n v="635051"/>
    <n v="12627"/>
    <n v="205000000000"/>
    <n v="1648000000"/>
    <n v="-5.9316278016753339"/>
    <x v="46"/>
    <x v="0"/>
    <x v="0"/>
    <x v="1"/>
  </r>
  <r>
    <x v="1330"/>
    <s v="NIBE LIMITED"/>
    <n v="955.2"/>
    <n v="955.2"/>
    <n v="887.5"/>
    <n v="891.6"/>
    <n v="956.7"/>
    <n v="66078"/>
    <n v="5107"/>
    <n v="12929335007"/>
    <n v="14501273"/>
    <n v="-6.8046409532768912"/>
    <x v="1126"/>
    <x v="0"/>
    <x v="1"/>
    <x v="1"/>
  </r>
  <r>
    <x v="1331"/>
    <s v="NRB INDUS. BEARINGS LTD."/>
    <n v="28.62"/>
    <n v="29.7"/>
    <n v="27.45"/>
    <n v="27.68"/>
    <n v="28.99"/>
    <n v="33888"/>
    <n v="266"/>
    <n v="670704392"/>
    <n v="24230650"/>
    <n v="-4.5187995860641559"/>
    <x v="347"/>
    <x v="0"/>
    <x v="1"/>
    <x v="1"/>
  </r>
  <r>
    <x v="1332"/>
    <s v="NIIT LIMITED"/>
    <n v="57.5"/>
    <n v="57.9"/>
    <n v="54.1"/>
    <n v="54.36"/>
    <n v="59.71"/>
    <n v="1253098"/>
    <n v="11906"/>
    <n v="7413821139"/>
    <n v="136383759"/>
    <n v="-8.9599732038184587"/>
    <x v="746"/>
    <x v="0"/>
    <x v="1"/>
    <x v="0"/>
  </r>
  <r>
    <x v="1333"/>
    <s v="NIIT LEARNING SYSTEMS LTD"/>
    <n v="295"/>
    <n v="305.60000000000002"/>
    <n v="284.64999999999998"/>
    <n v="291.2"/>
    <n v="298.95"/>
    <n v="98058"/>
    <n v="2144"/>
    <n v="39933839837"/>
    <n v="137135439"/>
    <n v="-2.5924067569827733"/>
    <x v="1127"/>
    <x v="0"/>
    <x v="1"/>
    <x v="1"/>
  </r>
  <r>
    <x v="1334"/>
    <s v="NILA INFRASTRUCTURES LTD"/>
    <n v="6.95"/>
    <n v="6.95"/>
    <n v="6.72"/>
    <n v="6.8"/>
    <n v="7.08"/>
    <n v="691515"/>
    <n v="865"/>
    <n v="2678446560"/>
    <n v="393889200"/>
    <n v="-3.9548022598870096"/>
    <x v="1128"/>
    <x v="0"/>
    <x v="1"/>
    <x v="1"/>
  </r>
  <r>
    <x v="1335"/>
    <s v="NILA SPACES LIMITED"/>
    <n v="12.2"/>
    <n v="12.5"/>
    <n v="11.75"/>
    <n v="11.88"/>
    <n v="12.49"/>
    <n v="1370269"/>
    <n v="1865"/>
    <n v="4679403696"/>
    <n v="393889200"/>
    <n v="-4.8839071257005564"/>
    <x v="239"/>
    <x v="0"/>
    <x v="1"/>
    <x v="0"/>
  </r>
  <r>
    <x v="1336"/>
    <s v="NILKAMAL LIMITED"/>
    <n v="1217.2"/>
    <n v="1217.2"/>
    <n v="1118.9000000000001"/>
    <n v="1126.9000000000001"/>
    <n v="1217.3"/>
    <n v="12410"/>
    <n v="1305"/>
    <n v="16816193423"/>
    <n v="14922525"/>
    <n v="-7.4262712560584792"/>
    <x v="1129"/>
    <x v="0"/>
    <x v="1"/>
    <x v="1"/>
  </r>
  <r>
    <x v="1337"/>
    <s v="NINTEC SYSTEMS LIMITED"/>
    <n v="304.95"/>
    <n v="304.95"/>
    <n v="282.45"/>
    <n v="286.60000000000002"/>
    <n v="290.2"/>
    <n v="5398"/>
    <n v="224"/>
    <n v="5323881600"/>
    <n v="18576000"/>
    <n v="-1.2405237767057085"/>
    <x v="94"/>
    <x v="0"/>
    <x v="1"/>
    <x v="1"/>
  </r>
  <r>
    <x v="1338"/>
    <s v="INDO-NATIONAL LIMITED"/>
    <n v="294.7"/>
    <n v="295.25"/>
    <n v="268"/>
    <n v="273.55"/>
    <n v="293.89999999999998"/>
    <n v="24581"/>
    <n v="1220"/>
    <n v="2051625000"/>
    <n v="7500000"/>
    <n v="-6.9241238516502097"/>
    <x v="1130"/>
    <x v="0"/>
    <x v="1"/>
    <x v="1"/>
  </r>
  <r>
    <x v="1339"/>
    <s v="NIRAJ CEMENT STRUC LTD"/>
    <n v="25.94"/>
    <n v="26.99"/>
    <n v="23.13"/>
    <n v="23.61"/>
    <n v="25.43"/>
    <n v="68692"/>
    <n v="906"/>
    <n v="1409383367"/>
    <n v="59694340"/>
    <n v="-7.1569012976799069"/>
    <x v="1131"/>
    <x v="0"/>
    <x v="1"/>
    <x v="1"/>
  </r>
  <r>
    <x v="1340"/>
    <s v="NITCO LIMITED"/>
    <n v="80.16"/>
    <n v="84.63"/>
    <n v="74.31"/>
    <n v="76.239999999999995"/>
    <n v="81.38"/>
    <n v="951020"/>
    <n v="5245"/>
    <n v="17467811845"/>
    <n v="229116105"/>
    <n v="-6.3160481690833148"/>
    <x v="1132"/>
    <x v="0"/>
    <x v="1"/>
    <x v="1"/>
  </r>
  <r>
    <x v="1341"/>
    <s v="NITIN SPINNERS LIMITED"/>
    <n v="361.15"/>
    <n v="362.95"/>
    <n v="350"/>
    <n v="353.55"/>
    <n v="368.5"/>
    <n v="93255"/>
    <n v="3326"/>
    <n v="19876581000"/>
    <n v="56220000"/>
    <n v="-4.0569877883310683"/>
    <x v="1133"/>
    <x v="0"/>
    <x v="1"/>
    <x v="1"/>
  </r>
  <r>
    <x v="1342"/>
    <s v="NITIRAJ ENGINEERS LTD"/>
    <n v="217.96"/>
    <n v="217.96"/>
    <n v="206.83"/>
    <n v="216.16"/>
    <n v="217.96"/>
    <n v="3145"/>
    <n v="260"/>
    <n v="2215856160"/>
    <n v="10251000"/>
    <n v="-0.82583960359699538"/>
    <x v="1134"/>
    <x v="0"/>
    <x v="1"/>
    <x v="1"/>
  </r>
  <r>
    <x v="1343"/>
    <s v="NIVA BUPA HEALTH INS CO L"/>
    <n v="69.489999999999995"/>
    <n v="71.010000000000005"/>
    <n v="67.989999999999995"/>
    <n v="68.400000000000006"/>
    <n v="70"/>
    <n v="785887"/>
    <n v="17554"/>
    <n v="126000000000"/>
    <n v="1847110571"/>
    <n v="-2.2857142857142776"/>
    <x v="1135"/>
    <x v="0"/>
    <x v="2"/>
    <x v="1"/>
  </r>
  <r>
    <x v="1344"/>
    <s v="NK INDUSTRIES LTD"/>
    <n v="67"/>
    <n v="67"/>
    <n v="62.4"/>
    <n v="62.49"/>
    <n v="64.89"/>
    <n v="844"/>
    <n v="20"/>
    <n v="375558651"/>
    <n v="6009900"/>
    <n v="-3.6985668053629199"/>
    <x v="1136"/>
    <x v="0"/>
    <x v="1"/>
    <x v="1"/>
  </r>
  <r>
    <x v="1345"/>
    <s v="NLC INDIA LIMITED"/>
    <n v="266.35000000000002"/>
    <n v="267"/>
    <n v="250.4"/>
    <n v="253.8"/>
    <n v="266.35000000000002"/>
    <n v="2060768"/>
    <n v="36631"/>
    <n v="352000000000"/>
    <n v="1386636609"/>
    <n v="-4.7118453163131253"/>
    <x v="1137"/>
    <x v="0"/>
    <x v="0"/>
    <x v="0"/>
  </r>
  <r>
    <x v="1346"/>
    <s v="NMDC LTD."/>
    <n v="78.75"/>
    <n v="78.760000000000005"/>
    <n v="74.55"/>
    <n v="75.09"/>
    <n v="79.78"/>
    <n v="35184834"/>
    <n v="90051"/>
    <n v="660000000000"/>
    <n v="8791817550"/>
    <n v="-5.8786663324141362"/>
    <x v="1138"/>
    <x v="0"/>
    <x v="0"/>
    <x v="0"/>
  </r>
  <r>
    <x v="1347"/>
    <s v="NOCIL LIMITED"/>
    <n v="142"/>
    <n v="165.48"/>
    <n v="142"/>
    <n v="160.34"/>
    <n v="143.96"/>
    <n v="90690512"/>
    <n v="411236"/>
    <n v="26780777276"/>
    <n v="167024930"/>
    <n v="11.378160600166709"/>
    <x v="1139"/>
    <x v="1"/>
    <x v="1"/>
    <x v="0"/>
  </r>
  <r>
    <x v="1348"/>
    <s v="NOIDA TOLL BRIDGE CO LTD"/>
    <n v="3.5"/>
    <n v="3.5"/>
    <n v="3.17"/>
    <n v="3.19"/>
    <n v="3.39"/>
    <n v="218781"/>
    <n v="399"/>
    <n v="593962056.39999998"/>
    <n v="186195002"/>
    <n v="-5.8997050147492676"/>
    <x v="942"/>
    <x v="0"/>
    <x v="1"/>
    <x v="1"/>
  </r>
  <r>
    <x v="1349"/>
    <s v="NORTHERN ARC CAPITAL LTD"/>
    <n v="231.1"/>
    <n v="231.1"/>
    <n v="219"/>
    <n v="220.9"/>
    <n v="234.25"/>
    <n v="616686"/>
    <n v="10145"/>
    <n v="35691227188"/>
    <n v="161571875"/>
    <n v="-5.6990394877267851"/>
    <x v="1140"/>
    <x v="0"/>
    <x v="1"/>
    <x v="1"/>
  </r>
  <r>
    <x v="1350"/>
    <s v="NOVA AGRITECH LIMITED"/>
    <n v="22.7"/>
    <n v="23.17"/>
    <n v="20.99"/>
    <n v="21.33"/>
    <n v="22.72"/>
    <n v="259385"/>
    <n v="2430"/>
    <n v="1973447611"/>
    <n v="92519813"/>
    <n v="-6.1179577464788766"/>
    <x v="1141"/>
    <x v="0"/>
    <x v="1"/>
    <x v="1"/>
  </r>
  <r>
    <x v="1351"/>
    <s v="NETWORK PEOPLE SRV TECH L"/>
    <n v="1107.9000000000001"/>
    <n v="1119"/>
    <n v="1050"/>
    <n v="1060.9000000000001"/>
    <n v="1105.9000000000001"/>
    <n v="86825"/>
    <n v="5568"/>
    <n v="22111012575"/>
    <n v="20841750"/>
    <n v="-4.0690840039786593"/>
    <x v="1142"/>
    <x v="0"/>
    <x v="1"/>
    <x v="1"/>
  </r>
  <r>
    <x v="1352"/>
    <s v="N R AGARWAL INDS LTD"/>
    <n v="410"/>
    <n v="410"/>
    <n v="385"/>
    <n v="388.95"/>
    <n v="420"/>
    <n v="3421"/>
    <n v="286"/>
    <n v="6619578945"/>
    <n v="17019100"/>
    <n v="-7.3928571428571459"/>
    <x v="821"/>
    <x v="0"/>
    <x v="1"/>
    <x v="1"/>
  </r>
  <r>
    <x v="1353"/>
    <s v="NRB BEARING LIMITED"/>
    <n v="242"/>
    <n v="242"/>
    <n v="226.25"/>
    <n v="228.3"/>
    <n v="242.6"/>
    <n v="326628"/>
    <n v="5413"/>
    <n v="22127429580"/>
    <n v="96922600"/>
    <n v="-5.8944765045342056"/>
    <x v="1143"/>
    <x v="0"/>
    <x v="1"/>
    <x v="1"/>
  </r>
  <r>
    <x v="1354"/>
    <s v="NUPUR RECYCLERS LIMITED"/>
    <n v="49.6"/>
    <n v="51.16"/>
    <n v="46.2"/>
    <n v="47.26"/>
    <n v="50.04"/>
    <n v="86883"/>
    <n v="1313"/>
    <n v="3264200704"/>
    <n v="69068995"/>
    <n v="-5.555555555555558"/>
    <x v="1144"/>
    <x v="0"/>
    <x v="1"/>
    <x v="1"/>
  </r>
  <r>
    <x v="1355"/>
    <s v="NALWA SONS INVESTMENT LTD"/>
    <n v="5310"/>
    <n v="5360.5"/>
    <n v="5075"/>
    <n v="5122"/>
    <n v="5365.5"/>
    <n v="9759"/>
    <n v="1239"/>
    <n v="26307426886"/>
    <n v="5136163"/>
    <n v="-4.5382536576274353"/>
    <x v="1145"/>
    <x v="0"/>
    <x v="1"/>
    <x v="1"/>
  </r>
  <r>
    <x v="1356"/>
    <s v="NMDC STEEL LIMITED"/>
    <n v="36.5"/>
    <n v="36.51"/>
    <n v="34.1"/>
    <n v="34.340000000000003"/>
    <n v="36.700000000000003"/>
    <n v="12962935"/>
    <n v="22682"/>
    <n v="101000000000"/>
    <n v="2930605850"/>
    <n v="-6.4305177111716603"/>
    <x v="1146"/>
    <x v="0"/>
    <x v="2"/>
    <x v="0"/>
  </r>
  <r>
    <x v="1357"/>
    <s v="NTPC GREEN ENERGY LIMITED"/>
    <n v="100.49"/>
    <n v="100.49"/>
    <n v="93.3"/>
    <n v="96.88"/>
    <n v="101.1"/>
    <n v="20370209"/>
    <n v="98424"/>
    <n v="816000000000"/>
    <n v="8426329669"/>
    <n v="-4.174085064292778"/>
    <x v="14"/>
    <x v="0"/>
    <x v="0"/>
    <x v="0"/>
  </r>
  <r>
    <x v="1358"/>
    <s v="NUCLEUS SOFTWARE EXPORTS"/>
    <n v="815.75"/>
    <n v="818"/>
    <n v="767"/>
    <n v="771.65"/>
    <n v="811.6"/>
    <n v="27163"/>
    <n v="2285"/>
    <n v="20313922375"/>
    <n v="26325306"/>
    <n v="-4.9223755544603307"/>
    <x v="212"/>
    <x v="0"/>
    <x v="1"/>
    <x v="1"/>
  </r>
  <r>
    <x v="1359"/>
    <s v="NURECA LIMITED"/>
    <n v="237.75"/>
    <n v="239"/>
    <n v="220.6"/>
    <n v="222.5"/>
    <n v="237.75"/>
    <n v="26666"/>
    <n v="1535"/>
    <n v="2225038938"/>
    <n v="10000175"/>
    <n v="-6.4143007360672977"/>
    <x v="1147"/>
    <x v="0"/>
    <x v="1"/>
    <x v="1"/>
  </r>
  <r>
    <x v="1360"/>
    <s v="NUVAMA WEALTH MANAGE LTD"/>
    <n v="1140"/>
    <n v="1141.8"/>
    <n v="1096.9000000000001"/>
    <n v="1110.5999999999999"/>
    <n v="1147.5"/>
    <n v="388532"/>
    <n v="20467"/>
    <n v="202000000000"/>
    <n v="181806170"/>
    <n v="-3.2156862745098116"/>
    <x v="1148"/>
    <x v="0"/>
    <x v="0"/>
    <x v="1"/>
  </r>
  <r>
    <x v="1361"/>
    <s v="NUVOCO VISTAS CORP LTD"/>
    <n v="285.5"/>
    <n v="285.5"/>
    <n v="279.7"/>
    <n v="282.35000000000002"/>
    <n v="286.2"/>
    <n v="221290"/>
    <n v="6837"/>
    <n v="101000000000"/>
    <n v="357156153"/>
    <n v="-1.345213137665956"/>
    <x v="34"/>
    <x v="0"/>
    <x v="2"/>
    <x v="1"/>
  </r>
  <r>
    <x v="1362"/>
    <s v="FSN E COMMERCE VENTURES"/>
    <n v="235"/>
    <n v="236.9"/>
    <n v="232.9"/>
    <n v="234.75"/>
    <n v="240.6"/>
    <n v="4174364"/>
    <n v="46942"/>
    <n v="672000000000"/>
    <n v="2861722531"/>
    <n v="-2.4314214463840376"/>
    <x v="199"/>
    <x v="0"/>
    <x v="0"/>
    <x v="0"/>
  </r>
  <r>
    <x v="1363"/>
    <s v="ORIENTAL AROMATICS LTD"/>
    <n v="248"/>
    <n v="250.6"/>
    <n v="235"/>
    <n v="239.15"/>
    <n v="252.65"/>
    <n v="22205"/>
    <n v="863"/>
    <n v="8048252700"/>
    <n v="33653576"/>
    <n v="-5.3433603799722933"/>
    <x v="1149"/>
    <x v="0"/>
    <x v="1"/>
    <x v="1"/>
  </r>
  <r>
    <x v="1364"/>
    <s v="ORISSA BENGAL CARRIER LTD"/>
    <n v="55.06"/>
    <n v="55.51"/>
    <n v="54.01"/>
    <n v="54.1"/>
    <n v="56"/>
    <n v="3007"/>
    <n v="97"/>
    <n v="1140578939"/>
    <n v="21082790"/>
    <n v="-3.3928571428571406"/>
    <x v="932"/>
    <x v="0"/>
    <x v="1"/>
    <x v="1"/>
  </r>
  <r>
    <x v="1365"/>
    <s v="OBEROI REALTY LIMITED"/>
    <n v="1420"/>
    <n v="1445.8"/>
    <n v="1391.2"/>
    <n v="1411.5"/>
    <n v="1445.8"/>
    <n v="556616"/>
    <n v="28950"/>
    <n v="513000000000"/>
    <n v="363602237"/>
    <n v="-2.3723889887951275"/>
    <x v="811"/>
    <x v="0"/>
    <x v="0"/>
    <x v="1"/>
  </r>
  <r>
    <x v="1366"/>
    <s v="OCCL LIMITED"/>
    <n v="86.9"/>
    <n v="86.9"/>
    <n v="81.09"/>
    <n v="83.14"/>
    <n v="87.8"/>
    <n v="109426"/>
    <n v="2068"/>
    <n v="4152881244"/>
    <n v="49950460"/>
    <n v="-5.3075170842824564"/>
    <x v="1150"/>
    <x v="0"/>
    <x v="1"/>
    <x v="1"/>
  </r>
  <r>
    <x v="1367"/>
    <s v="ODIGMA CONSULTANCY SOL L"/>
    <n v="22.45"/>
    <n v="23.49"/>
    <n v="21"/>
    <n v="21.27"/>
    <n v="22.97"/>
    <n v="24363"/>
    <n v="701"/>
    <n v="664867231.5"/>
    <n v="31258450"/>
    <n v="-7.4009577710056558"/>
    <x v="1151"/>
    <x v="0"/>
    <x v="1"/>
    <x v="1"/>
  </r>
  <r>
    <x v="1368"/>
    <s v="ORACLE FIN SERV SOFT LTD."/>
    <n v="6490"/>
    <n v="6535"/>
    <n v="6401"/>
    <n v="6445"/>
    <n v="6580"/>
    <n v="118364"/>
    <n v="25125"/>
    <n v="561000000000"/>
    <n v="87016901"/>
    <n v="-2.0516717325227964"/>
    <x v="1152"/>
    <x v="0"/>
    <x v="0"/>
    <x v="1"/>
  </r>
  <r>
    <x v="1369"/>
    <s v="OIL INDIA LTD"/>
    <n v="475.75"/>
    <n v="480.6"/>
    <n v="462.85"/>
    <n v="464.65"/>
    <n v="475.5"/>
    <n v="3239580"/>
    <n v="40061"/>
    <n v="756000000000"/>
    <n v="1626607791"/>
    <n v="-2.2818086225026337"/>
    <x v="8"/>
    <x v="0"/>
    <x v="0"/>
    <x v="0"/>
  </r>
  <r>
    <x v="1370"/>
    <s v="OIL COUNTRY TUBULAR LTD"/>
    <n v="41.2"/>
    <n v="41.2"/>
    <n v="38.75"/>
    <n v="39.1"/>
    <n v="41.4"/>
    <n v="50779"/>
    <n v="638"/>
    <n v="2032790623"/>
    <n v="51989530"/>
    <n v="-5.5555555555555491"/>
    <x v="1153"/>
    <x v="0"/>
    <x v="1"/>
    <x v="1"/>
  </r>
  <r>
    <x v="1371"/>
    <s v="OLA ELECTRIC MOBILITY LTD"/>
    <n v="24.47"/>
    <n v="24.5"/>
    <n v="23.12"/>
    <n v="23.32"/>
    <n v="24.66"/>
    <n v="48421423"/>
    <n v="64935"/>
    <n v="103000000000"/>
    <n v="4410829885"/>
    <n v="-5.4339010543390094"/>
    <x v="1154"/>
    <x v="0"/>
    <x v="2"/>
    <x v="0"/>
  </r>
  <r>
    <x v="1372"/>
    <s v="OLECTRA GREENTECH LIMITED"/>
    <n v="1080"/>
    <n v="1114"/>
    <n v="1015"/>
    <n v="1024"/>
    <n v="1097.4000000000001"/>
    <n v="1856029"/>
    <n v="79012"/>
    <n v="84050674688"/>
    <n v="82080737"/>
    <n v="-6.6885365409148978"/>
    <x v="1155"/>
    <x v="0"/>
    <x v="2"/>
    <x v="0"/>
  </r>
  <r>
    <x v="1373"/>
    <s v="OMAX AUTOS LTD"/>
    <n v="97.2"/>
    <n v="97.21"/>
    <n v="92.2"/>
    <n v="93.73"/>
    <n v="98.2"/>
    <n v="38636"/>
    <n v="1075"/>
    <n v="2003123795"/>
    <n v="21371213"/>
    <n v="-4.551934826883909"/>
    <x v="1156"/>
    <x v="0"/>
    <x v="1"/>
    <x v="1"/>
  </r>
  <r>
    <x v="1374"/>
    <s v="OMAXE LIMITED"/>
    <n v="72"/>
    <n v="72.72"/>
    <n v="68"/>
    <n v="68.45"/>
    <n v="72.05"/>
    <n v="147505"/>
    <n v="1189"/>
    <n v="12519541963"/>
    <n v="182900540"/>
    <n v="-4.9965301873698742"/>
    <x v="1085"/>
    <x v="0"/>
    <x v="1"/>
    <x v="1"/>
  </r>
  <r>
    <x v="1375"/>
    <s v="OM FREIGHT FORWARDERS LTD"/>
    <n v="70"/>
    <n v="70"/>
    <n v="66.22"/>
    <n v="68.2"/>
    <n v="70.61"/>
    <n v="39859"/>
    <n v="681"/>
    <n v="2296665144"/>
    <n v="33675442"/>
    <n v="-3.4131142897606521"/>
    <x v="1157"/>
    <x v="0"/>
    <x v="1"/>
    <x v="1"/>
  </r>
  <r>
    <x v="1376"/>
    <s v="OM INFRA LIMITED"/>
    <n v="83"/>
    <n v="83"/>
    <n v="78.25"/>
    <n v="80.25"/>
    <n v="83.23"/>
    <n v="582539"/>
    <n v="2663"/>
    <n v="7728380672"/>
    <n v="96303809"/>
    <n v="-3.5804397452841572"/>
    <x v="215"/>
    <x v="0"/>
    <x v="1"/>
    <x v="1"/>
  </r>
  <r>
    <x v="1377"/>
    <s v="OMNITECH ENGINEERING LTD"/>
    <n v="239.1"/>
    <n v="239.1"/>
    <n v="213.3"/>
    <n v="222.84"/>
    <n v="243.99"/>
    <n v="885923"/>
    <n v="14997"/>
    <n v="27557735897"/>
    <n v="123666020"/>
    <n v="-8.668388048690522"/>
    <x v="1158"/>
    <x v="0"/>
    <x v="1"/>
    <x v="1"/>
  </r>
  <r>
    <x v="1378"/>
    <s v="ONELIFE CAP ADVISORS LTD"/>
    <n v="14.5"/>
    <n v="14.79"/>
    <n v="14.27"/>
    <n v="14.5"/>
    <n v="14.27"/>
    <n v="35732"/>
    <n v="117"/>
    <n v="541720000"/>
    <n v="37360000"/>
    <n v="1.6117729502452729"/>
    <x v="1159"/>
    <x v="0"/>
    <x v="1"/>
    <x v="1"/>
  </r>
  <r>
    <x v="1379"/>
    <s v="ONE POINT ONE SOL LTD"/>
    <n v="43.84"/>
    <n v="43.84"/>
    <n v="41.75"/>
    <n v="43.1"/>
    <n v="44.52"/>
    <n v="1201739"/>
    <n v="6370"/>
    <n v="11331889195"/>
    <n v="262920863"/>
    <n v="-3.1895777178796081"/>
    <x v="1160"/>
    <x v="0"/>
    <x v="1"/>
    <x v="0"/>
  </r>
  <r>
    <x v="1380"/>
    <s v="ONESOURCE SPECL PHARMA L"/>
    <n v="1415.5"/>
    <n v="1427.9"/>
    <n v="1356.6"/>
    <n v="1389.1"/>
    <n v="1456.4"/>
    <n v="269491"/>
    <n v="28093"/>
    <n v="159000000000"/>
    <n v="114585136"/>
    <n v="-4.6209832463609022"/>
    <x v="1161"/>
    <x v="0"/>
    <x v="2"/>
    <x v="1"/>
  </r>
  <r>
    <x v="1381"/>
    <s v="ONMOBILE GLOBAL LTD."/>
    <n v="48.3"/>
    <n v="48.54"/>
    <n v="46.1"/>
    <n v="46.48"/>
    <n v="49.28"/>
    <n v="207477"/>
    <n v="1803"/>
    <n v="4941816395"/>
    <n v="106321351"/>
    <n v="-5.6818181818181905"/>
    <x v="1093"/>
    <x v="0"/>
    <x v="1"/>
    <x v="1"/>
  </r>
  <r>
    <x v="1382"/>
    <s v="ONWARD TECHNOLOGIES LTD"/>
    <n v="234.7"/>
    <n v="235.25"/>
    <n v="219.05"/>
    <n v="221.55"/>
    <n v="238.8"/>
    <n v="124373"/>
    <n v="3171"/>
    <n v="5038705004"/>
    <n v="22742970"/>
    <n v="-7.2236180904522609"/>
    <x v="1162"/>
    <x v="0"/>
    <x v="1"/>
    <x v="1"/>
  </r>
  <r>
    <x v="1383"/>
    <s v="OPTIEMUS INFRACOM LTD"/>
    <n v="327.60000000000002"/>
    <n v="339.8"/>
    <n v="305.3"/>
    <n v="323.45"/>
    <n v="334.2"/>
    <n v="821366"/>
    <n v="17938"/>
    <n v="28531403530"/>
    <n v="88209626"/>
    <n v="-3.2166367444643926"/>
    <x v="1163"/>
    <x v="0"/>
    <x v="1"/>
    <x v="1"/>
  </r>
  <r>
    <x v="1384"/>
    <s v="ORBIT EXPORTS LIMITED"/>
    <n v="148.81"/>
    <n v="153"/>
    <n v="144"/>
    <n v="144"/>
    <n v="148.81"/>
    <n v="24629"/>
    <n v="112"/>
    <n v="3817605888"/>
    <n v="26511152"/>
    <n v="-3.2323096566091003"/>
    <x v="729"/>
    <x v="0"/>
    <x v="1"/>
    <x v="1"/>
  </r>
  <r>
    <x v="1385"/>
    <s v="ORCHASP LIMITED"/>
    <n v="2.19"/>
    <n v="2.25"/>
    <n v="2.0499999999999998"/>
    <n v="2.14"/>
    <n v="2.23"/>
    <n v="329280"/>
    <n v="287"/>
    <n v="741350283.29999995"/>
    <n v="346425366"/>
    <n v="-4.0358744394618773"/>
    <x v="346"/>
    <x v="0"/>
    <x v="1"/>
    <x v="1"/>
  </r>
  <r>
    <x v="1386"/>
    <s v="ORCHID PHARMA LIMITED"/>
    <n v="526.45000000000005"/>
    <n v="526.45000000000005"/>
    <n v="504.35"/>
    <n v="509.75"/>
    <n v="532.54999999999995"/>
    <n v="58722"/>
    <n v="3411"/>
    <n v="25854063774"/>
    <n v="50719105"/>
    <n v="-4.2812881419584929"/>
    <x v="1164"/>
    <x v="0"/>
    <x v="1"/>
    <x v="1"/>
  </r>
  <r>
    <x v="1387"/>
    <s v="ORICON ENTERPRISES LTD"/>
    <n v="67.5"/>
    <n v="67.989999999999995"/>
    <n v="61.6"/>
    <n v="63.36"/>
    <n v="67.5"/>
    <n v="293335"/>
    <n v="1438"/>
    <n v="9950543222"/>
    <n v="157047715"/>
    <n v="-6.1333333333333346"/>
    <x v="1165"/>
    <x v="0"/>
    <x v="1"/>
    <x v="1"/>
  </r>
  <r>
    <x v="1388"/>
    <s v="ORIENTAL TRIMEX LTD"/>
    <n v="5.04"/>
    <n v="5.12"/>
    <n v="4.91"/>
    <n v="4.9800000000000004"/>
    <n v="5.09"/>
    <n v="259797"/>
    <n v="758"/>
    <n v="366066179.69999999"/>
    <n v="73507265"/>
    <n v="-2.1611001964636429"/>
    <x v="1166"/>
    <x v="0"/>
    <x v="1"/>
    <x v="1"/>
  </r>
  <r>
    <x v="1389"/>
    <s v="ORIENT BELL LIMITED"/>
    <n v="273.95"/>
    <n v="273.95"/>
    <n v="253"/>
    <n v="256"/>
    <n v="275.10000000000002"/>
    <n v="14498"/>
    <n v="802"/>
    <n v="3762553856"/>
    <n v="14697476"/>
    <n v="-6.9429298436932099"/>
    <x v="1167"/>
    <x v="0"/>
    <x v="1"/>
    <x v="1"/>
  </r>
  <r>
    <x v="1390"/>
    <s v="ORIENT CEMENT LTD."/>
    <n v="131.6"/>
    <n v="131.6"/>
    <n v="123.21"/>
    <n v="124.38"/>
    <n v="132.37"/>
    <n v="551274"/>
    <n v="7444"/>
    <n v="25555099004"/>
    <n v="205459873"/>
    <n v="-6.0361109012616216"/>
    <x v="1168"/>
    <x v="0"/>
    <x v="1"/>
    <x v="1"/>
  </r>
  <r>
    <x v="1391"/>
    <s v="ORIENT CERATECH LIMITED"/>
    <n v="38.85"/>
    <n v="39.07"/>
    <n v="35.85"/>
    <n v="36.24"/>
    <n v="38.65"/>
    <n v="74454"/>
    <n v="1342"/>
    <n v="4335724608"/>
    <n v="119639200"/>
    <n v="-6.2354463130659683"/>
    <x v="1169"/>
    <x v="0"/>
    <x v="1"/>
    <x v="1"/>
  </r>
  <r>
    <x v="1392"/>
    <s v="ORIENT ELECTRIC LIMITED"/>
    <n v="166.34"/>
    <n v="166.34"/>
    <n v="159"/>
    <n v="159.97"/>
    <n v="166.3"/>
    <n v="106084"/>
    <n v="3944"/>
    <n v="34132142863"/>
    <n v="213365899"/>
    <n v="-3.8063740228502776"/>
    <x v="1170"/>
    <x v="0"/>
    <x v="1"/>
    <x v="1"/>
  </r>
  <r>
    <x v="1393"/>
    <s v="ORIENT HOTELS LTD"/>
    <n v="90"/>
    <n v="90.57"/>
    <n v="88.12"/>
    <n v="90"/>
    <n v="91.8"/>
    <n v="583891"/>
    <n v="2395"/>
    <n v="16073926200"/>
    <n v="178599180"/>
    <n v="-1.960784313725487"/>
    <x v="1171"/>
    <x v="0"/>
    <x v="1"/>
    <x v="1"/>
  </r>
  <r>
    <x v="1394"/>
    <s v="ORIENT PRESS LIMITED"/>
    <n v="59.01"/>
    <n v="60.6"/>
    <n v="55.5"/>
    <n v="57.5"/>
    <n v="58.44"/>
    <n v="5284"/>
    <n v="255"/>
    <n v="575000000"/>
    <n v="10000000"/>
    <n v="-1.6084873374401059"/>
    <x v="1172"/>
    <x v="0"/>
    <x v="1"/>
    <x v="1"/>
  </r>
  <r>
    <x v="1395"/>
    <s v="ORIENT PAPER AND INDS LTD"/>
    <n v="15.5"/>
    <n v="15.78"/>
    <n v="14.8"/>
    <n v="15.02"/>
    <n v="15.67"/>
    <n v="653228"/>
    <n v="1698"/>
    <n v="3187031046"/>
    <n v="212185822"/>
    <n v="-4.1480536056158286"/>
    <x v="1173"/>
    <x v="0"/>
    <x v="1"/>
    <x v="1"/>
  </r>
  <r>
    <x v="1396"/>
    <s v="ORIENT TECHNOLOGIES LTD"/>
    <n v="258.10000000000002"/>
    <n v="262.8"/>
    <n v="246.45"/>
    <n v="247.85"/>
    <n v="262.95"/>
    <n v="218273"/>
    <n v="6497"/>
    <n v="11352996281"/>
    <n v="45805916"/>
    <n v="-5.7425366039170926"/>
    <x v="567"/>
    <x v="0"/>
    <x v="1"/>
    <x v="1"/>
  </r>
  <r>
    <x v="1397"/>
    <s v="ORISSA MIN DEV CO LTD"/>
    <n v="3584"/>
    <n v="3584"/>
    <n v="3262.5"/>
    <n v="3291.3"/>
    <n v="3604"/>
    <n v="21271"/>
    <n v="4026"/>
    <n v="19747800000"/>
    <n v="6000000"/>
    <n v="-8.6764705882352899"/>
    <x v="1174"/>
    <x v="0"/>
    <x v="1"/>
    <x v="1"/>
  </r>
  <r>
    <x v="1398"/>
    <s v="ORKLA INDIA LIMITED"/>
    <n v="567.04999999999995"/>
    <n v="575.5"/>
    <n v="558"/>
    <n v="570.29999999999995"/>
    <n v="569.5"/>
    <n v="117974"/>
    <n v="11352"/>
    <n v="78124957869"/>
    <n v="136989230"/>
    <n v="0.14047410008778832"/>
    <x v="292"/>
    <x v="1"/>
    <x v="2"/>
    <x v="1"/>
  </r>
  <r>
    <x v="1399"/>
    <s v="OSIA HYPER RETAIL LIMITED"/>
    <n v="4.75"/>
    <n v="4.75"/>
    <n v="4.75"/>
    <n v="4.75"/>
    <n v="4.99"/>
    <n v="347732"/>
    <n v="562"/>
    <n v="781726025"/>
    <n v="164573900"/>
    <n v="-4.8096192384769578"/>
    <x v="227"/>
    <x v="0"/>
    <x v="1"/>
    <x v="1"/>
  </r>
  <r>
    <x v="1400"/>
    <s v="OSWAL AGRO MILLS LTD"/>
    <n v="41.65"/>
    <n v="41.65"/>
    <n v="39.51"/>
    <n v="39.75"/>
    <n v="42.08"/>
    <n v="42437"/>
    <n v="828"/>
    <n v="5335832346"/>
    <n v="134234776"/>
    <n v="-5.537072243346004"/>
    <x v="1175"/>
    <x v="0"/>
    <x v="1"/>
    <x v="1"/>
  </r>
  <r>
    <x v="1401"/>
    <s v="OSWAL GREENTECH LIMITED"/>
    <n v="24.9"/>
    <n v="24.99"/>
    <n v="22.43"/>
    <n v="22.94"/>
    <n v="24.9"/>
    <n v="225477"/>
    <n v="1361"/>
    <n v="5891202107"/>
    <n v="256809159"/>
    <n v="-7.8714859437750899"/>
    <x v="1176"/>
    <x v="0"/>
    <x v="1"/>
    <x v="1"/>
  </r>
  <r>
    <x v="1402"/>
    <s v="OSWAL PUMPS LIMITED"/>
    <n v="310"/>
    <n v="310"/>
    <n v="292.64999999999998"/>
    <n v="296.3"/>
    <n v="314.5"/>
    <n v="1013398"/>
    <n v="13626"/>
    <n v="33771507768"/>
    <n v="113977414"/>
    <n v="-5.7869634340222538"/>
    <x v="940"/>
    <x v="0"/>
    <x v="1"/>
    <x v="0"/>
  </r>
  <r>
    <x v="1403"/>
    <s v="SHREEOSWAL S AND CHE LTD"/>
    <n v="11.43"/>
    <n v="11.64"/>
    <n v="11.11"/>
    <n v="11.3"/>
    <n v="11.43"/>
    <n v="16720"/>
    <n v="194"/>
    <n v="1033611000"/>
    <n v="91470000"/>
    <n v="-1.1373578302712075"/>
    <x v="1177"/>
    <x v="0"/>
    <x v="1"/>
    <x v="1"/>
  </r>
  <r>
    <x v="1404"/>
    <s v="PACE DIGITEK LIMITED"/>
    <n v="160"/>
    <n v="160"/>
    <n v="153.81"/>
    <n v="155.38999999999999"/>
    <n v="164.36"/>
    <n v="507031"/>
    <n v="8435"/>
    <n v="33541137703"/>
    <n v="215851327"/>
    <n v="-5.4575322462886513"/>
    <x v="1178"/>
    <x v="0"/>
    <x v="1"/>
    <x v="1"/>
  </r>
  <r>
    <x v="1405"/>
    <s v="PAGE INDUSTRIES LTD"/>
    <n v="31845"/>
    <n v="31850"/>
    <n v="31130"/>
    <n v="31345"/>
    <n v="32005"/>
    <n v="18344"/>
    <n v="7514"/>
    <n v="350000000000"/>
    <n v="11153874"/>
    <n v="-2.0621777847211376"/>
    <x v="1179"/>
    <x v="0"/>
    <x v="0"/>
    <x v="1"/>
  </r>
  <r>
    <x v="1406"/>
    <s v="PAISALO DIGITAL LIMITED"/>
    <n v="34.29"/>
    <n v="35.5"/>
    <n v="32.19"/>
    <n v="34.200000000000003"/>
    <n v="35.07"/>
    <n v="7699976"/>
    <n v="14675"/>
    <n v="31105648091"/>
    <n v="909521874"/>
    <n v="-2.4807527801539706"/>
    <x v="1180"/>
    <x v="0"/>
    <x v="1"/>
    <x v="0"/>
  </r>
  <r>
    <x v="1407"/>
    <s v="PAKKA LIMITED"/>
    <n v="85.1"/>
    <n v="88.57"/>
    <n v="81.94"/>
    <n v="85.69"/>
    <n v="85.11"/>
    <n v="288760"/>
    <n v="3389"/>
    <n v="3851602689"/>
    <n v="44948100"/>
    <n v="0.6814710374809051"/>
    <x v="562"/>
    <x v="1"/>
    <x v="1"/>
    <x v="1"/>
  </r>
  <r>
    <x v="1408"/>
    <s v="PALASH SECURITIES LTD"/>
    <n v="86.45"/>
    <n v="86.46"/>
    <n v="82.22"/>
    <n v="85.92"/>
    <n v="86.44"/>
    <n v="3876"/>
    <n v="94"/>
    <n v="859466523.89999998"/>
    <n v="10003102"/>
    <n v="-0.60157334567329479"/>
    <x v="1181"/>
    <x v="0"/>
    <x v="1"/>
    <x v="1"/>
  </r>
  <r>
    <x v="1409"/>
    <s v="PALRED TECHNOLOGIES LTD"/>
    <n v="28.5"/>
    <n v="28.81"/>
    <n v="27.55"/>
    <n v="27.65"/>
    <n v="28.95"/>
    <n v="23881"/>
    <n v="135"/>
    <n v="338230449.89999998"/>
    <n v="12232566"/>
    <n v="-4.4905008635578607"/>
    <x v="1182"/>
    <x v="0"/>
    <x v="1"/>
    <x v="1"/>
  </r>
  <r>
    <x v="1410"/>
    <s v="PANACEA BIOTEC LTD"/>
    <n v="323.10000000000002"/>
    <n v="329"/>
    <n v="317.95"/>
    <n v="322.05"/>
    <n v="329.65"/>
    <n v="120775"/>
    <n v="3130"/>
    <n v="19725802749"/>
    <n v="61250746"/>
    <n v="-2.3054755043227564"/>
    <x v="1183"/>
    <x v="0"/>
    <x v="1"/>
    <x v="1"/>
  </r>
  <r>
    <x v="1411"/>
    <s v="PANAMA PETROCHEM LTD"/>
    <n v="258.7"/>
    <n v="260"/>
    <n v="252.55"/>
    <n v="253.15"/>
    <n v="262.60000000000002"/>
    <n v="44284"/>
    <n v="705"/>
    <n v="15313954334"/>
    <n v="60493598"/>
    <n v="-3.5986290936786047"/>
    <x v="1184"/>
    <x v="0"/>
    <x v="1"/>
    <x v="1"/>
  </r>
  <r>
    <x v="1412"/>
    <s v="PANSARI DEVELOPERS LTD"/>
    <n v="282.95"/>
    <n v="282.95"/>
    <n v="262.3"/>
    <n v="266.45"/>
    <n v="276.10000000000002"/>
    <n v="324"/>
    <n v="27"/>
    <n v="4648699860"/>
    <n v="17446800"/>
    <n v="-3.495110467222033"/>
    <x v="1185"/>
    <x v="0"/>
    <x v="1"/>
    <x v="1"/>
  </r>
  <r>
    <x v="1413"/>
    <s v="PAR DRUGS AND CHEM LTD"/>
    <n v="86.76"/>
    <n v="88.7"/>
    <n v="83"/>
    <n v="84.78"/>
    <n v="86.76"/>
    <n v="240725"/>
    <n v="318"/>
    <n v="1043187040"/>
    <n v="12304636"/>
    <n v="-2.282157676348552"/>
    <x v="1186"/>
    <x v="0"/>
    <x v="1"/>
    <x v="1"/>
  </r>
  <r>
    <x v="1414"/>
    <s v="PARAMOUNT COMM LTD"/>
    <n v="34.22"/>
    <n v="34.29"/>
    <n v="32.119999999999997"/>
    <n v="32.29"/>
    <n v="34.76"/>
    <n v="1147192"/>
    <n v="4103"/>
    <n v="9855224894"/>
    <n v="305209814"/>
    <n v="-7.105868814729571"/>
    <x v="1187"/>
    <x v="0"/>
    <x v="1"/>
    <x v="0"/>
  </r>
  <r>
    <x v="1415"/>
    <s v="PARADEEP PHOSPHATES LTD"/>
    <n v="109.5"/>
    <n v="110.4"/>
    <n v="105.78"/>
    <n v="106.25"/>
    <n v="110.77"/>
    <n v="4069332"/>
    <n v="35109"/>
    <n v="110000000000"/>
    <n v="1037968989"/>
    <n v="-4.0805272185609791"/>
    <x v="1188"/>
    <x v="0"/>
    <x v="2"/>
    <x v="0"/>
  </r>
  <r>
    <x v="1416"/>
    <s v="PARAG MILK FOODS LTD."/>
    <n v="195.46"/>
    <n v="197.95"/>
    <n v="189"/>
    <n v="189.94"/>
    <n v="198.92"/>
    <n v="1318704"/>
    <n v="16443"/>
    <n v="23763308687"/>
    <n v="125109554"/>
    <n v="-4.5143776392519559"/>
    <x v="1189"/>
    <x v="0"/>
    <x v="1"/>
    <x v="0"/>
  </r>
  <r>
    <x v="1417"/>
    <s v="PARAS DEF AND SPCE TECH L"/>
    <n v="625.15"/>
    <n v="625.5"/>
    <n v="580.5"/>
    <n v="584.6"/>
    <n v="627.20000000000005"/>
    <n v="925304"/>
    <n v="43435"/>
    <n v="47111353118"/>
    <n v="80587330"/>
    <n v="-6.7920918367346967"/>
    <x v="138"/>
    <x v="0"/>
    <x v="1"/>
    <x v="1"/>
  </r>
  <r>
    <x v="1418"/>
    <s v="PARK MEDI WORLD LIMITED"/>
    <n v="198.01"/>
    <n v="198.01"/>
    <n v="185.5"/>
    <n v="187.82"/>
    <n v="199.16"/>
    <n v="535021"/>
    <n v="7497"/>
    <n v="81125254877"/>
    <n v="431930864"/>
    <n v="-5.6939144406507349"/>
    <x v="1190"/>
    <x v="0"/>
    <x v="2"/>
    <x v="1"/>
  </r>
  <r>
    <x v="1419"/>
    <s v="PARKHOTELS"/>
    <n v="106.05"/>
    <n v="107.99"/>
    <n v="102.11"/>
    <n v="103.16"/>
    <n v="108.47"/>
    <n v="536198"/>
    <n v="5549"/>
    <n v="22011687217"/>
    <n v="213374246"/>
    <n v="-4.8953627731169931"/>
    <x v="439"/>
    <x v="0"/>
    <x v="1"/>
    <x v="1"/>
  </r>
  <r>
    <x v="1420"/>
    <s v="PARSVNATH DEVELOPER LTD"/>
    <n v="6.41"/>
    <n v="6.55"/>
    <n v="6.06"/>
    <n v="6.51"/>
    <n v="6.53"/>
    <n v="6918065"/>
    <n v="1865"/>
    <n v="2833029417"/>
    <n v="435181170"/>
    <n v="-0.30627871362940984"/>
    <x v="911"/>
    <x v="1"/>
    <x v="1"/>
    <x v="0"/>
  </r>
  <r>
    <x v="1421"/>
    <s v="PASHUPATI COTSPIN LIMITED"/>
    <n v="999"/>
    <n v="999.1"/>
    <n v="899.95"/>
    <n v="975.8"/>
    <n v="981.1"/>
    <n v="8248"/>
    <n v="1010"/>
    <n v="15402027200"/>
    <n v="15784000"/>
    <n v="-0.5402099684028201"/>
    <x v="1191"/>
    <x v="0"/>
    <x v="1"/>
    <x v="1"/>
  </r>
  <r>
    <x v="1422"/>
    <s v="PASUPATI ACRYLON LIMITED"/>
    <n v="43.79"/>
    <n v="43.8"/>
    <n v="41.5"/>
    <n v="42.05"/>
    <n v="44.58"/>
    <n v="143770"/>
    <n v="1155"/>
    <n v="3748047738"/>
    <n v="89133121"/>
    <n v="-5.6751906684611964"/>
    <x v="883"/>
    <x v="0"/>
    <x v="1"/>
    <x v="1"/>
  </r>
  <r>
    <x v="1423"/>
    <s v="PATANJALI FOODS LIMITED"/>
    <n v="471"/>
    <n v="472"/>
    <n v="460.4"/>
    <n v="463.3"/>
    <n v="474.6"/>
    <n v="1603263"/>
    <n v="30083"/>
    <n v="504000000000"/>
    <n v="1087828245"/>
    <n v="-2.3809523809523832"/>
    <x v="1192"/>
    <x v="0"/>
    <x v="0"/>
    <x v="0"/>
  </r>
  <r>
    <x v="1424"/>
    <s v="PATEL ENGINEERING LTD."/>
    <n v="24.62"/>
    <n v="24.79"/>
    <n v="23.43"/>
    <n v="23.61"/>
    <n v="24.92"/>
    <n v="7719761"/>
    <n v="16552"/>
    <n v="23424471133"/>
    <n v="992141937"/>
    <n v="-5.2568218298555465"/>
    <x v="1193"/>
    <x v="0"/>
    <x v="1"/>
    <x v="0"/>
  </r>
  <r>
    <x v="1425"/>
    <s v="PATEL RETAIL LIMITED"/>
    <n v="168.22"/>
    <n v="168.22"/>
    <n v="158.05000000000001"/>
    <n v="159.04"/>
    <n v="167.38"/>
    <n v="237209"/>
    <n v="2694"/>
    <n v="5312019973"/>
    <n v="33400528"/>
    <n v="-4.9826741546182367"/>
    <x v="1194"/>
    <x v="0"/>
    <x v="1"/>
    <x v="1"/>
  </r>
  <r>
    <x v="1426"/>
    <s v="PATEL INT. LOG. LTD"/>
    <n v="9.3800000000000008"/>
    <n v="9.3800000000000008"/>
    <n v="8.81"/>
    <n v="9"/>
    <n v="9.3800000000000008"/>
    <n v="103861"/>
    <n v="439"/>
    <n v="626271714"/>
    <n v="69585746"/>
    <n v="-4.0511727078891333"/>
    <x v="380"/>
    <x v="0"/>
    <x v="1"/>
    <x v="1"/>
  </r>
  <r>
    <x v="1427"/>
    <s v="PAUSHAK LIMITED"/>
    <n v="401"/>
    <n v="401"/>
    <n v="370"/>
    <n v="373.9"/>
    <n v="400.15"/>
    <n v="31711"/>
    <n v="1540"/>
    <n v="9219219397"/>
    <n v="24656912"/>
    <n v="-6.5600399850056235"/>
    <x v="1195"/>
    <x v="0"/>
    <x v="1"/>
    <x v="1"/>
  </r>
  <r>
    <x v="1428"/>
    <s v="PAVNA INDUSTRIES LIMITED"/>
    <n v="18.440000000000001"/>
    <n v="18.440000000000001"/>
    <n v="16.899999999999999"/>
    <n v="17.25"/>
    <n v="18.11"/>
    <n v="136479"/>
    <n v="498"/>
    <n v="2406892500"/>
    <n v="139530000"/>
    <n v="-4.7487575924903336"/>
    <x v="1196"/>
    <x v="0"/>
    <x v="1"/>
    <x v="1"/>
  </r>
  <r>
    <x v="1429"/>
    <s v="ONE 97 COMMUNICATIONS LTD"/>
    <n v="1036"/>
    <n v="1040"/>
    <n v="987.1"/>
    <n v="992.8"/>
    <n v="1054.3"/>
    <n v="2770795"/>
    <n v="86892"/>
    <n v="635000000000"/>
    <n v="639539256"/>
    <n v="-5.8332542919472639"/>
    <x v="939"/>
    <x v="0"/>
    <x v="0"/>
    <x v="0"/>
  </r>
  <r>
    <x v="1430"/>
    <s v="PCBL CHEMICAL LIMITED"/>
    <n v="242.1"/>
    <n v="245.8"/>
    <n v="228.1"/>
    <n v="232.15"/>
    <n v="248.05"/>
    <n v="2009696"/>
    <n v="38060"/>
    <n v="91342343519"/>
    <n v="393462604"/>
    <n v="-6.409997984277366"/>
    <x v="1197"/>
    <x v="0"/>
    <x v="2"/>
    <x v="0"/>
  </r>
  <r>
    <x v="1431"/>
    <s v="PC JEWELLER LTD"/>
    <n v="8.3000000000000007"/>
    <n v="8.3000000000000007"/>
    <n v="7.74"/>
    <n v="7.84"/>
    <n v="8.3000000000000007"/>
    <n v="54603861"/>
    <n v="38540"/>
    <n v="56829209847"/>
    <n v="7248623705"/>
    <n v="-5.5421686746988055"/>
    <x v="1198"/>
    <x v="0"/>
    <x v="2"/>
    <x v="0"/>
  </r>
  <r>
    <x v="1432"/>
    <s v="PUDUMJEE PAPER PRO. LTD"/>
    <n v="70.06"/>
    <n v="72.92"/>
    <n v="67.8"/>
    <n v="68.12"/>
    <n v="71.25"/>
    <n v="242372"/>
    <n v="2463"/>
    <n v="6467994000"/>
    <n v="94950000"/>
    <n v="-4.3929824561403441"/>
    <x v="1199"/>
    <x v="0"/>
    <x v="1"/>
    <x v="1"/>
  </r>
  <r>
    <x v="1433"/>
    <s v="PDS LIMITED"/>
    <n v="257"/>
    <n v="257.85000000000002"/>
    <n v="246.05"/>
    <n v="253.85"/>
    <n v="260.8"/>
    <n v="151480"/>
    <n v="3410"/>
    <n v="35888902525"/>
    <n v="141378383"/>
    <n v="-2.6648773006135036"/>
    <x v="887"/>
    <x v="0"/>
    <x v="1"/>
    <x v="1"/>
  </r>
  <r>
    <x v="1434"/>
    <s v="PEARL POLYMERS LTD"/>
    <n v="15.99"/>
    <n v="15.99"/>
    <n v="14.1"/>
    <n v="14.27"/>
    <n v="15.76"/>
    <n v="22974"/>
    <n v="151"/>
    <n v="240234479.69999999"/>
    <n v="16834932"/>
    <n v="-9.4543147208121852"/>
    <x v="1200"/>
    <x v="0"/>
    <x v="1"/>
    <x v="1"/>
  </r>
  <r>
    <x v="1435"/>
    <s v="PENNAR INDUSTRIES LTD"/>
    <n v="140"/>
    <n v="140"/>
    <n v="132.69999999999999"/>
    <n v="134.13999999999999"/>
    <n v="142.87"/>
    <n v="966894"/>
    <n v="8910"/>
    <n v="18101687426"/>
    <n v="134946231"/>
    <n v="-6.1104500594946574"/>
    <x v="372"/>
    <x v="0"/>
    <x v="1"/>
    <x v="1"/>
  </r>
  <r>
    <x v="1436"/>
    <s v="PENINSULA LAND LIMITED"/>
    <n v="15.11"/>
    <n v="15.34"/>
    <n v="14.62"/>
    <n v="14.75"/>
    <n v="15.6"/>
    <n v="468634"/>
    <n v="1289"/>
    <n v="4892991245"/>
    <n v="331728220"/>
    <n v="-5.4487179487179471"/>
    <x v="311"/>
    <x v="0"/>
    <x v="1"/>
    <x v="1"/>
  </r>
  <r>
    <x v="1437"/>
    <s v="PERSISTENT SYSTEMS LTD"/>
    <n v="4688.8"/>
    <n v="4800.3999999999996"/>
    <n v="4639.3"/>
    <n v="4724.5"/>
    <n v="4716.7"/>
    <n v="1065192"/>
    <n v="70961"/>
    <n v="745000000000"/>
    <n v="157750000"/>
    <n v="0.16536985604342405"/>
    <x v="1201"/>
    <x v="1"/>
    <x v="0"/>
    <x v="0"/>
  </r>
  <r>
    <x v="1438"/>
    <s v="PETRONET LNG LIMITED"/>
    <n v="247.75"/>
    <n v="248.85"/>
    <n v="235.35"/>
    <n v="238.05"/>
    <n v="257.64999999999998"/>
    <n v="12355833"/>
    <n v="96471"/>
    <n v="357000000000"/>
    <n v="1500000088"/>
    <n v="-7.6072190956724111"/>
    <x v="1202"/>
    <x v="0"/>
    <x v="0"/>
    <x v="0"/>
  </r>
  <r>
    <x v="1439"/>
    <s v="PFIZER LTD"/>
    <n v="4770"/>
    <n v="4770"/>
    <n v="4522"/>
    <n v="4560"/>
    <n v="4773.5"/>
    <n v="14382"/>
    <n v="4067"/>
    <n v="209000000000"/>
    <n v="45747732"/>
    <n v="-4.4726091966062631"/>
    <x v="1203"/>
    <x v="0"/>
    <x v="0"/>
    <x v="1"/>
  </r>
  <r>
    <x v="1440"/>
    <s v="PRIME FOCUS LIMITED"/>
    <n v="275"/>
    <n v="284.89999999999998"/>
    <n v="269.2"/>
    <n v="283.2"/>
    <n v="276.64999999999998"/>
    <n v="5534343"/>
    <n v="55442"/>
    <n v="220000000000"/>
    <n v="775990547"/>
    <n v="2.3676125067775211"/>
    <x v="1204"/>
    <x v="1"/>
    <x v="0"/>
    <x v="0"/>
  </r>
  <r>
    <x v="1441"/>
    <s v="PTC INDIA FIN SERV LTD"/>
    <n v="27.25"/>
    <n v="27.94"/>
    <n v="26.12"/>
    <n v="26.61"/>
    <n v="27.31"/>
    <n v="652008"/>
    <n v="3549"/>
    <n v="17091159544"/>
    <n v="642283335"/>
    <n v="-2.5631636763090415"/>
    <x v="1205"/>
    <x v="0"/>
    <x v="1"/>
    <x v="1"/>
  </r>
  <r>
    <x v="1442"/>
    <s v="PG ELECTROPLAST LTD"/>
    <n v="500"/>
    <n v="500"/>
    <n v="481.2"/>
    <n v="494.7"/>
    <n v="512.75"/>
    <n v="4164822"/>
    <n v="64021"/>
    <n v="141000000000"/>
    <n v="284964158"/>
    <n v="-3.520234032179427"/>
    <x v="787"/>
    <x v="0"/>
    <x v="2"/>
    <x v="0"/>
  </r>
  <r>
    <x v="1443"/>
    <s v="P&amp;G HYGIENE &amp; HEALTH CARE"/>
    <n v="9707"/>
    <n v="9707"/>
    <n v="9402"/>
    <n v="9456"/>
    <n v="9707"/>
    <n v="13157"/>
    <n v="5795"/>
    <n v="307000000000"/>
    <n v="32460736"/>
    <n v="-2.5857628515504274"/>
    <x v="1206"/>
    <x v="0"/>
    <x v="0"/>
    <x v="1"/>
  </r>
  <r>
    <x v="1444"/>
    <s v="PROCTER &amp; GAMBLE HEALTH L"/>
    <n v="4850"/>
    <n v="4850"/>
    <n v="4755"/>
    <n v="4821.2"/>
    <n v="4860.6000000000004"/>
    <n v="15834"/>
    <n v="3061"/>
    <n v="80028940498"/>
    <n v="16599382"/>
    <n v="-0.81059951446324618"/>
    <x v="986"/>
    <x v="0"/>
    <x v="2"/>
    <x v="1"/>
  </r>
  <r>
    <x v="1445"/>
    <s v="PEARL GLOBAL IND LIMITED"/>
    <n v="1485.5"/>
    <n v="1485.5"/>
    <n v="1371.5"/>
    <n v="1385.4"/>
    <n v="1489.5"/>
    <n v="60200"/>
    <n v="10902"/>
    <n v="63778713572"/>
    <n v="46036317"/>
    <n v="-6.9889224572003972"/>
    <x v="1207"/>
    <x v="0"/>
    <x v="2"/>
    <x v="1"/>
  </r>
  <r>
    <x v="1446"/>
    <s v="THE PHOENIX MILLS LTD"/>
    <n v="1513.9"/>
    <n v="1529.9"/>
    <n v="1468.3"/>
    <n v="1477.4"/>
    <n v="1543.1"/>
    <n v="716638"/>
    <n v="58942"/>
    <n v="528000000000"/>
    <n v="357591260"/>
    <n v="-4.2576631456159566"/>
    <x v="1208"/>
    <x v="0"/>
    <x v="0"/>
    <x v="1"/>
  </r>
  <r>
    <x v="1447"/>
    <s v="PICCADILY AGRO INDUSTRI L"/>
    <n v="532"/>
    <n v="537.75"/>
    <n v="522"/>
    <n v="526.35"/>
    <n v="540.45000000000005"/>
    <n v="258082"/>
    <n v="8042"/>
    <n v="51509015763"/>
    <n v="97860769"/>
    <n v="-2.6089369969469924"/>
    <x v="1143"/>
    <x v="0"/>
    <x v="2"/>
    <x v="1"/>
  </r>
  <r>
    <x v="1448"/>
    <s v="POWER INSTRUMENT (G) LTD"/>
    <n v="96.02"/>
    <n v="98.4"/>
    <n v="93.01"/>
    <n v="94.85"/>
    <n v="100.4"/>
    <n v="42274"/>
    <n v="867"/>
    <n v="1691450565"/>
    <n v="17832900"/>
    <n v="-5.5278884462151501"/>
    <x v="151"/>
    <x v="0"/>
    <x v="1"/>
    <x v="1"/>
  </r>
  <r>
    <x v="1449"/>
    <s v="PI INDUSTRIES LTD"/>
    <n v="2866"/>
    <n v="2890"/>
    <n v="2750.1"/>
    <n v="2762.6"/>
    <n v="2909.5"/>
    <n v="163588"/>
    <n v="19388"/>
    <n v="419000000000"/>
    <n v="151718118"/>
    <n v="-5.0489774875408173"/>
    <x v="1209"/>
    <x v="0"/>
    <x v="0"/>
    <x v="1"/>
  </r>
  <r>
    <x v="1450"/>
    <s v="PILANI INV &amp; IND COR LTD"/>
    <n v="4615"/>
    <n v="4727.3999999999996"/>
    <n v="4481.2"/>
    <n v="4581.1000000000004"/>
    <n v="4738.6000000000004"/>
    <n v="6106"/>
    <n v="1910"/>
    <n v="50723084475"/>
    <n v="11072250"/>
    <n v="-3.3237665133161691"/>
    <x v="1210"/>
    <x v="0"/>
    <x v="2"/>
    <x v="1"/>
  </r>
  <r>
    <x v="1451"/>
    <s v="PIL ITALICA LIFESTYLE LTD"/>
    <n v="7.8"/>
    <n v="7.8"/>
    <n v="6.94"/>
    <n v="7.01"/>
    <n v="7.44"/>
    <n v="203868"/>
    <n v="630"/>
    <n v="1647350000"/>
    <n v="235000000"/>
    <n v="-5.779569892473126"/>
    <x v="1211"/>
    <x v="0"/>
    <x v="1"/>
    <x v="1"/>
  </r>
  <r>
    <x v="1452"/>
    <s v="PINE LABS LIMITED"/>
    <n v="164.97"/>
    <n v="166.39"/>
    <n v="158.1"/>
    <n v="160.63999999999999"/>
    <n v="164.47"/>
    <n v="755528"/>
    <n v="15914"/>
    <n v="184000000000"/>
    <n v="1148276377"/>
    <n v="-2.3286921627044523"/>
    <x v="1212"/>
    <x v="0"/>
    <x v="2"/>
    <x v="1"/>
  </r>
  <r>
    <x v="1453"/>
    <s v="PIONEER EMBROIDERIES LTD"/>
    <n v="24.93"/>
    <n v="24.93"/>
    <n v="22.8"/>
    <n v="23.15"/>
    <n v="24.93"/>
    <n v="96881"/>
    <n v="400"/>
    <n v="713186494.79999995"/>
    <n v="30807192"/>
    <n v="-7.1399919775371075"/>
    <x v="1213"/>
    <x v="0"/>
    <x v="1"/>
    <x v="1"/>
  </r>
  <r>
    <x v="1454"/>
    <s v="PIRAMAL FINANCE LIMITED"/>
    <n v="1799.8"/>
    <n v="1834.3"/>
    <n v="1739.2"/>
    <n v="1823.6"/>
    <n v="1845.9"/>
    <n v="377194"/>
    <n v="26042"/>
    <n v="413000000000"/>
    <n v="226677700"/>
    <n v="-1.2080827780486583"/>
    <x v="1214"/>
    <x v="1"/>
    <x v="0"/>
    <x v="1"/>
  </r>
  <r>
    <x v="1455"/>
    <s v="PITTI ENGINEERING LIMITED"/>
    <n v="770"/>
    <n v="773.95"/>
    <n v="730"/>
    <n v="734.4"/>
    <n v="775.9"/>
    <n v="50585"/>
    <n v="3728"/>
    <n v="27652795027"/>
    <n v="37653588"/>
    <n v="-5.3486274004382013"/>
    <x v="1215"/>
    <x v="0"/>
    <x v="1"/>
    <x v="1"/>
  </r>
  <r>
    <x v="1456"/>
    <s v="PIX TRANSMISSIONS LIMITED"/>
    <n v="1450"/>
    <n v="1450"/>
    <n v="1383"/>
    <n v="1401.5"/>
    <n v="1453"/>
    <n v="11170"/>
    <n v="1286"/>
    <n v="19095717800"/>
    <n v="13625200"/>
    <n v="-3.5443909153475568"/>
    <x v="1216"/>
    <x v="0"/>
    <x v="1"/>
    <x v="1"/>
  </r>
  <r>
    <x v="1457"/>
    <s v="THE P K TEA PROD CO LTD"/>
    <n v="842"/>
    <n v="842.05"/>
    <n v="805"/>
    <n v="805"/>
    <n v="845"/>
    <n v="390"/>
    <n v="32"/>
    <n v="2492182595"/>
    <n v="3095879"/>
    <n v="-4.7337278106508878"/>
    <x v="1217"/>
    <x v="0"/>
    <x v="1"/>
    <x v="1"/>
  </r>
  <r>
    <x v="1458"/>
    <s v="PLASTIBLENDS INDIA LTD"/>
    <n v="130.53"/>
    <n v="134.25"/>
    <n v="126.2"/>
    <n v="129.03"/>
    <n v="133.82"/>
    <n v="40394"/>
    <n v="443"/>
    <n v="3353386476"/>
    <n v="25989200"/>
    <n v="-3.5794350620236082"/>
    <x v="1218"/>
    <x v="0"/>
    <x v="1"/>
    <x v="1"/>
  </r>
  <r>
    <x v="1459"/>
    <s v="PLATINUM INDUSTRIES LTD"/>
    <n v="203.5"/>
    <n v="203.5"/>
    <n v="184.4"/>
    <n v="189.99"/>
    <n v="203.87"/>
    <n v="275034"/>
    <n v="5575"/>
    <n v="10435176621"/>
    <n v="54924873"/>
    <n v="-6.8082601657919239"/>
    <x v="1219"/>
    <x v="0"/>
    <x v="1"/>
    <x v="1"/>
  </r>
  <r>
    <x v="1460"/>
    <s v="PLAZA WIRES LIMITED"/>
    <n v="32.25"/>
    <n v="33.57"/>
    <n v="31.06"/>
    <n v="31.38"/>
    <n v="33.19"/>
    <n v="89137"/>
    <n v="2889"/>
    <n v="1372940208"/>
    <n v="43752078"/>
    <n v="-5.4534498342874329"/>
    <x v="1220"/>
    <x v="0"/>
    <x v="1"/>
    <x v="1"/>
  </r>
  <r>
    <x v="1461"/>
    <s v="PNB GILTS LIMITED"/>
    <n v="67.599999999999994"/>
    <n v="68.2"/>
    <n v="63.32"/>
    <n v="64.73"/>
    <n v="68.55"/>
    <n v="309507"/>
    <n v="2922"/>
    <n v="11652055974"/>
    <n v="180010134"/>
    <n v="-5.5725747629467444"/>
    <x v="1031"/>
    <x v="0"/>
    <x v="1"/>
    <x v="1"/>
  </r>
  <r>
    <x v="1462"/>
    <s v="PNB HOUSING FIN LTD."/>
    <n v="786"/>
    <n v="787.95"/>
    <n v="737.05"/>
    <n v="750.75"/>
    <n v="791.9"/>
    <n v="1251948"/>
    <n v="44448"/>
    <n v="196000000000"/>
    <n v="260508563"/>
    <n v="-5.1963631771688323"/>
    <x v="1221"/>
    <x v="0"/>
    <x v="2"/>
    <x v="0"/>
  </r>
  <r>
    <x v="1463"/>
    <s v="PRITISH NANDY COMMUNICATI"/>
    <n v="20.420000000000002"/>
    <n v="21.82"/>
    <n v="18.760000000000002"/>
    <n v="19.059999999999999"/>
    <n v="21"/>
    <n v="12756"/>
    <n v="390"/>
    <n v="275741020"/>
    <n v="14467000"/>
    <n v="-9.2380952380952444"/>
    <x v="1222"/>
    <x v="0"/>
    <x v="1"/>
    <x v="1"/>
  </r>
  <r>
    <x v="1464"/>
    <s v="PNC INFRATECH LTD."/>
    <n v="185"/>
    <n v="185.65"/>
    <n v="172.8"/>
    <n v="173.62"/>
    <n v="186.21"/>
    <n v="664925"/>
    <n v="14134"/>
    <n v="44540329827"/>
    <n v="256539165"/>
    <n v="-6.7611836099027993"/>
    <x v="1223"/>
    <x v="0"/>
    <x v="1"/>
    <x v="1"/>
  </r>
  <r>
    <x v="1465"/>
    <s v="P N GADGIL JEWELLERS LTD"/>
    <n v="564.95000000000005"/>
    <n v="564.95000000000005"/>
    <n v="546.45000000000005"/>
    <n v="551.75"/>
    <n v="570.20000000000005"/>
    <n v="288487"/>
    <n v="12605"/>
    <n v="74877072733"/>
    <n v="135708333"/>
    <n v="-3.2357067695545498"/>
    <x v="1224"/>
    <x v="0"/>
    <x v="2"/>
    <x v="1"/>
  </r>
  <r>
    <x v="1466"/>
    <s v="PNGS REVA DIAMOND JEWEL L"/>
    <n v="363"/>
    <n v="368.2"/>
    <n v="331"/>
    <n v="341.15"/>
    <n v="368.3"/>
    <n v="87264"/>
    <n v="4003"/>
    <n v="10813909160"/>
    <n v="31698400"/>
    <n v="-7.3717078468639787"/>
    <x v="1225"/>
    <x v="0"/>
    <x v="1"/>
    <x v="1"/>
  </r>
  <r>
    <x v="1467"/>
    <s v="PONDY OXIDES &amp; CHEM LTD"/>
    <n v="1027"/>
    <n v="1059"/>
    <n v="980.5"/>
    <n v="1022.9"/>
    <n v="1049.4000000000001"/>
    <n v="246645"/>
    <n v="13691"/>
    <n v="31209987289"/>
    <n v="30511279"/>
    <n v="-2.5252525252525357"/>
    <x v="1226"/>
    <x v="0"/>
    <x v="1"/>
    <x v="1"/>
  </r>
  <r>
    <x v="1468"/>
    <s v="PODDAR PIGMENTS LIMITED"/>
    <n v="212"/>
    <n v="216.2"/>
    <n v="206.15"/>
    <n v="210.16"/>
    <n v="213.66"/>
    <n v="5387"/>
    <n v="220"/>
    <n v="2229797600"/>
    <n v="10610000"/>
    <n v="-1.638116633904334"/>
    <x v="1227"/>
    <x v="0"/>
    <x v="1"/>
    <x v="1"/>
  </r>
  <r>
    <x v="1469"/>
    <s v="POKARNA LIMITED"/>
    <n v="810"/>
    <n v="822"/>
    <n v="791.65"/>
    <n v="799.95"/>
    <n v="828.2"/>
    <n v="83212"/>
    <n v="3641"/>
    <n v="24801649800"/>
    <n v="31004000"/>
    <n v="-3.4110118328906056"/>
    <x v="1228"/>
    <x v="0"/>
    <x v="1"/>
    <x v="1"/>
  </r>
  <r>
    <x v="1470"/>
    <s v="PB FINTECH LIMITED"/>
    <n v="1485"/>
    <n v="1485"/>
    <n v="1427.8"/>
    <n v="1434.4"/>
    <n v="1497.1"/>
    <n v="1887266"/>
    <n v="48904"/>
    <n v="664000000000"/>
    <n v="462674740"/>
    <n v="-4.1880969875091729"/>
    <x v="1229"/>
    <x v="0"/>
    <x v="0"/>
    <x v="0"/>
  </r>
  <r>
    <x v="1471"/>
    <s v="POLYCAB INDIA LIMITED"/>
    <n v="7100"/>
    <n v="7100"/>
    <n v="6750"/>
    <n v="6795"/>
    <n v="7171"/>
    <n v="652615"/>
    <n v="83728"/>
    <n v="1020000000000"/>
    <n v="150538473"/>
    <n v="-5.2433412355320037"/>
    <x v="1230"/>
    <x v="0"/>
    <x v="0"/>
    <x v="1"/>
  </r>
  <r>
    <x v="1472"/>
    <s v="POLY MEDICURE LIMITED"/>
    <n v="1227.2"/>
    <n v="1234"/>
    <n v="1195.5999999999999"/>
    <n v="1206.0999999999999"/>
    <n v="1240.9000000000001"/>
    <n v="182938"/>
    <n v="16822"/>
    <n v="122000000000"/>
    <n v="101359490"/>
    <n v="-2.8044161495688757"/>
    <x v="1231"/>
    <x v="0"/>
    <x v="2"/>
    <x v="1"/>
  </r>
  <r>
    <x v="1473"/>
    <s v="POLYPLEX CORPORATION LTD"/>
    <n v="841"/>
    <n v="847.75"/>
    <n v="802.05"/>
    <n v="808.95"/>
    <n v="852.55"/>
    <n v="98717"/>
    <n v="5292"/>
    <n v="25394932135"/>
    <n v="31392462"/>
    <n v="-5.1140695560377587"/>
    <x v="1232"/>
    <x v="0"/>
    <x v="1"/>
    <x v="1"/>
  </r>
  <r>
    <x v="1474"/>
    <s v="PONNIE SUGARS (ERODE) LTD"/>
    <n v="274.60000000000002"/>
    <n v="275"/>
    <n v="260.60000000000002"/>
    <n v="262.35000000000002"/>
    <n v="275"/>
    <n v="22943"/>
    <n v="736"/>
    <n v="2255794962"/>
    <n v="8598418"/>
    <n v="-4.5999999999999917"/>
    <x v="660"/>
    <x v="0"/>
    <x v="1"/>
    <x v="1"/>
  </r>
  <r>
    <x v="1475"/>
    <s v="POONAWALLA FINCORP LTD"/>
    <n v="389.9"/>
    <n v="389.9"/>
    <n v="369.2"/>
    <n v="376.2"/>
    <n v="393.6"/>
    <n v="1464914"/>
    <n v="31517"/>
    <n v="306000000000"/>
    <n v="812586815"/>
    <n v="-4.4207317073170813"/>
    <x v="601"/>
    <x v="0"/>
    <x v="0"/>
    <x v="0"/>
  </r>
  <r>
    <x v="1476"/>
    <s v="HITACHI ENERGY INDIA LTD"/>
    <n v="24845"/>
    <n v="24970"/>
    <n v="23970"/>
    <n v="24255"/>
    <n v="25025"/>
    <n v="131323"/>
    <n v="28846"/>
    <n v="1080000000000"/>
    <n v="44572363"/>
    <n v="-3.0769230769230771"/>
    <x v="1233"/>
    <x v="0"/>
    <x v="0"/>
    <x v="1"/>
  </r>
  <r>
    <x v="1477"/>
    <s v="POWER MECH PROJECTS LTD."/>
    <n v="1955"/>
    <n v="1970"/>
    <n v="1840"/>
    <n v="1856.3"/>
    <n v="1994"/>
    <n v="113732"/>
    <n v="13656"/>
    <n v="58689322840"/>
    <n v="31616292"/>
    <n v="-6.9057171514543656"/>
    <x v="1234"/>
    <x v="0"/>
    <x v="2"/>
    <x v="1"/>
  </r>
  <r>
    <x v="1478"/>
    <s v="PPAP AUTOMOTIVE LIMITED"/>
    <n v="197.78"/>
    <n v="203.99"/>
    <n v="190"/>
    <n v="190.14"/>
    <n v="197.78"/>
    <n v="20131"/>
    <n v="1171"/>
    <n v="2683839410"/>
    <n v="14115070"/>
    <n v="-3.8628779451916349"/>
    <x v="1235"/>
    <x v="0"/>
    <x v="1"/>
    <x v="1"/>
  </r>
  <r>
    <x v="1479"/>
    <s v="PRAKASH PIPES LIMITED"/>
    <n v="186"/>
    <n v="187.21"/>
    <n v="181.26"/>
    <n v="185.27"/>
    <n v="189.33"/>
    <n v="101185"/>
    <n v="3026"/>
    <n v="4431353446"/>
    <n v="23918354"/>
    <n v="-2.144403950773782"/>
    <x v="1236"/>
    <x v="0"/>
    <x v="1"/>
    <x v="1"/>
  </r>
  <r>
    <x v="1480"/>
    <s v="PIRAMAL PHARMA LIMITED"/>
    <n v="137"/>
    <n v="137.01"/>
    <n v="132.30000000000001"/>
    <n v="133.27000000000001"/>
    <n v="138.35"/>
    <n v="3582231"/>
    <n v="38688"/>
    <n v="177000000000"/>
    <n v="1329248130"/>
    <n v="-3.671846765449934"/>
    <x v="1237"/>
    <x v="0"/>
    <x v="2"/>
    <x v="0"/>
  </r>
  <r>
    <x v="1481"/>
    <s v="PRABHA ENERGY LIMITED"/>
    <n v="154.15"/>
    <n v="154.15"/>
    <n v="146.1"/>
    <n v="147.76"/>
    <n v="157.4"/>
    <n v="59222"/>
    <n v="916"/>
    <n v="20229161261"/>
    <n v="136905531"/>
    <n v="-6.1245235069885728"/>
    <x v="1238"/>
    <x v="0"/>
    <x v="1"/>
    <x v="1"/>
  </r>
  <r>
    <x v="1482"/>
    <s v="PRAJAY ENG. SYN. LTD."/>
    <n v="19.25"/>
    <n v="20"/>
    <n v="18"/>
    <n v="18.04"/>
    <n v="19.43"/>
    <n v="93706"/>
    <n v="441"/>
    <n v="1261641670"/>
    <n v="69935791"/>
    <n v="-7.1538857436953194"/>
    <x v="1239"/>
    <x v="0"/>
    <x v="1"/>
    <x v="1"/>
  </r>
  <r>
    <x v="1483"/>
    <s v="PRAJ INDUSTRIES LTD"/>
    <n v="311"/>
    <n v="322.60000000000002"/>
    <n v="306.8"/>
    <n v="311.89999999999998"/>
    <n v="315.14999999999998"/>
    <n v="3982669"/>
    <n v="68574"/>
    <n v="57331302147"/>
    <n v="183813088"/>
    <n v="-1.0312549579565287"/>
    <x v="1240"/>
    <x v="1"/>
    <x v="2"/>
    <x v="0"/>
  </r>
  <r>
    <x v="1484"/>
    <s v="PRAKASH INDUSTRIES LTD"/>
    <n v="118.25"/>
    <n v="120.1"/>
    <n v="113.05"/>
    <n v="113.64"/>
    <n v="121.28"/>
    <n v="630548"/>
    <n v="5956"/>
    <n v="20350860184"/>
    <n v="179081839"/>
    <n v="-6.2994722955145122"/>
    <x v="1241"/>
    <x v="0"/>
    <x v="1"/>
    <x v="1"/>
  </r>
  <r>
    <x v="1485"/>
    <s v="PRAKASH STEELAGE LTD"/>
    <n v="4.12"/>
    <n v="4.28"/>
    <n v="4.05"/>
    <n v="4.0599999999999996"/>
    <n v="4.1399999999999997"/>
    <n v="507147"/>
    <n v="426"/>
    <n v="710501583.39999998"/>
    <n v="175000390"/>
    <n v="-1.932367149758456"/>
    <x v="1128"/>
    <x v="0"/>
    <x v="1"/>
    <x v="1"/>
  </r>
  <r>
    <x v="1486"/>
    <s v="PRAXIS HOME RETAIL LTD"/>
    <n v="6.35"/>
    <n v="6.48"/>
    <n v="6.27"/>
    <n v="6.3"/>
    <n v="6.6"/>
    <n v="97384"/>
    <n v="183"/>
    <n v="1164937309"/>
    <n v="184910684"/>
    <n v="-4.5454545454545432"/>
    <x v="1242"/>
    <x v="0"/>
    <x v="1"/>
    <x v="1"/>
  </r>
  <r>
    <x v="1487"/>
    <s v="PRECISION CAMSHAFTS LTD."/>
    <n v="115.69"/>
    <n v="115.7"/>
    <n v="107.1"/>
    <n v="108.69"/>
    <n v="117.45"/>
    <n v="253960"/>
    <n v="4283"/>
    <n v="10324010406"/>
    <n v="94985835"/>
    <n v="-7.4584929757343597"/>
    <x v="1243"/>
    <x v="0"/>
    <x v="1"/>
    <x v="1"/>
  </r>
  <r>
    <x v="1488"/>
    <s v="PRECISION WIRES INDIA LTD"/>
    <n v="298.64999999999998"/>
    <n v="303"/>
    <n v="290"/>
    <n v="291.8"/>
    <n v="302.35000000000002"/>
    <n v="564436"/>
    <n v="18154"/>
    <n v="53343367105"/>
    <n v="182807975"/>
    <n v="-3.4893335538283483"/>
    <x v="1244"/>
    <x v="0"/>
    <x v="2"/>
    <x v="1"/>
  </r>
  <r>
    <x v="1489"/>
    <s v="PREMIER EXPLOSIVES LTD"/>
    <n v="430"/>
    <n v="431.05"/>
    <n v="392.3"/>
    <n v="395.8"/>
    <n v="438"/>
    <n v="515051"/>
    <n v="15888"/>
    <n v="21278680981"/>
    <n v="53761195"/>
    <n v="-9.6347031963470293"/>
    <x v="276"/>
    <x v="0"/>
    <x v="1"/>
    <x v="1"/>
  </r>
  <r>
    <x v="1490"/>
    <s v="PREMIER ENERGIES LIMITED"/>
    <n v="851"/>
    <n v="875"/>
    <n v="843.9"/>
    <n v="866.55"/>
    <n v="864.75"/>
    <n v="2931759"/>
    <n v="67033"/>
    <n v="393000000000"/>
    <n v="452994368"/>
    <n v="0.2081526452731951"/>
    <x v="1245"/>
    <x v="1"/>
    <x v="0"/>
    <x v="0"/>
  </r>
  <r>
    <x v="1491"/>
    <s v="PREMIER POLYFILM LTD"/>
    <n v="60"/>
    <n v="60.16"/>
    <n v="57.61"/>
    <n v="57.93"/>
    <n v="59.96"/>
    <n v="373007"/>
    <n v="2661"/>
    <n v="6067731577"/>
    <n v="104742475"/>
    <n v="-3.3855903935957326"/>
    <x v="1246"/>
    <x v="0"/>
    <x v="1"/>
    <x v="1"/>
  </r>
  <r>
    <x v="1492"/>
    <s v="PRESTIGE ESTATE LTD"/>
    <n v="1226"/>
    <n v="1235"/>
    <n v="1173.4000000000001"/>
    <n v="1178.5999999999999"/>
    <n v="1248.2"/>
    <n v="921668"/>
    <n v="47372"/>
    <n v="508000000000"/>
    <n v="430730232"/>
    <n v="-5.5760294824547456"/>
    <x v="312"/>
    <x v="0"/>
    <x v="0"/>
    <x v="1"/>
  </r>
  <r>
    <x v="1493"/>
    <s v="PRICOL LIMITED"/>
    <n v="527"/>
    <n v="528"/>
    <n v="509"/>
    <n v="510.9"/>
    <n v="533.54999999999995"/>
    <n v="255984"/>
    <n v="15451"/>
    <n v="62269257328"/>
    <n v="121881498"/>
    <n v="-4.2451504076468893"/>
    <x v="938"/>
    <x v="0"/>
    <x v="2"/>
    <x v="1"/>
  </r>
  <r>
    <x v="1494"/>
    <s v="PRIME SECURITIES LIMITED"/>
    <n v="284.95"/>
    <n v="284.95"/>
    <n v="266"/>
    <n v="267.8"/>
    <n v="281.55"/>
    <n v="6737"/>
    <n v="449"/>
    <n v="9078507035"/>
    <n v="33900325"/>
    <n v="-4.8836796306162311"/>
    <x v="684"/>
    <x v="0"/>
    <x v="1"/>
    <x v="1"/>
  </r>
  <r>
    <x v="1495"/>
    <s v="PRIMO CHEMICALS LIMITED"/>
    <n v="18.100000000000001"/>
    <n v="18.29"/>
    <n v="16.36"/>
    <n v="16.850000000000001"/>
    <n v="18.100000000000001"/>
    <n v="282557"/>
    <n v="1710"/>
    <n v="4083483257"/>
    <n v="242343220"/>
    <n v="-6.9060773480662974"/>
    <x v="1247"/>
    <x v="0"/>
    <x v="1"/>
    <x v="1"/>
  </r>
  <r>
    <x v="1496"/>
    <s v="PRINCE PIPES FITTINGS LTD"/>
    <n v="236"/>
    <n v="238.25"/>
    <n v="216.55"/>
    <n v="223.5"/>
    <n v="238.85"/>
    <n v="320165"/>
    <n v="7735"/>
    <n v="24710401157"/>
    <n v="110561079"/>
    <n v="-6.4266275905379917"/>
    <x v="1248"/>
    <x v="0"/>
    <x v="1"/>
    <x v="1"/>
  </r>
  <r>
    <x v="1497"/>
    <s v="PRITI INTERNATIONAL LTD"/>
    <n v="37.9"/>
    <n v="37.9"/>
    <n v="36.01"/>
    <n v="37.119999999999997"/>
    <n v="37.93"/>
    <n v="18877"/>
    <n v="236"/>
    <n v="495675535.39999998"/>
    <n v="13353328"/>
    <n v="-2.1355127867123707"/>
    <x v="1200"/>
    <x v="0"/>
    <x v="1"/>
    <x v="1"/>
  </r>
  <r>
    <x v="1498"/>
    <s v="PRITIKA AUTO INDUS LTD"/>
    <n v="12.32"/>
    <n v="12.32"/>
    <n v="11.08"/>
    <n v="11.23"/>
    <n v="12.08"/>
    <n v="230152"/>
    <n v="1526"/>
    <n v="1869937250"/>
    <n v="166512667"/>
    <n v="-7.0364238410595998"/>
    <x v="192"/>
    <x v="0"/>
    <x v="1"/>
    <x v="1"/>
  </r>
  <r>
    <x v="1499"/>
    <s v="PRIVI SPECIALITY CHE LTD"/>
    <n v="2918"/>
    <n v="2918"/>
    <n v="2830"/>
    <n v="2850.6"/>
    <n v="2927.3"/>
    <n v="88803"/>
    <n v="10345"/>
    <n v="111000000000"/>
    <n v="39062706"/>
    <n v="-2.6201619239572391"/>
    <x v="566"/>
    <x v="0"/>
    <x v="2"/>
    <x v="1"/>
  </r>
  <r>
    <x v="1500"/>
    <s v="PROSTARM INFO SYSTEMS LTD"/>
    <n v="125.99"/>
    <n v="131"/>
    <n v="124.11"/>
    <n v="129.34"/>
    <n v="127.91"/>
    <n v="674692"/>
    <n v="7919"/>
    <n v="7614839729"/>
    <n v="58874592"/>
    <n v="1.1179735751700468"/>
    <x v="1249"/>
    <x v="1"/>
    <x v="1"/>
    <x v="1"/>
  </r>
  <r>
    <x v="1501"/>
    <s v="PROTEAN EGOV TECHNO LTD"/>
    <n v="515"/>
    <n v="518.1"/>
    <n v="490.1"/>
    <n v="493.45"/>
    <n v="522.20000000000005"/>
    <n v="445592"/>
    <n v="14302"/>
    <n v="20038359561"/>
    <n v="40608693"/>
    <n v="-5.5055534278054497"/>
    <x v="154"/>
    <x v="0"/>
    <x v="1"/>
    <x v="1"/>
  </r>
  <r>
    <x v="1502"/>
    <s v="PROZONE REALTY LIMITED"/>
    <n v="43.2"/>
    <n v="43.81"/>
    <n v="42.65"/>
    <n v="42.85"/>
    <n v="44.8"/>
    <n v="297458"/>
    <n v="1552"/>
    <n v="6539033537"/>
    <n v="152602883"/>
    <n v="-4.3526785714285623"/>
    <x v="1250"/>
    <x v="0"/>
    <x v="1"/>
    <x v="1"/>
  </r>
  <r>
    <x v="1503"/>
    <s v="PRISM JOHNSON LIMITED"/>
    <n v="125.5"/>
    <n v="126.05"/>
    <n v="123.51"/>
    <n v="125.01"/>
    <n v="125.03"/>
    <n v="254506"/>
    <n v="3902"/>
    <n v="62924606066"/>
    <n v="503356580"/>
    <n v="-1.5996160921375686E-2"/>
    <x v="539"/>
    <x v="0"/>
    <x v="2"/>
    <x v="1"/>
  </r>
  <r>
    <x v="1504"/>
    <s v="PRUDENT CORP ADV SER LTD"/>
    <n v="2234"/>
    <n v="2234"/>
    <n v="2150"/>
    <n v="2162.1999999999998"/>
    <n v="2236.6"/>
    <n v="16775"/>
    <n v="4743"/>
    <n v="89529523496"/>
    <n v="41406680"/>
    <n v="-3.3264776893499102"/>
    <x v="1251"/>
    <x v="0"/>
    <x v="2"/>
    <x v="1"/>
  </r>
  <r>
    <x v="1505"/>
    <s v="PRUDENTIAL SUGAR CORPORAT"/>
    <n v="12.7"/>
    <n v="12.7"/>
    <n v="11.5"/>
    <n v="11.78"/>
    <n v="12.1"/>
    <n v="19036"/>
    <n v="209"/>
    <n v="379928560"/>
    <n v="32252000"/>
    <n v="-2.644628099173556"/>
    <x v="1252"/>
    <x v="0"/>
    <x v="1"/>
    <x v="1"/>
  </r>
  <r>
    <x v="1506"/>
    <s v="PUNJAB &amp; SIND BANK"/>
    <n v="22.77"/>
    <n v="22.77"/>
    <n v="21.11"/>
    <n v="21.51"/>
    <n v="22.96"/>
    <n v="2647311"/>
    <n v="9654"/>
    <n v="153000000000"/>
    <n v="7095585220"/>
    <n v="-6.3153310104529581"/>
    <x v="1253"/>
    <x v="0"/>
    <x v="2"/>
    <x v="0"/>
  </r>
  <r>
    <x v="1507"/>
    <s v="PSP PROJECTS LIMITED"/>
    <n v="637.5"/>
    <n v="648"/>
    <n v="604.04999999999995"/>
    <n v="607.79999999999995"/>
    <n v="651.20000000000005"/>
    <n v="140534"/>
    <n v="6097"/>
    <n v="24094280570"/>
    <n v="39641791"/>
    <n v="-6.6646191646191788"/>
    <x v="1215"/>
    <x v="0"/>
    <x v="1"/>
    <x v="1"/>
  </r>
  <r>
    <x v="1508"/>
    <s v="PTC INDIA LIMITED"/>
    <n v="164"/>
    <n v="164.7"/>
    <n v="157.85"/>
    <n v="159.09"/>
    <n v="165.18"/>
    <n v="1004111"/>
    <n v="13310"/>
    <n v="47091963788"/>
    <n v="296008321"/>
    <n v="-3.6868870323283711"/>
    <x v="707"/>
    <x v="0"/>
    <x v="1"/>
    <x v="0"/>
  </r>
  <r>
    <x v="1509"/>
    <s v="PTC INDUSTRIES LIMITED"/>
    <n v="17221"/>
    <n v="17221"/>
    <n v="16556"/>
    <n v="16938"/>
    <n v="17418"/>
    <n v="17663"/>
    <n v="6970"/>
    <n v="254000000000"/>
    <n v="14992549"/>
    <n v="-2.7557698932139165"/>
    <x v="1254"/>
    <x v="0"/>
    <x v="0"/>
    <x v="1"/>
  </r>
  <r>
    <x v="1510"/>
    <s v="PTL ENTERPRISES LTD"/>
    <n v="38.200000000000003"/>
    <n v="38.200000000000003"/>
    <n v="36.6"/>
    <n v="36.700000000000003"/>
    <n v="37.69"/>
    <n v="45291"/>
    <n v="790"/>
    <n v="4858235900"/>
    <n v="132377000"/>
    <n v="-2.626691430087543"/>
    <x v="1255"/>
    <x v="0"/>
    <x v="1"/>
    <x v="1"/>
  </r>
  <r>
    <x v="1511"/>
    <s v="PUNJAB CHEM &amp; CROP PROT L"/>
    <n v="1013.7"/>
    <n v="1014.3"/>
    <n v="975"/>
    <n v="979.5"/>
    <n v="1022.3"/>
    <n v="3794"/>
    <n v="647"/>
    <n v="12010810208"/>
    <n v="12262185"/>
    <n v="-4.186637973197687"/>
    <x v="588"/>
    <x v="0"/>
    <x v="1"/>
    <x v="1"/>
  </r>
  <r>
    <x v="1512"/>
    <s v="PURAVANKARA LIMITED"/>
    <n v="175.21"/>
    <n v="176.44"/>
    <n v="164.5"/>
    <n v="167.17"/>
    <n v="180.04"/>
    <n v="362214"/>
    <n v="6453"/>
    <n v="39644313009"/>
    <n v="237149686"/>
    <n v="-7.1484114641190883"/>
    <x v="1256"/>
    <x v="0"/>
    <x v="1"/>
    <x v="1"/>
  </r>
  <r>
    <x v="1513"/>
    <s v="PVP VENTURES LIMITED"/>
    <n v="25.73"/>
    <n v="26.25"/>
    <n v="24.26"/>
    <n v="24.54"/>
    <n v="25.1"/>
    <n v="261250"/>
    <n v="918"/>
    <n v="6390306332"/>
    <n v="260403681"/>
    <n v="-2.2310756972111641"/>
    <x v="1257"/>
    <x v="0"/>
    <x v="1"/>
    <x v="1"/>
  </r>
  <r>
    <x v="1514"/>
    <s v="PVR INOX LIMITED"/>
    <n v="986"/>
    <n v="993"/>
    <n v="930.4"/>
    <n v="941.9"/>
    <n v="986"/>
    <n v="586602"/>
    <n v="31233"/>
    <n v="92494544208"/>
    <n v="98199962"/>
    <n v="-4.472616632860043"/>
    <x v="1258"/>
    <x v="0"/>
    <x v="2"/>
    <x v="1"/>
  </r>
  <r>
    <x v="1515"/>
    <s v="POPULAR VEHICLES N SER L"/>
    <n v="85.47"/>
    <n v="88.91"/>
    <n v="83.64"/>
    <n v="87.41"/>
    <n v="85.47"/>
    <n v="78264"/>
    <n v="1602"/>
    <n v="6223434487"/>
    <n v="71198198"/>
    <n v="2.2698022698022671"/>
    <x v="1259"/>
    <x v="1"/>
    <x v="1"/>
    <x v="1"/>
  </r>
  <r>
    <x v="1516"/>
    <s v="PHYSICSWALLAH LIMITED"/>
    <n v="87.56"/>
    <n v="88.76"/>
    <n v="84.59"/>
    <n v="86.78"/>
    <n v="89.95"/>
    <n v="9837397"/>
    <n v="50260"/>
    <n v="248000000000"/>
    <n v="2859692500"/>
    <n v="-3.5241801000555886"/>
    <x v="1260"/>
    <x v="0"/>
    <x v="0"/>
    <x v="0"/>
  </r>
  <r>
    <x v="1517"/>
    <s v="PYRAMID TECHNOPLAST LTD"/>
    <n v="146.88999999999999"/>
    <n v="146.88999999999999"/>
    <n v="138.19"/>
    <n v="139.41999999999999"/>
    <n v="147.19999999999999"/>
    <n v="46562"/>
    <n v="1308"/>
    <n v="5128536816"/>
    <n v="36784800"/>
    <n v="-5.2853260869565233"/>
    <x v="1261"/>
    <x v="0"/>
    <x v="1"/>
    <x v="1"/>
  </r>
  <r>
    <x v="1518"/>
    <s v="QUALITY POWER ELEC EQUP L"/>
    <n v="820"/>
    <n v="827.35"/>
    <n v="781"/>
    <n v="796.75"/>
    <n v="834.55"/>
    <n v="848065"/>
    <n v="33595"/>
    <n v="61703586675"/>
    <n v="77444100"/>
    <n v="-4.5293870948415265"/>
    <x v="1262"/>
    <x v="0"/>
    <x v="2"/>
    <x v="1"/>
  </r>
  <r>
    <x v="1519"/>
    <s v="QUADRANT FUTURE TEK LTD"/>
    <n v="300.05"/>
    <n v="300.05"/>
    <n v="283.5"/>
    <n v="285.75"/>
    <n v="300.05"/>
    <n v="267399"/>
    <n v="7374"/>
    <n v="11430000000"/>
    <n v="40000000"/>
    <n v="-4.765872354607569"/>
    <x v="84"/>
    <x v="0"/>
    <x v="1"/>
    <x v="1"/>
  </r>
  <r>
    <x v="1520"/>
    <s v="QUESS CORP LIMITED"/>
    <n v="174.53"/>
    <n v="175"/>
    <n v="167.88"/>
    <n v="169.87"/>
    <n v="177.73"/>
    <n v="321857"/>
    <n v="6073"/>
    <n v="25345060780"/>
    <n v="149202689"/>
    <n v="-4.4224385303550244"/>
    <x v="1263"/>
    <x v="0"/>
    <x v="1"/>
    <x v="1"/>
  </r>
  <r>
    <x v="1521"/>
    <s v="QUICK HEAL TECH LTD"/>
    <n v="143.88999999999999"/>
    <n v="143.88999999999999"/>
    <n v="135"/>
    <n v="135.97"/>
    <n v="144.76"/>
    <n v="191274"/>
    <n v="3960"/>
    <n v="7369515533"/>
    <n v="54199570"/>
    <n v="-6.0721193699917055"/>
    <x v="1264"/>
    <x v="0"/>
    <x v="1"/>
    <x v="1"/>
  </r>
  <r>
    <x v="1522"/>
    <s v="RACE ECO CHAIN LIMITED"/>
    <n v="106"/>
    <n v="106"/>
    <n v="96.01"/>
    <n v="97.79"/>
    <n v="102.58"/>
    <n v="32849"/>
    <n v="311"/>
    <n v="1687581588"/>
    <n v="17257200"/>
    <n v="-4.6695262234353603"/>
    <x v="1265"/>
    <x v="0"/>
    <x v="1"/>
    <x v="1"/>
  </r>
  <r>
    <x v="1523"/>
    <s v="RACL GEARTECH LIMITED"/>
    <n v="1220.2"/>
    <n v="1224.3"/>
    <n v="1144"/>
    <n v="1177.2"/>
    <n v="1250.2"/>
    <n v="45680"/>
    <n v="4919"/>
    <n v="13876927776"/>
    <n v="11788080"/>
    <n v="-5.8390657494800831"/>
    <x v="1266"/>
    <x v="0"/>
    <x v="1"/>
    <x v="1"/>
  </r>
  <r>
    <x v="1524"/>
    <s v="RADAAN MEDIAWORKS (I) LTD"/>
    <n v="2.84"/>
    <n v="3"/>
    <n v="2.59"/>
    <n v="2.89"/>
    <n v="2.9"/>
    <n v="79650"/>
    <n v="187"/>
    <n v="156526850.59999999"/>
    <n v="54161540"/>
    <n v="-0.34482758620688919"/>
    <x v="1267"/>
    <x v="1"/>
    <x v="1"/>
    <x v="1"/>
  </r>
  <r>
    <x v="1525"/>
    <s v="RADHIKA JEWELTECH LIMITED"/>
    <n v="57.46"/>
    <n v="57.47"/>
    <n v="54.9"/>
    <n v="55.35"/>
    <n v="57.75"/>
    <n v="192815"/>
    <n v="3472"/>
    <n v="6531300000"/>
    <n v="118000000"/>
    <n v="-4.1558441558441528"/>
    <x v="1268"/>
    <x v="0"/>
    <x v="1"/>
    <x v="1"/>
  </r>
  <r>
    <x v="1526"/>
    <s v="RADIANT CASH MGMT SER LTD"/>
    <n v="34.619999999999997"/>
    <n v="35.369999999999997"/>
    <n v="34"/>
    <n v="34.25"/>
    <n v="35.76"/>
    <n v="294096"/>
    <n v="1605"/>
    <n v="3654745781"/>
    <n v="106707906"/>
    <n v="-4.2225950782997703"/>
    <x v="860"/>
    <x v="0"/>
    <x v="1"/>
    <x v="1"/>
  </r>
  <r>
    <x v="1527"/>
    <s v="RADICO KHAITAN LTD"/>
    <n v="2650"/>
    <n v="2650.1"/>
    <n v="2552.4"/>
    <n v="2606.6"/>
    <n v="2660.5"/>
    <n v="399468"/>
    <n v="49326"/>
    <n v="349000000000"/>
    <n v="133893489"/>
    <n v="-2.0259349746288327"/>
    <x v="1269"/>
    <x v="0"/>
    <x v="0"/>
    <x v="1"/>
  </r>
  <r>
    <x v="1528"/>
    <s v="MUSIC BROADCAST LIMITED"/>
    <n v="5.24"/>
    <n v="5.24"/>
    <n v="4.87"/>
    <n v="4.92"/>
    <n v="5.26"/>
    <n v="711189"/>
    <n v="631"/>
    <n v="1700773275"/>
    <n v="345685625"/>
    <n v="-6.4638783269961948"/>
    <x v="1270"/>
    <x v="0"/>
    <x v="1"/>
    <x v="1"/>
  </r>
  <r>
    <x v="1529"/>
    <s v="RAILTEL CORP OF IND LTD"/>
    <n v="270.14999999999998"/>
    <n v="271"/>
    <n v="251.15"/>
    <n v="253.3"/>
    <n v="271.5"/>
    <n v="1312012"/>
    <n v="34029"/>
    <n v="81293698493"/>
    <n v="320938407"/>
    <n v="-6.7034990791896831"/>
    <x v="1271"/>
    <x v="0"/>
    <x v="2"/>
    <x v="0"/>
  </r>
  <r>
    <x v="1530"/>
    <s v="RAIN INDUSTRIES LIMITED"/>
    <n v="107"/>
    <n v="107.57"/>
    <n v="102.5"/>
    <n v="102.86"/>
    <n v="108.91"/>
    <n v="3941660"/>
    <n v="17334"/>
    <n v="34596516542"/>
    <n v="336345679"/>
    <n v="-5.555045450371864"/>
    <x v="491"/>
    <x v="0"/>
    <x v="1"/>
    <x v="0"/>
  </r>
  <r>
    <x v="1531"/>
    <s v="RAINBOW CHILDRENS MED LTD"/>
    <n v="1105"/>
    <n v="1113.4000000000001"/>
    <n v="1084"/>
    <n v="1106"/>
    <n v="1114.3"/>
    <n v="220208"/>
    <n v="36722"/>
    <n v="112000000000"/>
    <n v="101559156"/>
    <n v="-0.74486224535582479"/>
    <x v="1272"/>
    <x v="1"/>
    <x v="2"/>
    <x v="1"/>
  </r>
  <r>
    <x v="1532"/>
    <s v="RAJNANDINI METAL LIMITED"/>
    <n v="3.42"/>
    <n v="3.51"/>
    <n v="3.33"/>
    <n v="3.35"/>
    <n v="3.45"/>
    <n v="364186"/>
    <n v="1060"/>
    <n v="926208000"/>
    <n v="276480000"/>
    <n v="-2.8985507246376838"/>
    <x v="1273"/>
    <x v="0"/>
    <x v="1"/>
    <x v="1"/>
  </r>
  <r>
    <x v="1533"/>
    <s v="RAJOO ENGINEERS LIMITED"/>
    <n v="54.95"/>
    <n v="55.86"/>
    <n v="51"/>
    <n v="51.33"/>
    <n v="55.89"/>
    <n v="767266"/>
    <n v="4552"/>
    <n v="9171402790"/>
    <n v="178675293"/>
    <n v="-8.158883521202366"/>
    <x v="169"/>
    <x v="0"/>
    <x v="1"/>
    <x v="1"/>
  </r>
  <r>
    <x v="1534"/>
    <s v="RAJRATAN GLOBAL WIRE LTD"/>
    <n v="365"/>
    <n v="365"/>
    <n v="341.6"/>
    <n v="347.2"/>
    <n v="370.65"/>
    <n v="80002"/>
    <n v="4765"/>
    <n v="17627691200"/>
    <n v="50771000"/>
    <n v="-6.3267233238904597"/>
    <x v="790"/>
    <x v="0"/>
    <x v="1"/>
    <x v="1"/>
  </r>
  <r>
    <x v="1535"/>
    <s v="RAJSHREE SUGAR &amp; CHEMICAL"/>
    <n v="29"/>
    <n v="29"/>
    <n v="24.65"/>
    <n v="25.91"/>
    <n v="28.31"/>
    <n v="146460"/>
    <n v="1533"/>
    <n v="858543551.5"/>
    <n v="33135606"/>
    <n v="-8.4775697633345075"/>
    <x v="1274"/>
    <x v="0"/>
    <x v="1"/>
    <x v="1"/>
  </r>
  <r>
    <x v="1536"/>
    <s v="RAJ TV NETWORK LTD"/>
    <n v="37.01"/>
    <n v="37.08"/>
    <n v="35.4"/>
    <n v="36.93"/>
    <n v="36.94"/>
    <n v="4419"/>
    <n v="57"/>
    <n v="1917159794"/>
    <n v="51913344"/>
    <n v="-2.7070925825657857E-2"/>
    <x v="174"/>
    <x v="0"/>
    <x v="1"/>
    <x v="1"/>
  </r>
  <r>
    <x v="1537"/>
    <s v="RALLIS INDIA LTD"/>
    <n v="238"/>
    <n v="238"/>
    <n v="226"/>
    <n v="227.95"/>
    <n v="238.65"/>
    <n v="262304"/>
    <n v="7569"/>
    <n v="44329183476"/>
    <n v="194468890"/>
    <n v="-4.4835533207626304"/>
    <x v="1275"/>
    <x v="0"/>
    <x v="1"/>
    <x v="1"/>
  </r>
  <r>
    <x v="1538"/>
    <s v="SHREE RAMA NEWSPRINT LTD"/>
    <n v="32.9"/>
    <n v="33.9"/>
    <n v="29.1"/>
    <n v="30.01"/>
    <n v="32.979999999999997"/>
    <n v="347825"/>
    <n v="1871"/>
    <n v="4427136180"/>
    <n v="147522032"/>
    <n v="-9.0054578532443763"/>
    <x v="1276"/>
    <x v="0"/>
    <x v="1"/>
    <x v="1"/>
  </r>
  <r>
    <x v="1539"/>
    <s v="RAMA PHOSPHATES LIMITED"/>
    <n v="112"/>
    <n v="114.76"/>
    <n v="105.14"/>
    <n v="107.07"/>
    <n v="115.83"/>
    <n v="94797"/>
    <n v="1940"/>
    <n v="3788824632"/>
    <n v="35386426"/>
    <n v="-7.5628075628075679"/>
    <x v="1277"/>
    <x v="0"/>
    <x v="1"/>
    <x v="1"/>
  </r>
  <r>
    <x v="1540"/>
    <s v="RAMA STEEL TUBES LIMITED"/>
    <n v="5.38"/>
    <n v="5.38"/>
    <n v="4.4400000000000004"/>
    <n v="4.58"/>
    <n v="5.41"/>
    <n v="53817824"/>
    <n v="34837"/>
    <n v="7493067684"/>
    <n v="1636040979"/>
    <n v="-15.341959334565619"/>
    <x v="1278"/>
    <x v="0"/>
    <x v="1"/>
    <x v="0"/>
  </r>
  <r>
    <x v="1541"/>
    <s v="THE RAMCO CEMENTS LIMITED"/>
    <n v="920"/>
    <n v="924.9"/>
    <n v="860.1"/>
    <n v="867.4"/>
    <n v="925.2"/>
    <n v="393809"/>
    <n v="22812"/>
    <n v="205000000000"/>
    <n v="236292380"/>
    <n v="-6.2472978815391338"/>
    <x v="1279"/>
    <x v="0"/>
    <x v="0"/>
    <x v="1"/>
  </r>
  <r>
    <x v="1542"/>
    <s v="RAMCO INDUSTRIES LIMITED"/>
    <n v="254"/>
    <n v="254"/>
    <n v="235.35"/>
    <n v="240.1"/>
    <n v="259.25"/>
    <n v="70784"/>
    <n v="2769"/>
    <n v="20850658556"/>
    <n v="86841560"/>
    <n v="-7.3866923818707839"/>
    <x v="1280"/>
    <x v="0"/>
    <x v="1"/>
    <x v="1"/>
  </r>
  <r>
    <x v="1543"/>
    <s v="RAMCO SYSTEMS LTD."/>
    <n v="394.5"/>
    <n v="394.5"/>
    <n v="368.75"/>
    <n v="370.75"/>
    <n v="394.7"/>
    <n v="72230"/>
    <n v="3956"/>
    <n v="13870471194"/>
    <n v="37411925"/>
    <n v="-6.0678996706359234"/>
    <x v="487"/>
    <x v="0"/>
    <x v="1"/>
    <x v="1"/>
  </r>
  <r>
    <x v="1544"/>
    <s v="RAMKY INFRA LTD"/>
    <n v="461"/>
    <n v="461"/>
    <n v="441"/>
    <n v="446.85"/>
    <n v="463.55"/>
    <n v="78859"/>
    <n v="2693"/>
    <n v="30921032908"/>
    <n v="69197791"/>
    <n v="-3.6026318627979697"/>
    <x v="180"/>
    <x v="0"/>
    <x v="1"/>
    <x v="1"/>
  </r>
  <r>
    <x v="1545"/>
    <s v="RAM RATNA WIRES LIMITED"/>
    <n v="309"/>
    <n v="309"/>
    <n v="296"/>
    <n v="298.45"/>
    <n v="307.55"/>
    <n v="88309"/>
    <n v="3140"/>
    <n v="27860030538"/>
    <n v="93349072"/>
    <n v="-2.9588684766704674"/>
    <x v="1244"/>
    <x v="0"/>
    <x v="1"/>
    <x v="1"/>
  </r>
  <r>
    <x v="1546"/>
    <s v="RANA SUGARS LTD."/>
    <n v="11.24"/>
    <n v="11.62"/>
    <n v="10.6"/>
    <n v="10.8"/>
    <n v="11.62"/>
    <n v="472148"/>
    <n v="1916"/>
    <n v="1658532456"/>
    <n v="153567820"/>
    <n v="-7.0567986230636706"/>
    <x v="251"/>
    <x v="0"/>
    <x v="1"/>
    <x v="1"/>
  </r>
  <r>
    <x v="1547"/>
    <s v="RANE HOLDINGS LIMITED"/>
    <n v="1053.8"/>
    <n v="1065.0999999999999"/>
    <n v="990.7"/>
    <n v="1029.4000000000001"/>
    <n v="1066"/>
    <n v="40302"/>
    <n v="2667"/>
    <n v="14697576585"/>
    <n v="14277809"/>
    <n v="-3.4333958724202542"/>
    <x v="1281"/>
    <x v="0"/>
    <x v="1"/>
    <x v="1"/>
  </r>
  <r>
    <x v="1548"/>
    <s v="RATEGAIN TRAVEL TECHN LTD"/>
    <n v="478.3"/>
    <n v="478.3"/>
    <n v="460.05"/>
    <n v="466.75"/>
    <n v="481.6"/>
    <n v="347428"/>
    <n v="14550"/>
    <n v="55124125303"/>
    <n v="118102036"/>
    <n v="-3.0834717607973468"/>
    <x v="1282"/>
    <x v="0"/>
    <x v="2"/>
    <x v="1"/>
  </r>
  <r>
    <x v="1549"/>
    <s v="RATNAMANI MET &amp; TUB LTD."/>
    <n v="2311"/>
    <n v="2311"/>
    <n v="2160"/>
    <n v="2166.5"/>
    <n v="2310.8000000000002"/>
    <n v="20307"/>
    <n v="5525"/>
    <n v="152000000000"/>
    <n v="70092000"/>
    <n v="-6.2445906179678108"/>
    <x v="330"/>
    <x v="0"/>
    <x v="2"/>
    <x v="1"/>
  </r>
  <r>
    <x v="1550"/>
    <s v="RATNAVEER PRECISION ENG L"/>
    <n v="138.15"/>
    <n v="139.33000000000001"/>
    <n v="133.06"/>
    <n v="133.72"/>
    <n v="139.68"/>
    <n v="507538"/>
    <n v="5981"/>
    <n v="8804457897"/>
    <n v="65842491"/>
    <n v="-4.2668957617411278"/>
    <x v="1283"/>
    <x v="0"/>
    <x v="1"/>
    <x v="1"/>
  </r>
  <r>
    <x v="1551"/>
    <s v="RAYMOND LTD"/>
    <n v="361.75"/>
    <n v="365.2"/>
    <n v="345.2"/>
    <n v="347.55"/>
    <n v="372.95"/>
    <n v="562589"/>
    <n v="17643"/>
    <n v="23137700209"/>
    <n v="66573731"/>
    <n v="-6.8105644188228922"/>
    <x v="180"/>
    <x v="0"/>
    <x v="1"/>
    <x v="1"/>
  </r>
  <r>
    <x v="1552"/>
    <s v="RAYMOND LIFESTYLE LIMITED"/>
    <n v="859"/>
    <n v="859"/>
    <n v="775"/>
    <n v="781.55"/>
    <n v="869.2"/>
    <n v="204924"/>
    <n v="17522"/>
    <n v="47614862245"/>
    <n v="60923629"/>
    <n v="-10.083985273815012"/>
    <x v="1251"/>
    <x v="0"/>
    <x v="1"/>
    <x v="1"/>
  </r>
  <r>
    <x v="1553"/>
    <s v="RAYMOND REALTY LIMITED"/>
    <n v="415"/>
    <n v="415"/>
    <n v="369.9"/>
    <n v="374.6"/>
    <n v="416.5"/>
    <n v="328257"/>
    <n v="11472"/>
    <n v="24938519633"/>
    <n v="66573731"/>
    <n v="-10.060024009603836"/>
    <x v="1284"/>
    <x v="0"/>
    <x v="1"/>
    <x v="1"/>
  </r>
  <r>
    <x v="1554"/>
    <s v="RESTAURANT BRAND ASIA LTD"/>
    <n v="61"/>
    <n v="61.1"/>
    <n v="59.15"/>
    <n v="59.55"/>
    <n v="61.13"/>
    <n v="2234106"/>
    <n v="6233"/>
    <n v="34684901669"/>
    <n v="582450070"/>
    <n v="-2.5846556518894248"/>
    <x v="1285"/>
    <x v="0"/>
    <x v="1"/>
    <x v="0"/>
  </r>
  <r>
    <x v="1555"/>
    <s v="RBL BANK LIMITED"/>
    <n v="294.10000000000002"/>
    <n v="294.10000000000002"/>
    <n v="287.39999999999998"/>
    <n v="289.3"/>
    <n v="297.25"/>
    <n v="2624912"/>
    <n v="25685"/>
    <n v="178000000000"/>
    <n v="616977364"/>
    <n v="-2.6745164003364135"/>
    <x v="1286"/>
    <x v="0"/>
    <x v="2"/>
    <x v="0"/>
  </r>
  <r>
    <x v="1556"/>
    <s v="RBZ JEWELLERS LIMITED"/>
    <n v="114"/>
    <n v="114"/>
    <n v="108.55"/>
    <n v="110.93"/>
    <n v="113.85"/>
    <n v="93741"/>
    <n v="2563"/>
    <n v="4437200000"/>
    <n v="40000000"/>
    <n v="-2.5647782169521189"/>
    <x v="1287"/>
    <x v="0"/>
    <x v="1"/>
    <x v="1"/>
  </r>
  <r>
    <x v="1557"/>
    <s v="RASHTRIYA CHEMICALS &amp; FER"/>
    <n v="115.1"/>
    <n v="115.3"/>
    <n v="109.55"/>
    <n v="110.04"/>
    <n v="116.61"/>
    <n v="2032306"/>
    <n v="21716"/>
    <n v="60707758524"/>
    <n v="551688100"/>
    <n v="-5.634165165937735"/>
    <x v="578"/>
    <x v="0"/>
    <x v="2"/>
    <x v="0"/>
  </r>
  <r>
    <x v="1558"/>
    <s v="REDINGTON LIMITED"/>
    <n v="215"/>
    <n v="215"/>
    <n v="203.55"/>
    <n v="205.9"/>
    <n v="217.35"/>
    <n v="2760465"/>
    <n v="41435"/>
    <n v="161000000000"/>
    <n v="781774431"/>
    <n v="-5.2680009201748286"/>
    <x v="648"/>
    <x v="0"/>
    <x v="2"/>
    <x v="0"/>
  </r>
  <r>
    <x v="1559"/>
    <s v="REDTAPE LIMITED"/>
    <n v="116.1"/>
    <n v="116.37"/>
    <n v="111"/>
    <n v="112.62"/>
    <n v="117.2"/>
    <n v="269365"/>
    <n v="6929"/>
    <n v="62257191912"/>
    <n v="552807600"/>
    <n v="-3.9078498293515338"/>
    <x v="1288"/>
    <x v="0"/>
    <x v="2"/>
    <x v="1"/>
  </r>
  <r>
    <x v="1560"/>
    <s v="REFEX INDUSTRIES LIMITED"/>
    <n v="198"/>
    <n v="199.24"/>
    <n v="188"/>
    <n v="189.11"/>
    <n v="200.53"/>
    <n v="610978"/>
    <n v="8754"/>
    <n v="25932565797"/>
    <n v="137129532"/>
    <n v="-5.6949084924948821"/>
    <x v="1289"/>
    <x v="0"/>
    <x v="1"/>
    <x v="1"/>
  </r>
  <r>
    <x v="1561"/>
    <s v="REGAAL RESOURCES LIMITED"/>
    <n v="69.75"/>
    <n v="69.75"/>
    <n v="66.459999999999994"/>
    <n v="66.459999999999994"/>
    <n v="69.95"/>
    <n v="381086"/>
    <n v="1976"/>
    <n v="6827001152"/>
    <n v="102723460"/>
    <n v="-4.9892780557541228"/>
    <x v="1290"/>
    <x v="0"/>
    <x v="1"/>
    <x v="1"/>
  </r>
  <r>
    <x v="1562"/>
    <s v="REGENCY CERAMICS LTD."/>
    <n v="37.61"/>
    <n v="40.49"/>
    <n v="37.61"/>
    <n v="37.97"/>
    <n v="41.09"/>
    <n v="4464"/>
    <n v="94"/>
    <n v="1003987020"/>
    <n v="26441586"/>
    <n v="-7.5930883426624591"/>
    <x v="1291"/>
    <x v="1"/>
    <x v="1"/>
    <x v="1"/>
  </r>
  <r>
    <x v="1563"/>
    <s v="RELAXO FOOT LTD."/>
    <n v="270"/>
    <n v="270.8"/>
    <n v="251.6"/>
    <n v="254.85"/>
    <n v="273.95"/>
    <n v="216062"/>
    <n v="13996"/>
    <n v="63441998642"/>
    <n v="248938586"/>
    <n v="-6.9720751962036847"/>
    <x v="1292"/>
    <x v="0"/>
    <x v="2"/>
    <x v="1"/>
  </r>
  <r>
    <x v="1564"/>
    <s v="RELIANCE CHEMOTEX IND LTD"/>
    <n v="115.2"/>
    <n v="117.99"/>
    <n v="113"/>
    <n v="114.75"/>
    <n v="113.53"/>
    <n v="6650"/>
    <n v="197"/>
    <n v="865623854.29999995"/>
    <n v="7543563"/>
    <n v="1.0746058310578692"/>
    <x v="1293"/>
    <x v="0"/>
    <x v="1"/>
    <x v="1"/>
  </r>
  <r>
    <x v="1565"/>
    <s v="RELIABLE DATA SERVICE LTD"/>
    <n v="121.76"/>
    <n v="121.76"/>
    <n v="112"/>
    <n v="113.3"/>
    <n v="121.76"/>
    <n v="44708"/>
    <n v="714"/>
    <n v="1169256000"/>
    <n v="10320000"/>
    <n v="-6.9480946123521754"/>
    <x v="1294"/>
    <x v="0"/>
    <x v="1"/>
    <x v="1"/>
  </r>
  <r>
    <x v="1566"/>
    <s v="RELIGARE ENTER. LTD."/>
    <n v="214"/>
    <n v="214.38"/>
    <n v="199.9"/>
    <n v="201.11"/>
    <n v="215.94"/>
    <n v="2734926"/>
    <n v="30438"/>
    <n v="66518070276"/>
    <n v="330754663"/>
    <n v="-6.8676484208576385"/>
    <x v="1295"/>
    <x v="0"/>
    <x v="2"/>
    <x v="0"/>
  </r>
  <r>
    <x v="1567"/>
    <s v="RAVINDRA ENERGY LIMITED"/>
    <n v="131"/>
    <n v="131.43"/>
    <n v="122.2"/>
    <n v="123.55"/>
    <n v="132.03"/>
    <n v="81299"/>
    <n v="1672"/>
    <n v="22060403904"/>
    <n v="178554463"/>
    <n v="-6.4227827009013136"/>
    <x v="1296"/>
    <x v="0"/>
    <x v="1"/>
    <x v="1"/>
  </r>
  <r>
    <x v="1568"/>
    <s v="REMSONS INDUSTRIES LTD"/>
    <n v="86"/>
    <n v="86.31"/>
    <n v="80.180000000000007"/>
    <n v="80.739999999999995"/>
    <n v="86.31"/>
    <n v="223045"/>
    <n v="2588"/>
    <n v="2816113101"/>
    <n v="34878785"/>
    <n v="-6.4534816359633957"/>
    <x v="1297"/>
    <x v="0"/>
    <x v="1"/>
    <x v="1"/>
  </r>
  <r>
    <x v="1569"/>
    <s v="SHREE RENUKA SUGARS LTD"/>
    <n v="24.8"/>
    <n v="24.86"/>
    <n v="23.45"/>
    <n v="24.11"/>
    <n v="24.87"/>
    <n v="8175487"/>
    <n v="26723"/>
    <n v="51317888427"/>
    <n v="2128489773"/>
    <n v="-3.0558906312826761"/>
    <x v="1298"/>
    <x v="0"/>
    <x v="2"/>
    <x v="0"/>
  </r>
  <r>
    <x v="1570"/>
    <s v="REPCO HOME FINANCE LTD"/>
    <n v="348"/>
    <n v="349.15"/>
    <n v="333.6"/>
    <n v="336.6"/>
    <n v="351.15"/>
    <n v="244257"/>
    <n v="3033"/>
    <n v="21058154449"/>
    <n v="62561362"/>
    <n v="-4.1435284066638056"/>
    <x v="1299"/>
    <x v="0"/>
    <x v="1"/>
    <x v="1"/>
  </r>
  <r>
    <x v="1571"/>
    <s v="RUDRABHISHEK ENTERP LTD"/>
    <n v="69.86"/>
    <n v="69.86"/>
    <n v="62"/>
    <n v="63.1"/>
    <n v="70.44"/>
    <n v="58676"/>
    <n v="705"/>
    <n v="1143529750"/>
    <n v="18122500"/>
    <n v="-10.420215786484947"/>
    <x v="1300"/>
    <x v="0"/>
    <x v="1"/>
    <x v="1"/>
  </r>
  <r>
    <x v="1572"/>
    <s v="REPRO INDIA LIMITED"/>
    <n v="358.8"/>
    <n v="364.65"/>
    <n v="344.55"/>
    <n v="346.6"/>
    <n v="366.1"/>
    <n v="14170"/>
    <n v="1009"/>
    <n v="4972094151"/>
    <n v="14345338"/>
    <n v="-5.326413548210871"/>
    <x v="1301"/>
    <x v="0"/>
    <x v="1"/>
    <x v="1"/>
  </r>
  <r>
    <x v="1573"/>
    <s v="RESPONSIVE INDUSTRIES LTD"/>
    <n v="149.46"/>
    <n v="150.80000000000001"/>
    <n v="138.91999999999999"/>
    <n v="140.12"/>
    <n v="152.12"/>
    <n v="365940"/>
    <n v="3951"/>
    <n v="37357189185"/>
    <n v="266608544"/>
    <n v="-7.8885090717854318"/>
    <x v="1302"/>
    <x v="0"/>
    <x v="1"/>
    <x v="1"/>
  </r>
  <r>
    <x v="1574"/>
    <s v="JHS SVENDGAARD RETAIL V L"/>
    <n v="19.170000000000002"/>
    <n v="19.3"/>
    <n v="16.8"/>
    <n v="17.87"/>
    <n v="19.13"/>
    <n v="15540"/>
    <n v="165"/>
    <n v="146616202"/>
    <n v="8204600"/>
    <n v="-6.5865133298483949"/>
    <x v="679"/>
    <x v="0"/>
    <x v="1"/>
    <x v="1"/>
  </r>
  <r>
    <x v="1575"/>
    <s v="RENAISSANCE GLOBAL LTD"/>
    <n v="92.62"/>
    <n v="92.62"/>
    <n v="85"/>
    <n v="86.18"/>
    <n v="93.49"/>
    <n v="2323288"/>
    <n v="9646"/>
    <n v="9249309091"/>
    <n v="107325471"/>
    <n v="-7.8190180767996456"/>
    <x v="928"/>
    <x v="0"/>
    <x v="1"/>
    <x v="0"/>
  </r>
  <r>
    <x v="1576"/>
    <s v="RHETAN TMT LIMITED"/>
    <n v="25"/>
    <n v="25.01"/>
    <n v="24.1"/>
    <n v="24.37"/>
    <n v="25.01"/>
    <n v="3292267"/>
    <n v="1961"/>
    <n v="19419843750"/>
    <n v="796875000"/>
    <n v="-2.5589764094362275"/>
    <x v="1303"/>
    <x v="0"/>
    <x v="1"/>
    <x v="0"/>
  </r>
  <r>
    <x v="1577"/>
    <s v="RHI MAGNESITA INDIA LTD"/>
    <n v="362.25"/>
    <n v="368"/>
    <n v="336.2"/>
    <n v="340.6"/>
    <n v="370.35"/>
    <n v="273573"/>
    <n v="13151"/>
    <n v="70334385696"/>
    <n v="206501426"/>
    <n v="-8.0329418117996489"/>
    <x v="597"/>
    <x v="0"/>
    <x v="2"/>
    <x v="1"/>
  </r>
  <r>
    <x v="1578"/>
    <s v="ROBUST HOTELS LIMITED"/>
    <n v="174.52"/>
    <n v="174.52"/>
    <n v="164"/>
    <n v="164.93"/>
    <n v="173.65"/>
    <n v="6132"/>
    <n v="245"/>
    <n v="2851919421"/>
    <n v="17291696"/>
    <n v="-5.0215951626835578"/>
    <x v="1304"/>
    <x v="0"/>
    <x v="1"/>
    <x v="1"/>
  </r>
  <r>
    <x v="1579"/>
    <s v="RICO AUTO INDUSTRIES LTD"/>
    <n v="108.39"/>
    <n v="108.39"/>
    <n v="102.1"/>
    <n v="103.02"/>
    <n v="109.18"/>
    <n v="1217719"/>
    <n v="7569"/>
    <n v="13937060700"/>
    <n v="135285000"/>
    <n v="-5.6420589851621274"/>
    <x v="1305"/>
    <x v="0"/>
    <x v="1"/>
    <x v="0"/>
  </r>
  <r>
    <x v="1580"/>
    <s v="RELIANCE INDUSTRIAL INFRA"/>
    <n v="688"/>
    <n v="708.9"/>
    <n v="646.04999999999995"/>
    <n v="659.05"/>
    <n v="715"/>
    <n v="237867"/>
    <n v="10604"/>
    <n v="9951655000"/>
    <n v="15100000"/>
    <n v="-7.8251748251748312"/>
    <x v="1306"/>
    <x v="0"/>
    <x v="1"/>
    <x v="1"/>
  </r>
  <r>
    <x v="1581"/>
    <s v="RISHABH INSTRUMENTS LTD"/>
    <n v="389.55"/>
    <n v="399.95"/>
    <n v="360"/>
    <n v="362.65"/>
    <n v="387.65"/>
    <n v="32259"/>
    <n v="1588"/>
    <n v="13950936614"/>
    <n v="38469424"/>
    <n v="-6.4491164710434674"/>
    <x v="1307"/>
    <x v="0"/>
    <x v="1"/>
    <x v="1"/>
  </r>
  <r>
    <x v="1582"/>
    <s v="RITCO LOGISTICS LIMITED"/>
    <n v="193.45"/>
    <n v="194.39"/>
    <n v="185"/>
    <n v="186"/>
    <n v="196.41"/>
    <n v="48283"/>
    <n v="1136"/>
    <n v="5323832802"/>
    <n v="28622757"/>
    <n v="-5.3001374675423838"/>
    <x v="1308"/>
    <x v="0"/>
    <x v="1"/>
    <x v="1"/>
  </r>
  <r>
    <x v="1583"/>
    <s v="RITES LIMITED"/>
    <n v="191.01"/>
    <n v="192"/>
    <n v="182.25"/>
    <n v="183.98"/>
    <n v="191.56"/>
    <n v="936764"/>
    <n v="25690"/>
    <n v="88421482341"/>
    <n v="480603774"/>
    <n v="-3.9569847567341885"/>
    <x v="846"/>
    <x v="0"/>
    <x v="2"/>
    <x v="1"/>
  </r>
  <r>
    <x v="1584"/>
    <s v="RAVI KUMAR DIST. LTD."/>
    <n v="18.8"/>
    <n v="19.14"/>
    <n v="17.059999999999999"/>
    <n v="17.239999999999998"/>
    <n v="18.670000000000002"/>
    <n v="34841"/>
    <n v="491"/>
    <n v="413760000"/>
    <n v="24000000"/>
    <n v="-7.6593465452597913"/>
    <x v="1309"/>
    <x v="0"/>
    <x v="1"/>
    <x v="1"/>
  </r>
  <r>
    <x v="1585"/>
    <s v="RKEC PROJECTS LIMITED"/>
    <n v="33.979999999999997"/>
    <n v="33.979999999999997"/>
    <n v="31.05"/>
    <n v="31.67"/>
    <n v="34.24"/>
    <n v="69097"/>
    <n v="694"/>
    <n v="817738402"/>
    <n v="25820600"/>
    <n v="-7.5058411214953269"/>
    <x v="1310"/>
    <x v="0"/>
    <x v="1"/>
    <x v="1"/>
  </r>
  <r>
    <x v="1586"/>
    <s v="RAMKRISHNA FORGINGS LTD"/>
    <n v="497.55"/>
    <n v="497.55"/>
    <n v="460.15"/>
    <n v="462.7"/>
    <n v="499.6"/>
    <n v="514309"/>
    <n v="20558"/>
    <n v="83762860471"/>
    <n v="181030604"/>
    <n v="-7.385908726981592"/>
    <x v="1311"/>
    <x v="0"/>
    <x v="2"/>
    <x v="1"/>
  </r>
  <r>
    <x v="1587"/>
    <s v="R K SWAMY LIMITED"/>
    <n v="85"/>
    <n v="85.74"/>
    <n v="76.11"/>
    <n v="78.650000000000006"/>
    <n v="86.17"/>
    <n v="124810"/>
    <n v="1485"/>
    <n v="3970035005"/>
    <n v="50477241"/>
    <n v="-8.7269351282348797"/>
    <x v="1312"/>
    <x v="0"/>
    <x v="1"/>
    <x v="1"/>
  </r>
  <r>
    <x v="1588"/>
    <s v="R M DRIP &amp; SPRINK SYS LTD"/>
    <n v="44"/>
    <n v="44"/>
    <n v="40.71"/>
    <n v="40.71"/>
    <n v="42.85"/>
    <n v="4913014"/>
    <n v="10084"/>
    <n v="10169358000"/>
    <n v="249800000"/>
    <n v="-4.9941656942823816"/>
    <x v="1313"/>
    <x v="0"/>
    <x v="1"/>
    <x v="0"/>
  </r>
  <r>
    <x v="1589"/>
    <s v="RANE (MADRAS) LIMITED"/>
    <n v="710"/>
    <n v="730.5"/>
    <n v="675.8"/>
    <n v="684.65"/>
    <n v="723.85"/>
    <n v="19588"/>
    <n v="1457"/>
    <n v="18921765847"/>
    <n v="27637137"/>
    <n v="-5.4154866339711321"/>
    <x v="70"/>
    <x v="0"/>
    <x v="1"/>
    <x v="1"/>
  </r>
  <r>
    <x v="1590"/>
    <s v="ROYAL ORCHID HOTELS LTD"/>
    <n v="305.45"/>
    <n v="317.60000000000002"/>
    <n v="285.35000000000002"/>
    <n v="289.35000000000002"/>
    <n v="313.64999999999998"/>
    <n v="106525"/>
    <n v="3405"/>
    <n v="7935485960"/>
    <n v="27425215"/>
    <n v="-7.7474892395982637"/>
    <x v="1314"/>
    <x v="0"/>
    <x v="1"/>
    <x v="1"/>
  </r>
  <r>
    <x v="1591"/>
    <s v="ROLEX RINGS LIMITED"/>
    <n v="117"/>
    <n v="117"/>
    <n v="111.1"/>
    <n v="112.4"/>
    <n v="119.14"/>
    <n v="443351"/>
    <n v="6982"/>
    <n v="30610242688"/>
    <n v="272333120"/>
    <n v="-5.6572100050360872"/>
    <x v="1091"/>
    <x v="0"/>
    <x v="1"/>
    <x v="1"/>
  </r>
  <r>
    <x v="1592"/>
    <s v="RAJ OIL MILLS LIMITED"/>
    <n v="44.37"/>
    <n v="44.37"/>
    <n v="42.06"/>
    <n v="42.33"/>
    <n v="43.5"/>
    <n v="1100"/>
    <n v="44"/>
    <n v="634470993.70000005"/>
    <n v="14988684"/>
    <n v="-2.6896551724137971"/>
    <x v="1315"/>
    <x v="0"/>
    <x v="1"/>
    <x v="1"/>
  </r>
  <r>
    <x v="1593"/>
    <s v="ROSSARI BIOTECH LIMITED"/>
    <n v="405"/>
    <n v="408.75"/>
    <n v="385"/>
    <n v="388.75"/>
    <n v="411.35"/>
    <n v="85114"/>
    <n v="4031"/>
    <n v="21529506033"/>
    <n v="55381366"/>
    <n v="-5.4941047769539377"/>
    <x v="1316"/>
    <x v="0"/>
    <x v="1"/>
    <x v="1"/>
  </r>
  <r>
    <x v="1594"/>
    <s v="ROSSELL INDIA LIMITED"/>
    <n v="46.85"/>
    <n v="46.85"/>
    <n v="44.5"/>
    <n v="45.39"/>
    <n v="46.85"/>
    <n v="57554"/>
    <n v="650"/>
    <n v="2833619175"/>
    <n v="62428270"/>
    <n v="-3.1163287086446121"/>
    <x v="657"/>
    <x v="0"/>
    <x v="1"/>
    <x v="1"/>
  </r>
  <r>
    <x v="1595"/>
    <s v="ROSSELL TECHSYS LIMITED"/>
    <n v="702.6"/>
    <n v="715"/>
    <n v="663.65"/>
    <n v="673.9"/>
    <n v="720.1"/>
    <n v="42750"/>
    <n v="2397"/>
    <n v="25403654503"/>
    <n v="37696475"/>
    <n v="-6.415775586724072"/>
    <x v="1317"/>
    <x v="0"/>
    <x v="1"/>
    <x v="1"/>
  </r>
  <r>
    <x v="1596"/>
    <s v="ROTO PUMPS LIMITED"/>
    <n v="56.54"/>
    <n v="56.54"/>
    <n v="52.21"/>
    <n v="52.81"/>
    <n v="56.67"/>
    <n v="463623"/>
    <n v="3283"/>
    <n v="9951815305"/>
    <n v="188445660"/>
    <n v="-6.8113640374095636"/>
    <x v="1318"/>
    <x v="0"/>
    <x v="1"/>
    <x v="1"/>
  </r>
  <r>
    <x v="1597"/>
    <s v="ROUTE MOBILE LIMITED"/>
    <n v="460"/>
    <n v="462"/>
    <n v="443"/>
    <n v="445.45"/>
    <n v="468"/>
    <n v="247101"/>
    <n v="8397"/>
    <n v="28062272902"/>
    <n v="62997582"/>
    <n v="-4.8183760683760708"/>
    <x v="938"/>
    <x v="0"/>
    <x v="1"/>
    <x v="1"/>
  </r>
  <r>
    <x v="1598"/>
    <s v="RAGHAV PRODUCTIVITY ENH L"/>
    <n v="645.85"/>
    <n v="645.85"/>
    <n v="583.5"/>
    <n v="591.75"/>
    <n v="642.6"/>
    <n v="99450"/>
    <n v="3770"/>
    <n v="27168402330"/>
    <n v="45911960"/>
    <n v="-7.9131652661064464"/>
    <x v="1319"/>
    <x v="0"/>
    <x v="1"/>
    <x v="1"/>
  </r>
  <r>
    <x v="1599"/>
    <s v="RPG LIFE SCIENCES LTD"/>
    <n v="1870"/>
    <n v="1879.5"/>
    <n v="1733"/>
    <n v="1744"/>
    <n v="1879.7"/>
    <n v="13786"/>
    <n v="2045"/>
    <n v="28844042160"/>
    <n v="16539015"/>
    <n v="-7.2192371123051577"/>
    <x v="1320"/>
    <x v="0"/>
    <x v="1"/>
    <x v="1"/>
  </r>
  <r>
    <x v="1600"/>
    <s v="RELIANCE POWER LTD."/>
    <n v="22.55"/>
    <n v="22.55"/>
    <n v="20.8"/>
    <n v="20.97"/>
    <n v="22.62"/>
    <n v="52461895"/>
    <n v="70943"/>
    <n v="86727117157"/>
    <n v="4135770966"/>
    <n v="-7.29442970822282"/>
    <x v="1321"/>
    <x v="0"/>
    <x v="2"/>
    <x v="0"/>
  </r>
  <r>
    <x v="1601"/>
    <s v="R.P.P INFRA PROJECTS LTD"/>
    <n v="67.5"/>
    <n v="67.5"/>
    <n v="61.5"/>
    <n v="62.2"/>
    <n v="67.53"/>
    <n v="149973"/>
    <n v="2120"/>
    <n v="3084244100"/>
    <n v="49585918"/>
    <n v="-7.8927883903450287"/>
    <x v="333"/>
    <x v="0"/>
    <x v="1"/>
    <x v="1"/>
  </r>
  <r>
    <x v="1602"/>
    <s v="RAJSHREE POLYPACK LTD"/>
    <n v="15.47"/>
    <n v="15.47"/>
    <n v="15"/>
    <n v="15"/>
    <n v="15.4"/>
    <n v="60074"/>
    <n v="307"/>
    <n v="1113660000"/>
    <n v="74244000"/>
    <n v="-2.5974025974025996"/>
    <x v="211"/>
    <x v="0"/>
    <x v="1"/>
    <x v="1"/>
  </r>
  <r>
    <x v="1603"/>
    <s v="RPSG VENTURES LIMITED"/>
    <n v="596.1"/>
    <n v="596.29999999999995"/>
    <n v="551.9"/>
    <n v="559.85"/>
    <n v="604"/>
    <n v="48534"/>
    <n v="2231"/>
    <n v="18523426079"/>
    <n v="33086409"/>
    <n v="-7.309602649006619"/>
    <x v="1322"/>
    <x v="0"/>
    <x v="1"/>
    <x v="1"/>
  </r>
  <r>
    <x v="1604"/>
    <s v="RASHI PERIPHERALS LIMITED"/>
    <n v="337.2"/>
    <n v="346.65"/>
    <n v="333"/>
    <n v="342.1"/>
    <n v="342.35"/>
    <n v="107593"/>
    <n v="2214"/>
    <n v="22544275397"/>
    <n v="65899665"/>
    <n v="-7.3024682342631805E-2"/>
    <x v="115"/>
    <x v="1"/>
    <x v="1"/>
    <x v="1"/>
  </r>
  <r>
    <x v="1605"/>
    <s v="R R KABEL LIMITED"/>
    <n v="1379.8"/>
    <n v="1380"/>
    <n v="1311.1"/>
    <n v="1316.1"/>
    <n v="1391.4"/>
    <n v="132378"/>
    <n v="12523"/>
    <n v="149000000000"/>
    <n v="113089201"/>
    <n v="-5.4118154376886718"/>
    <x v="1323"/>
    <x v="0"/>
    <x v="2"/>
    <x v="1"/>
  </r>
  <r>
    <x v="1606"/>
    <s v="RAJPUTANA STAINLESS LTD"/>
    <n v="114.74"/>
    <n v="115.67"/>
    <n v="105.62"/>
    <n v="108.11"/>
    <n v="114.13"/>
    <n v="1276138"/>
    <n v="14954"/>
    <n v="9034499506"/>
    <n v="83567658"/>
    <n v="-5.2746867607114662"/>
    <x v="1324"/>
    <x v="0"/>
    <x v="1"/>
    <x v="0"/>
  </r>
  <r>
    <x v="1607"/>
    <s v="R. S. SOFTWARE (INDIA) LI"/>
    <n v="27.63"/>
    <n v="27.63"/>
    <n v="25.02"/>
    <n v="25.91"/>
    <n v="27.39"/>
    <n v="187326"/>
    <n v="754"/>
    <n v="669286677"/>
    <n v="25831211"/>
    <n v="-5.4034319094560068"/>
    <x v="1325"/>
    <x v="0"/>
    <x v="1"/>
    <x v="1"/>
  </r>
  <r>
    <x v="1608"/>
    <s v="RSWM LIMITED"/>
    <n v="131.69999999999999"/>
    <n v="131.69999999999999"/>
    <n v="120.69"/>
    <n v="127.33"/>
    <n v="132.36000000000001"/>
    <n v="101293"/>
    <n v="1798"/>
    <n v="5997457424"/>
    <n v="47101684"/>
    <n v="-3.8002417648836619"/>
    <x v="1326"/>
    <x v="0"/>
    <x v="1"/>
    <x v="1"/>
  </r>
  <r>
    <x v="1609"/>
    <s v="R SYS INTERNATIONAL LTD"/>
    <n v="260"/>
    <n v="260"/>
    <n v="249.45"/>
    <n v="251.95"/>
    <n v="264.14999999999998"/>
    <n v="391120"/>
    <n v="7049"/>
    <n v="29830609658"/>
    <n v="118398927"/>
    <n v="-4.6185879235282945"/>
    <x v="1327"/>
    <x v="0"/>
    <x v="1"/>
    <x v="1"/>
  </r>
  <r>
    <x v="1610"/>
    <s v="RATTANINDIA ENT LIMITED"/>
    <n v="26.62"/>
    <n v="26.62"/>
    <n v="25.33"/>
    <n v="25.7"/>
    <n v="26.71"/>
    <n v="2642443"/>
    <n v="11491"/>
    <n v="35524328514"/>
    <n v="1382269592"/>
    <n v="-3.7813552976413387"/>
    <x v="1328"/>
    <x v="0"/>
    <x v="1"/>
    <x v="0"/>
  </r>
  <r>
    <x v="1611"/>
    <s v="RATTANINDIA POWER LIMITED"/>
    <n v="8.1999999999999993"/>
    <n v="8.1999999999999993"/>
    <n v="7.85"/>
    <n v="7.92"/>
    <n v="8.31"/>
    <n v="19614858"/>
    <n v="18932"/>
    <n v="42531238411"/>
    <n v="5370105860"/>
    <n v="-4.693140794223833"/>
    <x v="1329"/>
    <x v="0"/>
    <x v="1"/>
    <x v="0"/>
  </r>
  <r>
    <x v="1612"/>
    <s v="RUBFILA INTERNATIONAL LTD"/>
    <n v="60.01"/>
    <n v="61.1"/>
    <n v="59.01"/>
    <n v="59.53"/>
    <n v="61.07"/>
    <n v="29873"/>
    <n v="366"/>
    <n v="3230546001"/>
    <n v="54267529"/>
    <n v="-2.5216964139512021"/>
    <x v="1160"/>
    <x v="0"/>
    <x v="1"/>
    <x v="1"/>
  </r>
  <r>
    <x v="1613"/>
    <s v="RUBICON RESEARCH LIMITED"/>
    <n v="771.2"/>
    <n v="775"/>
    <n v="758.3"/>
    <n v="767.4"/>
    <n v="782.95"/>
    <n v="105568"/>
    <n v="8589"/>
    <n v="126000000000"/>
    <n v="164750309"/>
    <n v="-1.9860782936330632"/>
    <x v="1330"/>
    <x v="0"/>
    <x v="2"/>
    <x v="1"/>
  </r>
  <r>
    <x v="1614"/>
    <s v="THE RUBY MILLS LTD"/>
    <n v="199.07"/>
    <n v="201.05"/>
    <n v="197.61"/>
    <n v="199.7"/>
    <n v="201.05"/>
    <n v="33037"/>
    <n v="771"/>
    <n v="6677968000"/>
    <n v="33440000"/>
    <n v="-0.67147475752301555"/>
    <x v="184"/>
    <x v="1"/>
    <x v="1"/>
    <x v="1"/>
  </r>
  <r>
    <x v="1615"/>
    <s v="RUCHI INFRASTRUCTURE LTD"/>
    <n v="4.96"/>
    <n v="5.14"/>
    <n v="4.7"/>
    <n v="4.8499999999999996"/>
    <n v="4.96"/>
    <n v="85926"/>
    <n v="445"/>
    <n v="1144720969"/>
    <n v="236024942"/>
    <n v="-2.2177419354838772"/>
    <x v="1331"/>
    <x v="0"/>
    <x v="1"/>
    <x v="1"/>
  </r>
  <r>
    <x v="1616"/>
    <s v="RUCHIRA PAPERS LIMITED"/>
    <n v="103.9"/>
    <n v="103.9"/>
    <n v="99.9"/>
    <n v="100.53"/>
    <n v="102.93"/>
    <n v="39452"/>
    <n v="463"/>
    <n v="3000316242"/>
    <n v="29844984"/>
    <n v="-2.3316817254444824"/>
    <x v="199"/>
    <x v="0"/>
    <x v="1"/>
    <x v="1"/>
  </r>
  <r>
    <x v="1617"/>
    <s v="RUDRA GLOBAL INFRA PROD L"/>
    <n v="16"/>
    <n v="16.98"/>
    <n v="15.37"/>
    <n v="15.55"/>
    <n v="16.13"/>
    <n v="75490"/>
    <n v="441"/>
    <n v="1560346525"/>
    <n v="100343828"/>
    <n v="-3.5957842529448127"/>
    <x v="1332"/>
    <x v="0"/>
    <x v="1"/>
    <x v="1"/>
  </r>
  <r>
    <x v="1618"/>
    <s v="RUPA &amp; COMPANY LTD"/>
    <n v="122.5"/>
    <n v="122.78"/>
    <n v="116.1"/>
    <n v="117.89"/>
    <n v="123.93"/>
    <n v="287488"/>
    <n v="3181"/>
    <n v="9375150378"/>
    <n v="79524560"/>
    <n v="-4.873719034939084"/>
    <x v="242"/>
    <x v="0"/>
    <x v="1"/>
    <x v="1"/>
  </r>
  <r>
    <x v="1619"/>
    <s v="RUSHIL DECOR LIMITED"/>
    <n v="15.65"/>
    <n v="16.989999999999998"/>
    <n v="15.01"/>
    <n v="15.66"/>
    <n v="15.54"/>
    <n v="943126"/>
    <n v="2103"/>
    <n v="4594907401"/>
    <n v="293416820"/>
    <n v="0.77220077220077865"/>
    <x v="1333"/>
    <x v="1"/>
    <x v="1"/>
    <x v="1"/>
  </r>
  <r>
    <x v="1620"/>
    <s v="KEYSTONE REALTORS LIMITED"/>
    <n v="365"/>
    <n v="373"/>
    <n v="358.8"/>
    <n v="370.65"/>
    <n v="375.05"/>
    <n v="41164"/>
    <n v="1822"/>
    <n v="46784327000"/>
    <n v="126222385"/>
    <n v="-1.1731769097453764"/>
    <x v="1103"/>
    <x v="1"/>
    <x v="1"/>
    <x v="1"/>
  </r>
  <r>
    <x v="1621"/>
    <s v="RAVINDER HEIGHTS LIMITED"/>
    <n v="34.1"/>
    <n v="36.49"/>
    <n v="32.11"/>
    <n v="33.22"/>
    <n v="35.130000000000003"/>
    <n v="66420"/>
    <n v="751"/>
    <n v="2037241282"/>
    <n v="61325746"/>
    <n v="-5.4369484770851226"/>
    <x v="1334"/>
    <x v="0"/>
    <x v="1"/>
    <x v="1"/>
  </r>
  <r>
    <x v="1622"/>
    <s v="RAIL VIKAS NIGAM LIMITED"/>
    <n v="260.7"/>
    <n v="260.75"/>
    <n v="249.1"/>
    <n v="250.25"/>
    <n v="264.55"/>
    <n v="6637313"/>
    <n v="75267"/>
    <n v="522000000000"/>
    <n v="2085020100"/>
    <n v="-5.4054054054054088"/>
    <x v="1335"/>
    <x v="0"/>
    <x v="0"/>
    <x v="0"/>
  </r>
  <r>
    <x v="1623"/>
    <s v="REVATHI EQUIPMENT INDIA L"/>
    <n v="550.04999999999995"/>
    <n v="560"/>
    <n v="515"/>
    <n v="541.70000000000005"/>
    <n v="563.54999999999995"/>
    <n v="1327"/>
    <n v="260"/>
    <n v="1661363023"/>
    <n v="3066943"/>
    <n v="-3.8772069913938263"/>
    <x v="138"/>
    <x v="0"/>
    <x v="1"/>
    <x v="1"/>
  </r>
  <r>
    <x v="1624"/>
    <s v="SAATVIK GREEN ENERGY LTD"/>
    <n v="372"/>
    <n v="373"/>
    <n v="355.4"/>
    <n v="359.2"/>
    <n v="371.9"/>
    <n v="129619"/>
    <n v="4982"/>
    <n v="45656117437"/>
    <n v="127105004"/>
    <n v="-3.4148964775477251"/>
    <x v="1336"/>
    <x v="0"/>
    <x v="1"/>
    <x v="1"/>
  </r>
  <r>
    <x v="1625"/>
    <s v="SADBHAV INFRA PROJ LTD."/>
    <n v="2.57"/>
    <n v="2.57"/>
    <n v="2.4500000000000002"/>
    <n v="2.4500000000000002"/>
    <n v="2.57"/>
    <n v="511165"/>
    <n v="588"/>
    <n v="862951779.20000005"/>
    <n v="352225216"/>
    <n v="-4.669260700389092"/>
    <x v="645"/>
    <x v="0"/>
    <x v="1"/>
    <x v="1"/>
  </r>
  <r>
    <x v="1626"/>
    <s v="SADHANA NITROCHEM LIMITED"/>
    <n v="1.39"/>
    <n v="1.39"/>
    <n v="1.39"/>
    <n v="1.39"/>
    <n v="1.46"/>
    <n v="874982"/>
    <n v="767"/>
    <n v="4120932323"/>
    <n v="2964699513"/>
    <n v="-4.7945205479452104"/>
    <x v="227"/>
    <x v="0"/>
    <x v="1"/>
    <x v="1"/>
  </r>
  <r>
    <x v="1627"/>
    <s v="SAFARI IND (INDIA) LTD"/>
    <n v="1514.3"/>
    <n v="1519.9"/>
    <n v="1456.2"/>
    <n v="1482.8"/>
    <n v="1520.5"/>
    <n v="35163"/>
    <n v="6586"/>
    <n v="72645751301"/>
    <n v="48992279"/>
    <n v="-2.4794475501479805"/>
    <x v="20"/>
    <x v="0"/>
    <x v="2"/>
    <x v="1"/>
  </r>
  <r>
    <x v="1628"/>
    <s v="SAGARDEEP ALLOYS LIMITED"/>
    <n v="23.99"/>
    <n v="23.99"/>
    <n v="22.53"/>
    <n v="22.63"/>
    <n v="23.03"/>
    <n v="2210"/>
    <n v="45"/>
    <n v="386008962"/>
    <n v="17057400"/>
    <n v="-1.7368649587494664"/>
    <x v="1337"/>
    <x v="0"/>
    <x v="1"/>
    <x v="1"/>
  </r>
  <r>
    <x v="1629"/>
    <s v="SAGAR CEMENTS LIMITED"/>
    <n v="164.5"/>
    <n v="167.67"/>
    <n v="151.15"/>
    <n v="154.09"/>
    <n v="167.68"/>
    <n v="217308"/>
    <n v="3183"/>
    <n v="20140726071"/>
    <n v="130707548"/>
    <n v="-8.10472328244275"/>
    <x v="1338"/>
    <x v="0"/>
    <x v="1"/>
    <x v="1"/>
  </r>
  <r>
    <x v="1630"/>
    <s v="SAGILITY LIMITED"/>
    <n v="38.5"/>
    <n v="38.5"/>
    <n v="35.83"/>
    <n v="36.35"/>
    <n v="39.06"/>
    <n v="33007629"/>
    <n v="92880"/>
    <n v="170000000000"/>
    <n v="4681328413"/>
    <n v="-6.9380440348182306"/>
    <x v="1339"/>
    <x v="0"/>
    <x v="2"/>
    <x v="0"/>
  </r>
  <r>
    <x v="1631"/>
    <s v="SAHYADRI INDUSTRIES LTD"/>
    <n v="231.6"/>
    <n v="244"/>
    <n v="223.15"/>
    <n v="223.75"/>
    <n v="240.45"/>
    <n v="4928"/>
    <n v="195"/>
    <n v="2449234625"/>
    <n v="10946300"/>
    <n v="-6.9453108754418746"/>
    <x v="1340"/>
    <x v="0"/>
    <x v="1"/>
    <x v="1"/>
  </r>
  <r>
    <x v="1632"/>
    <s v="STEEL AUTHORITY OF INDIA"/>
    <n v="153.04"/>
    <n v="154"/>
    <n v="142.26"/>
    <n v="143.04"/>
    <n v="155.52000000000001"/>
    <n v="21470572"/>
    <n v="88933"/>
    <n v="591000000000"/>
    <n v="4130525289"/>
    <n v="-8.0246913580247021"/>
    <x v="1341"/>
    <x v="0"/>
    <x v="0"/>
    <x v="0"/>
  </r>
  <r>
    <x v="1633"/>
    <s v="SAI LIFE SCIENCES LIMITED"/>
    <n v="990"/>
    <n v="1002.6"/>
    <n v="963"/>
    <n v="988.2"/>
    <n v="1000.05"/>
    <n v="383961"/>
    <n v="24018"/>
    <n v="208000000000"/>
    <n v="210342083"/>
    <n v="-1.1849407529623428"/>
    <x v="1342"/>
    <x v="0"/>
    <x v="0"/>
    <x v="1"/>
  </r>
  <r>
    <x v="1634"/>
    <s v="SAKAR HEALTHCARE LIMITED"/>
    <n v="531.79999999999995"/>
    <n v="542.25"/>
    <n v="503.1"/>
    <n v="505.55"/>
    <n v="531"/>
    <n v="65384"/>
    <n v="3181"/>
    <n v="11248442001"/>
    <n v="22249910"/>
    <n v="-4.7928436911487733"/>
    <x v="1343"/>
    <x v="0"/>
    <x v="1"/>
    <x v="1"/>
  </r>
  <r>
    <x v="1635"/>
    <s v="SAKTHI SUGARS LTD"/>
    <n v="14.71"/>
    <n v="14.71"/>
    <n v="13.52"/>
    <n v="13.83"/>
    <n v="14.74"/>
    <n v="123490"/>
    <n v="712"/>
    <n v="1643682168"/>
    <n v="118849036"/>
    <n v="-6.1736770691994582"/>
    <x v="1344"/>
    <x v="0"/>
    <x v="1"/>
    <x v="1"/>
  </r>
  <r>
    <x v="1636"/>
    <s v="SAKSOFT LIMITED"/>
    <n v="116"/>
    <n v="117.5"/>
    <n v="112.01"/>
    <n v="114.76"/>
    <n v="119.57"/>
    <n v="313585"/>
    <n v="6212"/>
    <n v="15211581450"/>
    <n v="132551250"/>
    <n v="-4.0227481809818419"/>
    <x v="1345"/>
    <x v="0"/>
    <x v="1"/>
    <x v="1"/>
  </r>
  <r>
    <x v="1637"/>
    <s v="SAKUMA EXPORTS LIMITED"/>
    <n v="1.46"/>
    <n v="1.46"/>
    <n v="1.33"/>
    <n v="1.36"/>
    <n v="1.46"/>
    <n v="2416382"/>
    <n v="2349"/>
    <n v="2132097350"/>
    <n v="1567718640"/>
    <n v="-6.8493150684931416"/>
    <x v="1346"/>
    <x v="0"/>
    <x v="1"/>
    <x v="0"/>
  </r>
  <r>
    <x v="1638"/>
    <s v="SALASAR TECHNO ENGG. LTD."/>
    <n v="6.8"/>
    <n v="6.91"/>
    <n v="6.07"/>
    <n v="6.14"/>
    <n v="6.94"/>
    <n v="20016700"/>
    <n v="13662"/>
    <n v="10732414781"/>
    <n v="1747950290"/>
    <n v="-11.527377521613841"/>
    <x v="1347"/>
    <x v="0"/>
    <x v="1"/>
    <x v="0"/>
  </r>
  <r>
    <x v="1639"/>
    <s v="SALONA COTSPIN LTD."/>
    <n v="260.5"/>
    <n v="272.8"/>
    <n v="256.2"/>
    <n v="269.45"/>
    <n v="267"/>
    <n v="26"/>
    <n v="15"/>
    <n v="1417953680"/>
    <n v="5262400"/>
    <n v="0.91760299625467734"/>
    <x v="1348"/>
    <x v="1"/>
    <x v="1"/>
    <x v="1"/>
  </r>
  <r>
    <x v="1640"/>
    <s v="SALZER ELECTRONICS LTD"/>
    <n v="540.20000000000005"/>
    <n v="545.95000000000005"/>
    <n v="518.29999999999995"/>
    <n v="521.9"/>
    <n v="551.1"/>
    <n v="85618"/>
    <n v="4583"/>
    <n v="9228620440"/>
    <n v="17682737"/>
    <n v="-5.2984939212484203"/>
    <x v="17"/>
    <x v="0"/>
    <x v="1"/>
    <x v="1"/>
  </r>
  <r>
    <x v="1641"/>
    <s v="SAMBHAAV MEDIA LTD"/>
    <n v="5.99"/>
    <n v="5.99"/>
    <n v="5.43"/>
    <n v="5.46"/>
    <n v="5.71"/>
    <n v="14945"/>
    <n v="86"/>
    <n v="1043465186"/>
    <n v="191110840"/>
    <n v="-4.3782837127845884"/>
    <x v="1198"/>
    <x v="0"/>
    <x v="1"/>
    <x v="1"/>
  </r>
  <r>
    <x v="1642"/>
    <s v="SAMBHV STEEL TUBES LTD"/>
    <n v="93.5"/>
    <n v="93.5"/>
    <n v="90"/>
    <n v="90.94"/>
    <n v="94.48"/>
    <n v="983941"/>
    <n v="6370"/>
    <n v="26797419753"/>
    <n v="294671429"/>
    <n v="-3.7468247248094904"/>
    <x v="1349"/>
    <x v="0"/>
    <x v="1"/>
    <x v="1"/>
  </r>
  <r>
    <x v="1643"/>
    <s v="SAMHI HOTELS LIMITED"/>
    <n v="142"/>
    <n v="144"/>
    <n v="132.81"/>
    <n v="133.63999999999999"/>
    <n v="144.32"/>
    <n v="1890540"/>
    <n v="23346"/>
    <n v="29561990421"/>
    <n v="221206154"/>
    <n v="-7.4002217294900268"/>
    <x v="1350"/>
    <x v="0"/>
    <x v="1"/>
    <x v="0"/>
  </r>
  <r>
    <x v="1644"/>
    <s v="SAMMAAN CAPITAL LIMITED"/>
    <n v="136"/>
    <n v="136.38999999999999"/>
    <n v="129"/>
    <n v="130"/>
    <n v="137.97"/>
    <n v="13872898"/>
    <n v="33163"/>
    <n v="108000000000"/>
    <n v="828362949"/>
    <n v="-5.7766181053852277"/>
    <x v="1351"/>
    <x v="0"/>
    <x v="2"/>
    <x v="0"/>
  </r>
  <r>
    <x v="1645"/>
    <s v="SAMPANN UTPADAN INDIA LTD"/>
    <n v="28.41"/>
    <n v="28.41"/>
    <n v="25.55"/>
    <n v="26.13"/>
    <n v="28.41"/>
    <n v="36386"/>
    <n v="356"/>
    <n v="1061139300"/>
    <n v="40610000"/>
    <n v="-8.0253431890179563"/>
    <x v="1352"/>
    <x v="0"/>
    <x v="1"/>
    <x v="1"/>
  </r>
  <r>
    <x v="1646"/>
    <s v="SANATHAN TEXTILES LIMITED"/>
    <n v="382"/>
    <n v="382"/>
    <n v="358"/>
    <n v="365.9"/>
    <n v="378.35"/>
    <n v="64544"/>
    <n v="1405"/>
    <n v="30883445188"/>
    <n v="84404059"/>
    <n v="-3.2906039381525165"/>
    <x v="68"/>
    <x v="0"/>
    <x v="1"/>
    <x v="1"/>
  </r>
  <r>
    <x v="1647"/>
    <s v="SANDESH LTD"/>
    <n v="922.05"/>
    <n v="925"/>
    <n v="865"/>
    <n v="880.1"/>
    <n v="936.8"/>
    <n v="2794"/>
    <n v="310"/>
    <n v="6661847422"/>
    <n v="7569421"/>
    <n v="-6.052519214346705"/>
    <x v="1353"/>
    <x v="0"/>
    <x v="1"/>
    <x v="1"/>
  </r>
  <r>
    <x v="1648"/>
    <s v="SANDHAR TECHNOLOGIES LTD"/>
    <n v="470.15"/>
    <n v="472.45"/>
    <n v="445.55"/>
    <n v="448.1"/>
    <n v="477.3"/>
    <n v="71780"/>
    <n v="4794"/>
    <n v="26971456255"/>
    <n v="60190708"/>
    <n v="-6.1177456526293712"/>
    <x v="18"/>
    <x v="0"/>
    <x v="1"/>
    <x v="1"/>
  </r>
  <r>
    <x v="1649"/>
    <s v="SANDUR MANG &amp; IRON ORES L"/>
    <n v="183.36"/>
    <n v="183.36"/>
    <n v="171.1"/>
    <n v="171.59"/>
    <n v="185.29"/>
    <n v="1817880"/>
    <n v="24343"/>
    <n v="83410725034"/>
    <n v="486104814"/>
    <n v="-7.3938151006530246"/>
    <x v="1354"/>
    <x v="0"/>
    <x v="2"/>
    <x v="0"/>
  </r>
  <r>
    <x v="1650"/>
    <s v="SANGAM (INDIA) LTD"/>
    <n v="427"/>
    <n v="427.85"/>
    <n v="412.2"/>
    <n v="417.05"/>
    <n v="435.45"/>
    <n v="22861"/>
    <n v="537"/>
    <n v="20955327431"/>
    <n v="50246559"/>
    <n v="-4.2255138362613343"/>
    <x v="1355"/>
    <x v="0"/>
    <x v="1"/>
    <x v="1"/>
  </r>
  <r>
    <x v="1651"/>
    <s v="SANGHI INDUSTRIES LTD"/>
    <n v="50"/>
    <n v="50"/>
    <n v="47"/>
    <n v="47.51"/>
    <n v="50.44"/>
    <n v="669324"/>
    <n v="2655"/>
    <n v="12273068260"/>
    <n v="258326000"/>
    <n v="-5.8088818398096747"/>
    <x v="758"/>
    <x v="0"/>
    <x v="1"/>
    <x v="1"/>
  </r>
  <r>
    <x v="1652"/>
    <s v="SANGHVI MOVERS LTD"/>
    <n v="239"/>
    <n v="249.95"/>
    <n v="230.5"/>
    <n v="243.25"/>
    <n v="241.15"/>
    <n v="323606"/>
    <n v="6758"/>
    <n v="21059612000"/>
    <n v="86576000"/>
    <n v="0.87082728592162328"/>
    <x v="385"/>
    <x v="1"/>
    <x v="1"/>
    <x v="1"/>
  </r>
  <r>
    <x v="1653"/>
    <s v="SANOFI INDIA LIMITED"/>
    <n v="3384"/>
    <n v="3384"/>
    <n v="3217"/>
    <n v="3227.4"/>
    <n v="3386.1"/>
    <n v="25984"/>
    <n v="6040"/>
    <n v="74329029443"/>
    <n v="23030622"/>
    <n v="-4.6868078320191318"/>
    <x v="1356"/>
    <x v="0"/>
    <x v="2"/>
    <x v="1"/>
  </r>
  <r>
    <x v="1654"/>
    <s v="SANOFI CONS HEALTHC IND L"/>
    <n v="4202"/>
    <n v="4221.3999999999996"/>
    <n v="4040"/>
    <n v="4073.3"/>
    <n v="4252"/>
    <n v="6757"/>
    <n v="1923"/>
    <n v="93810632593"/>
    <n v="23030622"/>
    <n v="-4.202728127939789"/>
    <x v="1357"/>
    <x v="0"/>
    <x v="2"/>
    <x v="1"/>
  </r>
  <r>
    <x v="1655"/>
    <s v="SANSERA ENGINEERING LTD"/>
    <n v="2131"/>
    <n v="2145"/>
    <n v="2025"/>
    <n v="2044.4"/>
    <n v="2177.9"/>
    <n v="183357"/>
    <n v="15659"/>
    <n v="127000000000"/>
    <n v="62224268"/>
    <n v="-6.1297580237843787"/>
    <x v="1358"/>
    <x v="0"/>
    <x v="2"/>
    <x v="1"/>
  </r>
  <r>
    <x v="1656"/>
    <s v="SANSTAR LIMITED"/>
    <n v="81.099999999999994"/>
    <n v="82.11"/>
    <n v="77.7"/>
    <n v="78.13"/>
    <n v="82.4"/>
    <n v="332373"/>
    <n v="4181"/>
    <n v="14238743253"/>
    <n v="182244250"/>
    <n v="-5.1820388349514683"/>
    <x v="1059"/>
    <x v="0"/>
    <x v="1"/>
    <x v="1"/>
  </r>
  <r>
    <x v="1657"/>
    <s v="SAPPHIRE FOODS INDIA LTD"/>
    <n v="156.47"/>
    <n v="158"/>
    <n v="153.30000000000001"/>
    <n v="154.47999999999999"/>
    <n v="160.13"/>
    <n v="910592"/>
    <n v="14176"/>
    <n v="49647231164"/>
    <n v="321382905"/>
    <n v="-3.5283831886592183"/>
    <x v="1359"/>
    <x v="0"/>
    <x v="1"/>
    <x v="1"/>
  </r>
  <r>
    <x v="1658"/>
    <s v="SARDA ENERGY &amp; MIN LTD"/>
    <n v="501"/>
    <n v="504.45"/>
    <n v="477.8"/>
    <n v="485.7"/>
    <n v="508.75"/>
    <n v="514138"/>
    <n v="22678"/>
    <n v="171000000000"/>
    <n v="352381270"/>
    <n v="-4.5307125307125329"/>
    <x v="96"/>
    <x v="0"/>
    <x v="2"/>
    <x v="1"/>
  </r>
  <r>
    <x v="1659"/>
    <s v="SAREGAMA INDIA LIMITED"/>
    <n v="337.6"/>
    <n v="338.75"/>
    <n v="330"/>
    <n v="331.1"/>
    <n v="344.1"/>
    <n v="224918"/>
    <n v="14799"/>
    <n v="63839222139"/>
    <n v="192809490"/>
    <n v="-3.7779715199070036"/>
    <x v="1360"/>
    <x v="0"/>
    <x v="2"/>
    <x v="1"/>
  </r>
  <r>
    <x v="1660"/>
    <s v="SARLA PERF. FIBERS LTD"/>
    <n v="81.8"/>
    <n v="81.8"/>
    <n v="76.25"/>
    <n v="77.64"/>
    <n v="83.01"/>
    <n v="141296"/>
    <n v="3843"/>
    <n v="6483172920"/>
    <n v="83503000"/>
    <n v="-6.4691001084206778"/>
    <x v="1361"/>
    <x v="0"/>
    <x v="1"/>
    <x v="1"/>
  </r>
  <r>
    <x v="1661"/>
    <s v="SARVESHWAR FOODS LIMITED"/>
    <n v="3.18"/>
    <n v="3.18"/>
    <n v="2.82"/>
    <n v="2.84"/>
    <n v="3.22"/>
    <n v="12388921"/>
    <n v="8879"/>
    <n v="3489583172"/>
    <n v="1228726469"/>
    <n v="-11.801242236024855"/>
    <x v="1362"/>
    <x v="0"/>
    <x v="1"/>
    <x v="0"/>
  </r>
  <r>
    <x v="1662"/>
    <s v="SASKEN TECHNOLOGIES LTD"/>
    <n v="1136.0999999999999"/>
    <n v="1137.4000000000001"/>
    <n v="1078.5999999999999"/>
    <n v="1093.8"/>
    <n v="1174.4000000000001"/>
    <n v="24858"/>
    <n v="2145"/>
    <n v="16563195734"/>
    <n v="15142801"/>
    <n v="-6.86307901907358"/>
    <x v="43"/>
    <x v="0"/>
    <x v="1"/>
    <x v="1"/>
  </r>
  <r>
    <x v="1663"/>
    <s v="SASTASUNDAR VENTURES LTD"/>
    <n v="278"/>
    <n v="291.3"/>
    <n v="272"/>
    <n v="277.10000000000002"/>
    <n v="287.85000000000002"/>
    <n v="23062"/>
    <n v="595"/>
    <n v="8814689550"/>
    <n v="31810500"/>
    <n v="-3.7345839847142606"/>
    <x v="240"/>
    <x v="0"/>
    <x v="1"/>
    <x v="1"/>
  </r>
  <r>
    <x v="1664"/>
    <s v="SATIA INDUSTRIES LIMITED"/>
    <n v="59.74"/>
    <n v="59.74"/>
    <n v="56.88"/>
    <n v="57.13"/>
    <n v="59.78"/>
    <n v="161604"/>
    <n v="3227"/>
    <n v="5713000000"/>
    <n v="100000000"/>
    <n v="-4.4329207092673109"/>
    <x v="1352"/>
    <x v="0"/>
    <x v="1"/>
    <x v="1"/>
  </r>
  <r>
    <x v="1665"/>
    <s v="SATIN CREDIT NET LTD"/>
    <n v="143.01"/>
    <n v="148.44999999999999"/>
    <n v="141.1"/>
    <n v="142.62"/>
    <n v="145.16"/>
    <n v="361332"/>
    <n v="6211"/>
    <n v="15755369028"/>
    <n v="110470965"/>
    <n v="-1.7497933314962744"/>
    <x v="1363"/>
    <x v="0"/>
    <x v="1"/>
    <x v="1"/>
  </r>
  <r>
    <x v="1666"/>
    <s v="SAURASHTRA CEMENT LIMITED"/>
    <n v="58.42"/>
    <n v="59"/>
    <n v="54.85"/>
    <n v="55.15"/>
    <n v="59.39"/>
    <n v="203858"/>
    <n v="1523"/>
    <n v="6135611609"/>
    <n v="111253157"/>
    <n v="-7.1392490318235424"/>
    <x v="1364"/>
    <x v="0"/>
    <x v="1"/>
    <x v="1"/>
  </r>
  <r>
    <x v="1667"/>
    <s v="SBC EXPORTS LIMITED"/>
    <n v="31.57"/>
    <n v="31.61"/>
    <n v="29.63"/>
    <n v="30.37"/>
    <n v="31.61"/>
    <n v="12548318"/>
    <n v="6911"/>
    <n v="14461890300"/>
    <n v="476190000"/>
    <n v="-3.9228092375830386"/>
    <x v="1365"/>
    <x v="0"/>
    <x v="1"/>
    <x v="0"/>
  </r>
  <r>
    <x v="1668"/>
    <s v="SHIVALIK BIMETAL CON. LTD"/>
    <n v="402"/>
    <n v="404.8"/>
    <n v="390.8"/>
    <n v="395.55"/>
    <n v="405.55"/>
    <n v="121114"/>
    <n v="6693"/>
    <n v="22785341310"/>
    <n v="57604200"/>
    <n v="-2.4657872025644187"/>
    <x v="158"/>
    <x v="0"/>
    <x v="1"/>
    <x v="1"/>
  </r>
  <r>
    <x v="1669"/>
    <s v="SBFC FINANCE LIMITED"/>
    <n v="86"/>
    <n v="86"/>
    <n v="82.52"/>
    <n v="84.51"/>
    <n v="86.77"/>
    <n v="2761303"/>
    <n v="26841"/>
    <n v="92662884637"/>
    <n v="1096472425"/>
    <n v="-2.6045868387691495"/>
    <x v="1366"/>
    <x v="0"/>
    <x v="2"/>
    <x v="0"/>
  </r>
  <r>
    <x v="1670"/>
    <s v="SURATWWALA BUS GROUP LTD"/>
    <n v="25.11"/>
    <n v="25.31"/>
    <n v="23"/>
    <n v="23.97"/>
    <n v="25.43"/>
    <n v="598036"/>
    <n v="832"/>
    <n v="4156792067"/>
    <n v="173416440"/>
    <n v="-5.7412504915454221"/>
    <x v="1367"/>
    <x v="0"/>
    <x v="1"/>
    <x v="1"/>
  </r>
  <r>
    <x v="1671"/>
    <s v="SBI CARDS &amp; PAY SER LTD"/>
    <n v="678.4"/>
    <n v="681.55"/>
    <n v="650.04999999999995"/>
    <n v="653.29999999999995"/>
    <n v="688.75"/>
    <n v="1535060"/>
    <n v="65427"/>
    <n v="622000000000"/>
    <n v="951547504"/>
    <n v="-5.147005444646104"/>
    <x v="117"/>
    <x v="0"/>
    <x v="0"/>
    <x v="0"/>
  </r>
  <r>
    <x v="1672"/>
    <s v="SCHAEFFLER INDIA LIMITED"/>
    <n v="4155"/>
    <n v="4155"/>
    <n v="3922"/>
    <n v="3951.6"/>
    <n v="4186.5"/>
    <n v="63480"/>
    <n v="14398"/>
    <n v="618000000000"/>
    <n v="156303670"/>
    <n v="-5.610892153350056"/>
    <x v="1368"/>
    <x v="0"/>
    <x v="0"/>
    <x v="1"/>
  </r>
  <r>
    <x v="1673"/>
    <s v="S CHAND AND COMPANY LTD"/>
    <n v="145.81"/>
    <n v="145.81"/>
    <n v="140"/>
    <n v="141.01"/>
    <n v="146.36000000000001"/>
    <n v="78545"/>
    <n v="1108"/>
    <n v="4973731794"/>
    <n v="35272192"/>
    <n v="-3.6553703197595122"/>
    <x v="1150"/>
    <x v="0"/>
    <x v="1"/>
    <x v="1"/>
  </r>
  <r>
    <x v="1674"/>
    <s v="SHIPPING CORP OF INDIA LT"/>
    <n v="230.4"/>
    <n v="231.3"/>
    <n v="217.55"/>
    <n v="219.15"/>
    <n v="233.35"/>
    <n v="2710029"/>
    <n v="41327"/>
    <n v="102000000000"/>
    <n v="465799010"/>
    <n v="-6.0852796228840749"/>
    <x v="1369"/>
    <x v="0"/>
    <x v="2"/>
    <x v="0"/>
  </r>
  <r>
    <x v="1675"/>
    <s v="SHIPPING CORP OF ILA LTD"/>
    <n v="41.7"/>
    <n v="41.7"/>
    <n v="39.06"/>
    <n v="39.450000000000003"/>
    <n v="41.65"/>
    <n v="673730"/>
    <n v="2675"/>
    <n v="18375770945"/>
    <n v="465799010"/>
    <n v="-5.2821128451380446"/>
    <x v="676"/>
    <x v="0"/>
    <x v="1"/>
    <x v="1"/>
  </r>
  <r>
    <x v="1676"/>
    <s v="SCODA TUBES LIMITED"/>
    <n v="124.92"/>
    <n v="125.51"/>
    <n v="114"/>
    <n v="116.68"/>
    <n v="124.78"/>
    <n v="235982"/>
    <n v="2136"/>
    <n v="6990170452"/>
    <n v="59908900"/>
    <n v="-6.4914249078377892"/>
    <x v="1370"/>
    <x v="0"/>
    <x v="1"/>
    <x v="1"/>
  </r>
  <r>
    <x v="1677"/>
    <s v="SOM DIST &amp; BREW LTD"/>
    <n v="74.5"/>
    <n v="74.5"/>
    <n v="69.8"/>
    <n v="70.08"/>
    <n v="74.66"/>
    <n v="998413"/>
    <n v="9046"/>
    <n v="13664789315"/>
    <n v="194988432"/>
    <n v="-6.1344762925261165"/>
    <x v="461"/>
    <x v="0"/>
    <x v="1"/>
    <x v="1"/>
  </r>
  <r>
    <x v="1678"/>
    <s v="SEAMEC LIMITED"/>
    <n v="1351.4"/>
    <n v="1379.9"/>
    <n v="1302"/>
    <n v="1320.5"/>
    <n v="1379.3"/>
    <n v="51727"/>
    <n v="4855"/>
    <n v="33573712500"/>
    <n v="25425000"/>
    <n v="-4.2630319727397925"/>
    <x v="1371"/>
    <x v="0"/>
    <x v="1"/>
    <x v="1"/>
  </r>
  <r>
    <x v="1679"/>
    <s v="SECMARK CONSULTANCY LTD"/>
    <n v="103.01"/>
    <n v="112.29"/>
    <n v="99"/>
    <n v="104.23"/>
    <n v="106.26"/>
    <n v="4222"/>
    <n v="137"/>
    <n v="1088890810"/>
    <n v="10447000"/>
    <n v="-1.9104084321475634"/>
    <x v="1372"/>
    <x v="1"/>
    <x v="1"/>
    <x v="1"/>
  </r>
  <r>
    <x v="1680"/>
    <s v="SECUREKLOUD TECH LIMITED"/>
    <n v="21.1"/>
    <n v="22.77"/>
    <n v="21.1"/>
    <n v="21.88"/>
    <n v="21.99"/>
    <n v="63393"/>
    <n v="106"/>
    <n v="731024037.39999998"/>
    <n v="33410605"/>
    <n v="-0.50022737608003387"/>
    <x v="1373"/>
    <x v="1"/>
    <x v="1"/>
    <x v="1"/>
  </r>
  <r>
    <x v="1681"/>
    <s v="SEDEMAC MECHATRONICS LTD"/>
    <n v="1495"/>
    <n v="1500.4"/>
    <n v="1440.2"/>
    <n v="1469.5"/>
    <n v="1501.2"/>
    <n v="66036"/>
    <n v="10698"/>
    <n v="64895324250"/>
    <n v="44161500"/>
    <n v="-2.1116440181188412"/>
    <x v="1374"/>
    <x v="0"/>
    <x v="2"/>
    <x v="1"/>
  </r>
  <r>
    <x v="1682"/>
    <s v="SEJAL GLASS LIMITED"/>
    <n v="495"/>
    <n v="495"/>
    <n v="475.3"/>
    <n v="482.5"/>
    <n v="481.75"/>
    <n v="175872"/>
    <n v="767"/>
    <n v="4873250000"/>
    <n v="10100000"/>
    <n v="0.15568240788790866"/>
    <x v="288"/>
    <x v="0"/>
    <x v="1"/>
    <x v="1"/>
  </r>
  <r>
    <x v="1683"/>
    <s v="SEL MANUFACTURING CO LTD"/>
    <n v="28.95"/>
    <n v="29.78"/>
    <n v="28.25"/>
    <n v="28.59"/>
    <n v="28.95"/>
    <n v="6450"/>
    <n v="87"/>
    <n v="947321073"/>
    <n v="33134700"/>
    <n v="-1.2435233160621741"/>
    <x v="1375"/>
    <x v="0"/>
    <x v="1"/>
    <x v="1"/>
  </r>
  <r>
    <x v="1684"/>
    <s v="SEMAC CONSTRUCTION LTD"/>
    <n v="269.01"/>
    <n v="284.99"/>
    <n v="262"/>
    <n v="269.14999999999998"/>
    <n v="274.83999999999997"/>
    <n v="4006"/>
    <n v="82"/>
    <n v="839023448.20000005"/>
    <n v="3117308"/>
    <n v="-2.0702954446223254"/>
    <x v="1376"/>
    <x v="1"/>
    <x v="1"/>
    <x v="1"/>
  </r>
  <r>
    <x v="1685"/>
    <s v="SENCO GOLD LIMITED"/>
    <n v="291.64999999999998"/>
    <n v="294"/>
    <n v="281"/>
    <n v="284.95"/>
    <n v="295.95"/>
    <n v="575220"/>
    <n v="12305"/>
    <n v="46651538703"/>
    <n v="163718332"/>
    <n v="-3.7168440614968747"/>
    <x v="1244"/>
    <x v="0"/>
    <x v="1"/>
    <x v="1"/>
  </r>
  <r>
    <x v="1686"/>
    <s v="SENORES PHARMACEUTICALS L"/>
    <n v="750"/>
    <n v="750"/>
    <n v="706"/>
    <n v="710.25"/>
    <n v="751.6"/>
    <n v="150295"/>
    <n v="6835"/>
    <n v="32709560877"/>
    <n v="46053588"/>
    <n v="-5.5015965939329465"/>
    <x v="1377"/>
    <x v="0"/>
    <x v="1"/>
    <x v="1"/>
  </r>
  <r>
    <x v="1687"/>
    <s v="SEPC LIMITED"/>
    <n v="5.15"/>
    <n v="5.15"/>
    <n v="4.6500000000000004"/>
    <n v="4.6500000000000004"/>
    <n v="5.16"/>
    <n v="32260598"/>
    <n v="15849"/>
    <n v="8774779533"/>
    <n v="1887049362"/>
    <n v="-9.8837209302325526"/>
    <x v="301"/>
    <x v="0"/>
    <x v="1"/>
    <x v="0"/>
  </r>
  <r>
    <x v="1688"/>
    <s v="SERVOTECH REN POW SYS LTD"/>
    <n v="66.349999999999994"/>
    <n v="67.66"/>
    <n v="64.650000000000006"/>
    <n v="65.14"/>
    <n v="68.709999999999994"/>
    <n v="661812"/>
    <n v="6976"/>
    <n v="14711565969"/>
    <n v="225845348"/>
    <n v="-5.1957502546936301"/>
    <x v="1378"/>
    <x v="0"/>
    <x v="1"/>
    <x v="1"/>
  </r>
  <r>
    <x v="1689"/>
    <s v="SESHASAYEE PAPER &amp; BOARDS"/>
    <n v="261.05"/>
    <n v="261.89999999999998"/>
    <n v="241.5"/>
    <n v="242.6"/>
    <n v="259"/>
    <n v="27687"/>
    <n v="1543"/>
    <n v="15300330764"/>
    <n v="63068140"/>
    <n v="-6.3320463320463345"/>
    <x v="302"/>
    <x v="0"/>
    <x v="1"/>
    <x v="1"/>
  </r>
  <r>
    <x v="1690"/>
    <s v="SETCO AUTOMOTIVE LTD"/>
    <n v="15.75"/>
    <n v="16.510000000000002"/>
    <n v="15.42"/>
    <n v="16.39"/>
    <n v="15.73"/>
    <n v="101529"/>
    <n v="524"/>
    <n v="2192445637"/>
    <n v="133767275"/>
    <n v="4.1958041958041967"/>
    <x v="1379"/>
    <x v="1"/>
    <x v="1"/>
    <x v="1"/>
  </r>
  <r>
    <x v="1691"/>
    <s v="STANDARD ENGNG TCNLGY LTD"/>
    <n v="116.81"/>
    <n v="116.81"/>
    <n v="110"/>
    <n v="110.45"/>
    <n v="116.81"/>
    <n v="273753"/>
    <n v="3063"/>
    <n v="22033854068"/>
    <n v="199491662"/>
    <n v="-5.4447393202636754"/>
    <x v="1380"/>
    <x v="0"/>
    <x v="1"/>
    <x v="1"/>
  </r>
  <r>
    <x v="1692"/>
    <s v="SHEELA FOAM LIMITED"/>
    <n v="516"/>
    <n v="516.04999999999995"/>
    <n v="480"/>
    <n v="485.95"/>
    <n v="516"/>
    <n v="156174"/>
    <n v="8918"/>
    <n v="52828002569"/>
    <n v="108710778"/>
    <n v="-5.823643410852716"/>
    <x v="1381"/>
    <x v="0"/>
    <x v="2"/>
    <x v="1"/>
  </r>
  <r>
    <x v="1693"/>
    <s v="SG FINSERVE LIMITED"/>
    <n v="374.75"/>
    <n v="398"/>
    <n v="362.8"/>
    <n v="384.05"/>
    <n v="376.6"/>
    <n v="616618"/>
    <n v="10844"/>
    <n v="21466474750"/>
    <n v="55895000"/>
    <n v="1.9782262347318078"/>
    <x v="1382"/>
    <x v="1"/>
    <x v="1"/>
    <x v="1"/>
  </r>
  <r>
    <x v="1694"/>
    <s v="SYNERGY GREEN IND. LTD"/>
    <n v="493.1"/>
    <n v="499.45"/>
    <n v="483.35"/>
    <n v="485.8"/>
    <n v="500.65"/>
    <n v="18532"/>
    <n v="763"/>
    <n v="7550789400"/>
    <n v="15543000"/>
    <n v="-2.9661440127833747"/>
    <x v="1383"/>
    <x v="0"/>
    <x v="1"/>
    <x v="1"/>
  </r>
  <r>
    <x v="1695"/>
    <s v="STL GLOBAL LIMITED"/>
    <n v="10.5"/>
    <n v="10.5"/>
    <n v="9.7200000000000006"/>
    <n v="9.73"/>
    <n v="10.4"/>
    <n v="16726"/>
    <n v="145"/>
    <n v="262621593.19999999"/>
    <n v="26990914"/>
    <n v="-6.4423076923076916"/>
    <x v="819"/>
    <x v="0"/>
    <x v="1"/>
    <x v="1"/>
  </r>
  <r>
    <x v="1696"/>
    <s v="SG MART LIMITED"/>
    <n v="435.2"/>
    <n v="459"/>
    <n v="417.6"/>
    <n v="444.25"/>
    <n v="433"/>
    <n v="1550938"/>
    <n v="20214"/>
    <n v="55975500000"/>
    <n v="126000000"/>
    <n v="2.5981524249422634"/>
    <x v="915"/>
    <x v="1"/>
    <x v="2"/>
    <x v="0"/>
  </r>
  <r>
    <x v="1697"/>
    <s v="SHADOWFAX TECHNOLOGIES L"/>
    <n v="111.87"/>
    <n v="114"/>
    <n v="107.96"/>
    <n v="111.78"/>
    <n v="112.11"/>
    <n v="1032695"/>
    <n v="18473"/>
    <n v="64623734126"/>
    <n v="578133245"/>
    <n v="-0.29435375970029282"/>
    <x v="1384"/>
    <x v="0"/>
    <x v="2"/>
    <x v="0"/>
  </r>
  <r>
    <x v="1698"/>
    <s v="SHAH METACORP LIMITED"/>
    <n v="4.7"/>
    <n v="4.7300000000000004"/>
    <n v="4.22"/>
    <n v="4.3899999999999997"/>
    <n v="4.6500000000000004"/>
    <n v="832046"/>
    <n v="1031"/>
    <n v="3886075702"/>
    <n v="885210866"/>
    <n v="-5.5913978494623793"/>
    <x v="1385"/>
    <x v="0"/>
    <x v="1"/>
    <x v="1"/>
  </r>
  <r>
    <x v="1699"/>
    <s v="SHAH ALLOYS LIMITED"/>
    <n v="61.06"/>
    <n v="61.06"/>
    <n v="56.11"/>
    <n v="57.22"/>
    <n v="61.06"/>
    <n v="4072"/>
    <n v="118"/>
    <n v="1132815239"/>
    <n v="19797540"/>
    <n v="-6.2888961677039026"/>
    <x v="1386"/>
    <x v="0"/>
    <x v="1"/>
    <x v="1"/>
  </r>
  <r>
    <x v="1700"/>
    <s v="SHAILY ENG PLASTICS LTD"/>
    <n v="2350"/>
    <n v="2350"/>
    <n v="2182.1999999999998"/>
    <n v="2209.6"/>
    <n v="2399"/>
    <n v="442919"/>
    <n v="42454"/>
    <n v="102000000000"/>
    <n v="45955093"/>
    <n v="-7.8949562317632376"/>
    <x v="1387"/>
    <x v="0"/>
    <x v="2"/>
    <x v="1"/>
  </r>
  <r>
    <x v="1701"/>
    <s v="SHAKTI PUMPS (I) LTD"/>
    <n v="490"/>
    <n v="490"/>
    <n v="468"/>
    <n v="471.3"/>
    <n v="496.45"/>
    <n v="910517"/>
    <n v="31325"/>
    <n v="58157460905"/>
    <n v="123397965"/>
    <n v="-5.0659683754658031"/>
    <x v="403"/>
    <x v="0"/>
    <x v="2"/>
    <x v="1"/>
  </r>
  <r>
    <x v="1702"/>
    <s v="SHALBY LIMITED"/>
    <n v="136.01"/>
    <n v="142.5"/>
    <n v="131"/>
    <n v="131.59"/>
    <n v="140.08000000000001"/>
    <n v="148334"/>
    <n v="2914"/>
    <n v="14213005634"/>
    <n v="108009770"/>
    <n v="-6.0608223872073159"/>
    <x v="1388"/>
    <x v="0"/>
    <x v="1"/>
    <x v="1"/>
  </r>
  <r>
    <x v="1703"/>
    <s v="SHALIM PAINTS LTD"/>
    <n v="44.71"/>
    <n v="44.74"/>
    <n v="40.1"/>
    <n v="40.67"/>
    <n v="44.71"/>
    <n v="159943"/>
    <n v="2070"/>
    <n v="3404533609"/>
    <n v="83711178"/>
    <n v="-9.036009841198835"/>
    <x v="1389"/>
    <x v="0"/>
    <x v="1"/>
    <x v="1"/>
  </r>
  <r>
    <x v="1704"/>
    <s v="SHANTI OVERSEAS INDIA LTD"/>
    <n v="6.24"/>
    <n v="6.24"/>
    <n v="5.81"/>
    <n v="5.85"/>
    <n v="6.24"/>
    <n v="37244"/>
    <n v="223"/>
    <n v="64970100"/>
    <n v="11106000"/>
    <n v="-6.250000000000008"/>
    <x v="1390"/>
    <x v="0"/>
    <x v="1"/>
    <x v="1"/>
  </r>
  <r>
    <x v="1705"/>
    <s v="SHANTHI GEARS LTD"/>
    <n v="440"/>
    <n v="443.45"/>
    <n v="430"/>
    <n v="435.5"/>
    <n v="440.4"/>
    <n v="34091"/>
    <n v="1050"/>
    <n v="33409753982"/>
    <n v="76715853"/>
    <n v="-1.1126248864668433"/>
    <x v="235"/>
    <x v="0"/>
    <x v="1"/>
    <x v="1"/>
  </r>
  <r>
    <x v="1706"/>
    <s v="SHANTI GOLD INTERNATION L"/>
    <n v="183.99"/>
    <n v="183.99"/>
    <n v="169.2"/>
    <n v="176.33"/>
    <n v="184.62"/>
    <n v="780638"/>
    <n v="5048"/>
    <n v="12712687680"/>
    <n v="72096000"/>
    <n v="-4.4903044090564359"/>
    <x v="1391"/>
    <x v="0"/>
    <x v="1"/>
    <x v="1"/>
  </r>
  <r>
    <x v="1707"/>
    <s v="SHARDA CROPCHEM LTD."/>
    <n v="960"/>
    <n v="960"/>
    <n v="908.1"/>
    <n v="911.6"/>
    <n v="978.6"/>
    <n v="137351"/>
    <n v="13284"/>
    <n v="82245003242"/>
    <n v="90220495"/>
    <n v="-6.8465154302064164"/>
    <x v="1392"/>
    <x v="0"/>
    <x v="2"/>
    <x v="1"/>
  </r>
  <r>
    <x v="1708"/>
    <s v="SHARDA MOTOR INDS LTD"/>
    <n v="783.55"/>
    <n v="783.55"/>
    <n v="740"/>
    <n v="746.4"/>
    <n v="786.35"/>
    <n v="53842"/>
    <n v="6080"/>
    <n v="42849111758"/>
    <n v="57407706"/>
    <n v="-5.0804349208367832"/>
    <x v="1393"/>
    <x v="0"/>
    <x v="1"/>
    <x v="1"/>
  </r>
  <r>
    <x v="1709"/>
    <s v="SHARE IND. SECURITIES LTD"/>
    <n v="122.54"/>
    <n v="123.89"/>
    <n v="117.01"/>
    <n v="117.66"/>
    <n v="125.04"/>
    <n v="909493"/>
    <n v="9124"/>
    <n v="25590114603"/>
    <n v="217492050"/>
    <n v="-5.9021113243762073"/>
    <x v="936"/>
    <x v="0"/>
    <x v="1"/>
    <x v="1"/>
  </r>
  <r>
    <x v="1710"/>
    <s v="SHEKHAWATI INDUSTRIES LTD"/>
    <n v="11.58"/>
    <n v="11.99"/>
    <n v="10.77"/>
    <n v="10.81"/>
    <n v="11.59"/>
    <n v="59683"/>
    <n v="251"/>
    <n v="372620700"/>
    <n v="34470000"/>
    <n v="-6.7299396031061205"/>
    <x v="1394"/>
    <x v="0"/>
    <x v="1"/>
    <x v="1"/>
  </r>
  <r>
    <x v="1711"/>
    <s v="SHEMAROO ENTER. LTD."/>
    <n v="99.77"/>
    <n v="99.77"/>
    <n v="92.01"/>
    <n v="93.3"/>
    <n v="96.02"/>
    <n v="17910"/>
    <n v="185"/>
    <n v="2548983897"/>
    <n v="27320299"/>
    <n v="-2.8327431785044772"/>
    <x v="1395"/>
    <x v="0"/>
    <x v="1"/>
    <x v="1"/>
  </r>
  <r>
    <x v="1712"/>
    <s v="SHILCHAR TECHNOLOGIES LTD"/>
    <n v="3956.1"/>
    <n v="3956.1"/>
    <n v="3731"/>
    <n v="3772.8"/>
    <n v="3977.3"/>
    <n v="28116"/>
    <n v="7552"/>
    <n v="43161586560"/>
    <n v="11440200"/>
    <n v="-5.1416790284866609"/>
    <x v="1396"/>
    <x v="0"/>
    <x v="1"/>
    <x v="1"/>
  </r>
  <r>
    <x v="1713"/>
    <s v="SHILPA MEDICARE LTD"/>
    <n v="320.14999999999998"/>
    <n v="320.39999999999998"/>
    <n v="311.05"/>
    <n v="312.35000000000002"/>
    <n v="323.25"/>
    <n v="250651"/>
    <n v="11441"/>
    <n v="61089980228"/>
    <n v="195581816"/>
    <n v="-3.3720030935808132"/>
    <x v="1397"/>
    <x v="0"/>
    <x v="2"/>
    <x v="1"/>
  </r>
  <r>
    <x v="1714"/>
    <s v="SHIVALIK RASAYAN LIMITED"/>
    <n v="232.1"/>
    <n v="236.05"/>
    <n v="206.75"/>
    <n v="209.5"/>
    <n v="233.7"/>
    <n v="140295"/>
    <n v="3659"/>
    <n v="3299701468"/>
    <n v="15750365"/>
    <n v="-10.355156183140775"/>
    <x v="1398"/>
    <x v="0"/>
    <x v="1"/>
    <x v="1"/>
  </r>
  <r>
    <x v="1715"/>
    <s v="SHIVAM AUTO.LTD"/>
    <n v="16.399999999999999"/>
    <n v="16.399999999999999"/>
    <n v="14.75"/>
    <n v="15.01"/>
    <n v="15.93"/>
    <n v="161543"/>
    <n v="401"/>
    <n v="1973743237"/>
    <n v="131495219"/>
    <n v="-5.7752667922159446"/>
    <x v="1068"/>
    <x v="0"/>
    <x v="1"/>
    <x v="1"/>
  </r>
  <r>
    <x v="1716"/>
    <s v="SHIVA MILLS LIMITED"/>
    <n v="54.65"/>
    <n v="54.65"/>
    <n v="50.2"/>
    <n v="50.88"/>
    <n v="52.86"/>
    <n v="4436"/>
    <n v="130"/>
    <n v="439695191.10000002"/>
    <n v="8641808"/>
    <n v="-3.7457434733257604"/>
    <x v="1399"/>
    <x v="0"/>
    <x v="1"/>
    <x v="1"/>
  </r>
  <r>
    <x v="1717"/>
    <s v="SHIVA TEXYARN LIMITED"/>
    <n v="133.74"/>
    <n v="138"/>
    <n v="130.22"/>
    <n v="131.26"/>
    <n v="133.54"/>
    <n v="2586"/>
    <n v="58"/>
    <n v="1701485708"/>
    <n v="12962713"/>
    <n v="-1.7073536019170295"/>
    <x v="1400"/>
    <x v="0"/>
    <x v="1"/>
    <x v="1"/>
  </r>
  <r>
    <x v="1718"/>
    <s v="SHIV AUM STEELS LIMITED"/>
    <n v="362.65"/>
    <n v="375.4"/>
    <n v="344.55"/>
    <n v="345.15"/>
    <n v="362.65"/>
    <n v="2402"/>
    <n v="83"/>
    <n v="4694178060"/>
    <n v="13600400"/>
    <n v="-4.8255894112780924"/>
    <x v="1401"/>
    <x v="0"/>
    <x v="1"/>
    <x v="1"/>
  </r>
  <r>
    <x v="1719"/>
    <s v="S H KELKAR AND CO. LTD."/>
    <n v="122.41"/>
    <n v="123.39"/>
    <n v="118.66"/>
    <n v="121.17"/>
    <n v="124.84"/>
    <n v="495577"/>
    <n v="5247"/>
    <n v="16772448457"/>
    <n v="138420801"/>
    <n v="-2.9397628965075309"/>
    <x v="1402"/>
    <x v="0"/>
    <x v="1"/>
    <x v="1"/>
  </r>
  <r>
    <x v="1720"/>
    <s v="SHOPPERS STOP LIMITED"/>
    <n v="287"/>
    <n v="290.3"/>
    <n v="277"/>
    <n v="287.60000000000002"/>
    <n v="288.5"/>
    <n v="88478"/>
    <n v="3254"/>
    <n v="31668241398"/>
    <n v="110112105"/>
    <n v="-0.3119584055459193"/>
    <x v="967"/>
    <x v="1"/>
    <x v="1"/>
    <x v="1"/>
  </r>
  <r>
    <x v="1721"/>
    <s v="SHRADHA REALTY LIMITED"/>
    <n v="32"/>
    <n v="32"/>
    <n v="28.81"/>
    <n v="29.45"/>
    <n v="31.88"/>
    <n v="8308"/>
    <n v="167"/>
    <n v="2385378378"/>
    <n v="80997568"/>
    <n v="-7.6223337515683802"/>
    <x v="1403"/>
    <x v="0"/>
    <x v="1"/>
    <x v="1"/>
  </r>
  <r>
    <x v="1722"/>
    <s v="SHREE DIGVIJAY CEM CO LTD"/>
    <n v="58.5"/>
    <n v="59.1"/>
    <n v="54.52"/>
    <n v="55.48"/>
    <n v="60.14"/>
    <n v="308935"/>
    <n v="3985"/>
    <n v="8203787543"/>
    <n v="147869278"/>
    <n v="-7.748586631193886"/>
    <x v="1404"/>
    <x v="0"/>
    <x v="1"/>
    <x v="1"/>
  </r>
  <r>
    <x v="1723"/>
    <s v="SHREEJI SHIPPING GLOBAL L"/>
    <n v="356.15"/>
    <n v="356.2"/>
    <n v="340"/>
    <n v="344.3"/>
    <n v="357.8"/>
    <n v="428629"/>
    <n v="3741"/>
    <n v="56092754852"/>
    <n v="162918254"/>
    <n v="-3.7730575740637229"/>
    <x v="1162"/>
    <x v="0"/>
    <x v="2"/>
    <x v="1"/>
  </r>
  <r>
    <x v="1724"/>
    <s v="SHRE PUSH CHEM &amp; FERT LTD"/>
    <n v="299"/>
    <n v="299"/>
    <n v="272.45"/>
    <n v="275.7"/>
    <n v="298.5"/>
    <n v="88920"/>
    <n v="3367"/>
    <n v="8915501409"/>
    <n v="32337691"/>
    <n v="-7.6381909547738731"/>
    <x v="1405"/>
    <x v="0"/>
    <x v="1"/>
    <x v="1"/>
  </r>
  <r>
    <x v="1725"/>
    <s v="SHREE RAMA MULTI TECH LTD"/>
    <n v="45"/>
    <n v="45"/>
    <n v="42.31"/>
    <n v="42.73"/>
    <n v="44.5"/>
    <n v="78155"/>
    <n v="2098"/>
    <n v="5703087854"/>
    <n v="133468005"/>
    <n v="-3.9775280898876475"/>
    <x v="1406"/>
    <x v="0"/>
    <x v="1"/>
    <x v="1"/>
  </r>
  <r>
    <x v="1726"/>
    <s v="SHREYANS INDUSTRIES LTD"/>
    <n v="149.82"/>
    <n v="149.82"/>
    <n v="134.33000000000001"/>
    <n v="137.66999999999999"/>
    <n v="149.82"/>
    <n v="5209"/>
    <n v="178"/>
    <n v="1903287750"/>
    <n v="13825000"/>
    <n v="-8.1097316780136204"/>
    <x v="1407"/>
    <x v="0"/>
    <x v="1"/>
    <x v="1"/>
  </r>
  <r>
    <x v="1727"/>
    <s v="SHRINGAR HOU OF MANGALS L"/>
    <n v="188.05"/>
    <n v="188.06"/>
    <n v="169.01"/>
    <n v="174.35"/>
    <n v="190.16"/>
    <n v="1187619"/>
    <n v="13895"/>
    <n v="16812933148"/>
    <n v="96432080"/>
    <n v="-8.3140513251998325"/>
    <x v="812"/>
    <x v="0"/>
    <x v="1"/>
    <x v="0"/>
  </r>
  <r>
    <x v="1728"/>
    <s v="SHRIRAM PIST. &amp; RING LTD"/>
    <n v="3125"/>
    <n v="3125"/>
    <n v="2925.5"/>
    <n v="2938"/>
    <n v="3125"/>
    <n v="83906"/>
    <n v="17442"/>
    <n v="129000000000"/>
    <n v="44049824"/>
    <n v="-5.984"/>
    <x v="1408"/>
    <x v="0"/>
    <x v="2"/>
    <x v="1"/>
  </r>
  <r>
    <x v="1729"/>
    <s v="SHRIRAM PROPERTIES LTD"/>
    <n v="66.17"/>
    <n v="66.900000000000006"/>
    <n v="65.8"/>
    <n v="66.099999999999994"/>
    <n v="68.22"/>
    <n v="1068464"/>
    <n v="3384"/>
    <n v="11280255311"/>
    <n v="170654392"/>
    <n v="-3.1075930812078636"/>
    <x v="1409"/>
    <x v="0"/>
    <x v="1"/>
    <x v="0"/>
  </r>
  <r>
    <x v="1730"/>
    <s v="SHYAM CENTURY FERROUS LTD"/>
    <n v="4.49"/>
    <n v="4.51"/>
    <n v="4.2699999999999996"/>
    <n v="4.28"/>
    <n v="4.49"/>
    <n v="448263"/>
    <n v="357"/>
    <n v="908100397.20000005"/>
    <n v="212172990"/>
    <n v="-4.6770601336302882"/>
    <x v="173"/>
    <x v="0"/>
    <x v="1"/>
    <x v="1"/>
  </r>
  <r>
    <x v="1731"/>
    <s v="SHYAM METALICS AND ENGY L"/>
    <n v="774"/>
    <n v="790.15"/>
    <n v="770"/>
    <n v="777.8"/>
    <n v="795.3"/>
    <n v="291544"/>
    <n v="10971"/>
    <n v="217000000000"/>
    <n v="279131853"/>
    <n v="-2.2004275116308314"/>
    <x v="223"/>
    <x v="1"/>
    <x v="0"/>
    <x v="1"/>
  </r>
  <r>
    <x v="1732"/>
    <s v="SHYAM TELECOM LIMITED"/>
    <n v="8.9700000000000006"/>
    <n v="9.93"/>
    <n v="8.3699999999999992"/>
    <n v="8.4600000000000009"/>
    <n v="8.9700000000000006"/>
    <n v="11929"/>
    <n v="99"/>
    <n v="95344200"/>
    <n v="11270000"/>
    <n v="-5.6856187290969871"/>
    <x v="1410"/>
    <x v="0"/>
    <x v="1"/>
    <x v="1"/>
  </r>
  <r>
    <x v="1733"/>
    <s v="SIGACHI INDUSTRIES LTD"/>
    <n v="18.98"/>
    <n v="19.079999999999998"/>
    <n v="17.96"/>
    <n v="18.09"/>
    <n v="18.98"/>
    <n v="3091931"/>
    <n v="6585"/>
    <n v="6912496711"/>
    <n v="382117010"/>
    <n v="-4.6891464699683905"/>
    <x v="1411"/>
    <x v="0"/>
    <x v="1"/>
    <x v="0"/>
  </r>
  <r>
    <x v="1734"/>
    <s v="SIGNET INDUSTRIES LIMITED"/>
    <n v="44.69"/>
    <n v="44.69"/>
    <n v="40.659999999999997"/>
    <n v="41.49"/>
    <n v="43.24"/>
    <n v="22055"/>
    <n v="365"/>
    <n v="1221341130"/>
    <n v="29437000"/>
    <n v="-4.0471785383903791"/>
    <x v="1412"/>
    <x v="0"/>
    <x v="1"/>
    <x v="1"/>
  </r>
  <r>
    <x v="1735"/>
    <s v="SIGMA SOLVE LIMITED"/>
    <n v="38.299999999999997"/>
    <n v="40.159999999999997"/>
    <n v="36.61"/>
    <n v="38.299999999999997"/>
    <n v="39.65"/>
    <n v="96000"/>
    <n v="1448"/>
    <n v="3936281734"/>
    <n v="102774980"/>
    <n v="-3.404791929382097"/>
    <x v="1413"/>
    <x v="0"/>
    <x v="1"/>
    <x v="1"/>
  </r>
  <r>
    <x v="1736"/>
    <s v="SIGMA ADVANCED SYSTEM LTD"/>
    <n v="178"/>
    <n v="178"/>
    <n v="163.86"/>
    <n v="163.86"/>
    <n v="172.48"/>
    <n v="211909"/>
    <n v="2073"/>
    <n v="12087958918"/>
    <n v="73770041"/>
    <n v="-4.9976808905380201"/>
    <x v="1414"/>
    <x v="0"/>
    <x v="1"/>
    <x v="1"/>
  </r>
  <r>
    <x v="1737"/>
    <s v="SIGNATUREGLOBAL INDIA LTD"/>
    <n v="758.05"/>
    <n v="758.1"/>
    <n v="721"/>
    <n v="726.45"/>
    <n v="763.65"/>
    <n v="512358"/>
    <n v="12800"/>
    <n v="102000000000"/>
    <n v="140510691"/>
    <n v="-4.8713415831860054"/>
    <x v="481"/>
    <x v="0"/>
    <x v="2"/>
    <x v="1"/>
  </r>
  <r>
    <x v="1738"/>
    <s v="SIGNPOST INDIA LIMITED"/>
    <n v="235.9"/>
    <n v="235.9"/>
    <n v="220.8"/>
    <n v="223.8"/>
    <n v="235.05"/>
    <n v="27657"/>
    <n v="1197"/>
    <n v="11962110000"/>
    <n v="53450000"/>
    <n v="-4.7862156987874913"/>
    <x v="399"/>
    <x v="0"/>
    <x v="1"/>
    <x v="1"/>
  </r>
  <r>
    <x v="1739"/>
    <s v="SIKKO INDUSTRIES LIMITED"/>
    <n v="4.9000000000000004"/>
    <n v="4.9000000000000004"/>
    <n v="4.51"/>
    <n v="4.5199999999999996"/>
    <n v="4.74"/>
    <n v="332079"/>
    <n v="745"/>
    <n v="1974336000"/>
    <n v="436800000"/>
    <n v="-4.6413502109704776"/>
    <x v="1415"/>
    <x v="0"/>
    <x v="1"/>
    <x v="1"/>
  </r>
  <r>
    <x v="1740"/>
    <s v="STANDARD INDUSTRIES LTD."/>
    <n v="13.75"/>
    <n v="13.83"/>
    <n v="13.31"/>
    <n v="13.56"/>
    <n v="13.91"/>
    <n v="28718"/>
    <n v="266"/>
    <n v="872300440"/>
    <n v="64328941"/>
    <n v="-2.5161754133716725"/>
    <x v="1159"/>
    <x v="0"/>
    <x v="1"/>
    <x v="1"/>
  </r>
  <r>
    <x v="1741"/>
    <s v="SILGO RETAIL LIMITED"/>
    <n v="71.709999999999994"/>
    <n v="71.709999999999994"/>
    <n v="70.3"/>
    <n v="71.010000000000005"/>
    <n v="71.709999999999994"/>
    <n v="19862"/>
    <n v="190"/>
    <n v="1747167604"/>
    <n v="24604529"/>
    <n v="-0.97615395342349565"/>
    <x v="1416"/>
    <x v="0"/>
    <x v="1"/>
    <x v="1"/>
  </r>
  <r>
    <x v="1742"/>
    <s v="SIL INVESTMENTS LIMITED"/>
    <n v="401"/>
    <n v="402.1"/>
    <n v="392"/>
    <n v="394.1"/>
    <n v="402.4"/>
    <n v="2178"/>
    <n v="140"/>
    <n v="4175828426"/>
    <n v="10595860"/>
    <n v="-2.0626242544731497"/>
    <x v="1417"/>
    <x v="0"/>
    <x v="1"/>
    <x v="1"/>
  </r>
  <r>
    <x v="1743"/>
    <s v="SILLY MONKS ENTERTAIN LTD"/>
    <n v="16"/>
    <n v="16.13"/>
    <n v="15.52"/>
    <n v="15.53"/>
    <n v="16.329999999999998"/>
    <n v="6230"/>
    <n v="36"/>
    <n v="159239401.90000001"/>
    <n v="10253664"/>
    <n v="-4.8989589712186099"/>
    <x v="1418"/>
    <x v="0"/>
    <x v="1"/>
    <x v="1"/>
  </r>
  <r>
    <x v="1744"/>
    <s v="SILVER TOUCH TECHNO LTD"/>
    <n v="122.5"/>
    <n v="129"/>
    <n v="116.9"/>
    <n v="116.9"/>
    <n v="123"/>
    <n v="312524"/>
    <n v="3086"/>
    <n v="14824089000"/>
    <n v="126810000"/>
    <n v="-4.9593495934959302"/>
    <x v="1140"/>
    <x v="0"/>
    <x v="1"/>
    <x v="1"/>
  </r>
  <r>
    <x v="1745"/>
    <s v="SIMPLEX INFRASTRUCTURES L"/>
    <n v="164.14"/>
    <n v="164.14"/>
    <n v="148.1"/>
    <n v="151.93"/>
    <n v="165.24"/>
    <n v="285928"/>
    <n v="2913"/>
    <n v="12016955918"/>
    <n v="79095346"/>
    <n v="-8.0549503752118135"/>
    <x v="1419"/>
    <x v="0"/>
    <x v="1"/>
    <x v="1"/>
  </r>
  <r>
    <x v="1746"/>
    <s v="SINCLAIRS HOTELS LIMITED"/>
    <n v="74.989999999999995"/>
    <n v="74.989999999999995"/>
    <n v="70.42"/>
    <n v="71.489999999999995"/>
    <n v="73.94"/>
    <n v="138699"/>
    <n v="2059"/>
    <n v="3664577400"/>
    <n v="51260000"/>
    <n v="-3.3134974303489355"/>
    <x v="1420"/>
    <x v="0"/>
    <x v="1"/>
    <x v="1"/>
  </r>
  <r>
    <x v="1747"/>
    <s v="SINDHU TRADE LINKS LTD"/>
    <n v="23.28"/>
    <n v="23.28"/>
    <n v="22.02"/>
    <n v="22.28"/>
    <n v="23.28"/>
    <n v="752598"/>
    <n v="1509"/>
    <n v="34354173218"/>
    <n v="1541928780"/>
    <n v="-4.2955326460481098"/>
    <x v="1421"/>
    <x v="0"/>
    <x v="1"/>
    <x v="1"/>
  </r>
  <r>
    <x v="1748"/>
    <s v="SINGER INDIA LIMITED"/>
    <n v="70.06"/>
    <n v="70.62"/>
    <n v="66"/>
    <n v="68.150000000000006"/>
    <n v="70.06"/>
    <n v="35996"/>
    <n v="656"/>
    <n v="4240232824"/>
    <n v="62219117"/>
    <n v="-2.72623465600913"/>
    <x v="1188"/>
    <x v="0"/>
    <x v="1"/>
    <x v="1"/>
  </r>
  <r>
    <x v="1749"/>
    <s v="SINTERCOM INDIA LIMITED"/>
    <n v="74.7"/>
    <n v="78"/>
    <n v="65.599999999999994"/>
    <n v="71.58"/>
    <n v="77.98"/>
    <n v="30803"/>
    <n v="121"/>
    <n v="1970441499"/>
    <n v="27527822"/>
    <n v="-8.207232623749686"/>
    <x v="560"/>
    <x v="0"/>
    <x v="1"/>
    <x v="1"/>
  </r>
  <r>
    <x v="1750"/>
    <s v="SIRCA PAINT INDIA LIMITED"/>
    <n v="429"/>
    <n v="429.2"/>
    <n v="395"/>
    <n v="398.65"/>
    <n v="429.25"/>
    <n v="116956"/>
    <n v="4531"/>
    <n v="22640449720"/>
    <n v="56792800"/>
    <n v="-7.1287128712871333"/>
    <x v="1422"/>
    <x v="0"/>
    <x v="1"/>
    <x v="1"/>
  </r>
  <r>
    <x v="1751"/>
    <s v="SIS LIMITED"/>
    <n v="271.14999999999998"/>
    <n v="273.75"/>
    <n v="257.05"/>
    <n v="263.75"/>
    <n v="273.64999999999998"/>
    <n v="184063"/>
    <n v="7779"/>
    <n v="37188932515"/>
    <n v="141000692"/>
    <n v="-3.6177599122967212"/>
    <x v="768"/>
    <x v="0"/>
    <x v="1"/>
    <x v="1"/>
  </r>
  <r>
    <x v="1752"/>
    <s v="SIYARAM SILK MILLS LTD"/>
    <n v="472.5"/>
    <n v="481.4"/>
    <n v="455.2"/>
    <n v="468.9"/>
    <n v="475.35"/>
    <n v="436369"/>
    <n v="5924"/>
    <n v="21274034263"/>
    <n v="45370088"/>
    <n v="-1.3568949195329851"/>
    <x v="1423"/>
    <x v="0"/>
    <x v="1"/>
    <x v="1"/>
  </r>
  <r>
    <x v="1753"/>
    <s v="SJS ENTERPRISES LIMITED"/>
    <n v="1560"/>
    <n v="1561.7"/>
    <n v="1503"/>
    <n v="1518.6"/>
    <n v="1583.8"/>
    <n v="103596"/>
    <n v="16539"/>
    <n v="48518364914"/>
    <n v="31949404"/>
    <n v="-4.1166813991665645"/>
    <x v="1424"/>
    <x v="0"/>
    <x v="1"/>
    <x v="1"/>
  </r>
  <r>
    <x v="1754"/>
    <s v="SJVN LTD"/>
    <n v="69.989999999999995"/>
    <n v="69.989999999999995"/>
    <n v="66.010000000000005"/>
    <n v="66.52"/>
    <n v="70.08"/>
    <n v="6771812"/>
    <n v="41634"/>
    <n v="261000000000"/>
    <n v="3929795175"/>
    <n v="-5.0799086757990901"/>
    <x v="1425"/>
    <x v="0"/>
    <x v="0"/>
    <x v="0"/>
  </r>
  <r>
    <x v="1755"/>
    <s v="SKF INDIA LTD"/>
    <n v="1537.4"/>
    <n v="1537.5"/>
    <n v="1455"/>
    <n v="1464.2"/>
    <n v="1537.4"/>
    <n v="48565"/>
    <n v="6099"/>
    <n v="72387065425"/>
    <n v="49437963"/>
    <n v="-4.7612852868479276"/>
    <x v="1426"/>
    <x v="0"/>
    <x v="2"/>
    <x v="1"/>
  </r>
  <r>
    <x v="1756"/>
    <s v="SKF IND (INDUSTRIAL) LTD"/>
    <n v="2178.9"/>
    <n v="2195"/>
    <n v="2097"/>
    <n v="2119.9"/>
    <n v="2178.9"/>
    <n v="19185"/>
    <n v="3651"/>
    <n v="105000000000"/>
    <n v="49437963"/>
    <n v="-2.7077883335628066"/>
    <x v="318"/>
    <x v="0"/>
    <x v="2"/>
    <x v="1"/>
  </r>
  <r>
    <x v="1757"/>
    <s v="SKIPPER LIMITED"/>
    <n v="354.25"/>
    <n v="354.25"/>
    <n v="328.45"/>
    <n v="333.05"/>
    <n v="350.15"/>
    <n v="384817"/>
    <n v="10646"/>
    <n v="37602667209"/>
    <n v="112903970"/>
    <n v="-4.8836213051549242"/>
    <x v="1427"/>
    <x v="0"/>
    <x v="1"/>
    <x v="1"/>
  </r>
  <r>
    <x v="1758"/>
    <s v="SKM EGG PROD EXPORT(I) LT"/>
    <n v="153.86000000000001"/>
    <n v="153.86000000000001"/>
    <n v="147.25"/>
    <n v="151.5"/>
    <n v="154.86000000000001"/>
    <n v="103583"/>
    <n v="1966"/>
    <n v="7977990000"/>
    <n v="52660000"/>
    <n v="-2.1697016660209307"/>
    <x v="1428"/>
    <x v="0"/>
    <x v="1"/>
    <x v="1"/>
  </r>
  <r>
    <x v="1759"/>
    <s v="SKY GOLD AND DIAMONDS LTD"/>
    <n v="345"/>
    <n v="345"/>
    <n v="320.55"/>
    <n v="323.89999999999998"/>
    <n v="346.65"/>
    <n v="825790"/>
    <n v="17544"/>
    <n v="50160412028"/>
    <n v="154863884"/>
    <n v="-6.5628155199769225"/>
    <x v="1429"/>
    <x v="0"/>
    <x v="2"/>
    <x v="1"/>
  </r>
  <r>
    <x v="1760"/>
    <s v="SMARTLINK HOLDINGS LTD"/>
    <n v="119.49"/>
    <n v="119.49"/>
    <n v="112"/>
    <n v="114.62"/>
    <n v="119.98"/>
    <n v="7522"/>
    <n v="67"/>
    <n v="1143334500"/>
    <n v="9975000"/>
    <n v="-4.4674112352058666"/>
    <x v="1430"/>
    <x v="0"/>
    <x v="1"/>
    <x v="1"/>
  </r>
  <r>
    <x v="1761"/>
    <s v="SMARTWORKS COWORKING SP L"/>
    <n v="387"/>
    <n v="394.45"/>
    <n v="371"/>
    <n v="374.05"/>
    <n v="393.45"/>
    <n v="57213"/>
    <n v="2099"/>
    <n v="42736868045"/>
    <n v="114254426"/>
    <n v="-4.9307408819417908"/>
    <x v="241"/>
    <x v="0"/>
    <x v="1"/>
    <x v="1"/>
  </r>
  <r>
    <x v="1762"/>
    <s v="SMC GLOBAL SECURITIES LTD"/>
    <n v="64.25"/>
    <n v="64.25"/>
    <n v="61.02"/>
    <n v="61.49"/>
    <n v="64.8"/>
    <n v="542334"/>
    <n v="4542"/>
    <n v="12876006000"/>
    <n v="209400000"/>
    <n v="-5.1080246913580174"/>
    <x v="1431"/>
    <x v="0"/>
    <x v="1"/>
    <x v="1"/>
  </r>
  <r>
    <x v="1763"/>
    <s v="SML MAHINDRA LIMITED"/>
    <n v="4001"/>
    <n v="4001"/>
    <n v="3847.8"/>
    <n v="3847.8"/>
    <n v="4050.3"/>
    <n v="52595"/>
    <n v="3840"/>
    <n v="55683999479"/>
    <n v="14471646"/>
    <n v="-4.9996296570624397"/>
    <x v="1432"/>
    <x v="0"/>
    <x v="2"/>
    <x v="1"/>
  </r>
  <r>
    <x v="1764"/>
    <s v="SARTHAK METALS LIMITED"/>
    <n v="66.12"/>
    <n v="67.84"/>
    <n v="63.11"/>
    <n v="63.58"/>
    <n v="66.06"/>
    <n v="12397"/>
    <n v="214"/>
    <n v="870394305"/>
    <n v="13689750"/>
    <n v="-3.7541628822282833"/>
    <x v="1402"/>
    <x v="0"/>
    <x v="1"/>
    <x v="1"/>
  </r>
  <r>
    <x v="1765"/>
    <s v="SMS PHARMACEUTICALS LTD."/>
    <n v="376.4"/>
    <n v="384.95"/>
    <n v="365.2"/>
    <n v="368.75"/>
    <n v="385.05"/>
    <n v="278264"/>
    <n v="8915"/>
    <n v="34534186063"/>
    <n v="93652030"/>
    <n v="-4.2332164653941078"/>
    <x v="1433"/>
    <x v="0"/>
    <x v="1"/>
    <x v="1"/>
  </r>
  <r>
    <x v="1766"/>
    <s v="SNOWMAN LOGISTICS LTD."/>
    <n v="33.9"/>
    <n v="34"/>
    <n v="31.6"/>
    <n v="31.81"/>
    <n v="34.18"/>
    <n v="935906"/>
    <n v="3987"/>
    <n v="5315069121"/>
    <n v="167087995"/>
    <n v="-6.933879461673496"/>
    <x v="1434"/>
    <x v="0"/>
    <x v="1"/>
    <x v="1"/>
  </r>
  <r>
    <x v="1767"/>
    <s v="SOBHA LIMITED"/>
    <n v="1250"/>
    <n v="1252"/>
    <n v="1188.0999999999999"/>
    <n v="1199.7"/>
    <n v="1267.2"/>
    <n v="110889"/>
    <n v="14189"/>
    <n v="128000000000"/>
    <n v="106932806"/>
    <n v="-5.3267045454545459"/>
    <x v="1435"/>
    <x v="0"/>
    <x v="2"/>
    <x v="1"/>
  </r>
  <r>
    <x v="1768"/>
    <s v="SOFTTECH ENGINEERS LTD"/>
    <n v="255"/>
    <n v="261.75"/>
    <n v="250.4"/>
    <n v="256.55"/>
    <n v="265.75"/>
    <n v="2680"/>
    <n v="72"/>
    <n v="3551200504"/>
    <n v="13842138"/>
    <n v="-3.4619002822201277"/>
    <x v="1436"/>
    <x v="1"/>
    <x v="1"/>
    <x v="1"/>
  </r>
  <r>
    <x v="1769"/>
    <s v="SOLARA ACTIVE PHA SCI LTD"/>
    <n v="445"/>
    <n v="448.4"/>
    <n v="431.35"/>
    <n v="434.3"/>
    <n v="450.2"/>
    <n v="118707"/>
    <n v="3737"/>
    <n v="15709198630"/>
    <n v="36171307"/>
    <n v="-3.5317636605952858"/>
    <x v="1437"/>
    <x v="0"/>
    <x v="1"/>
    <x v="1"/>
  </r>
  <r>
    <x v="1770"/>
    <s v="SOLARWORLD ENERGY SOL LTD"/>
    <n v="159"/>
    <n v="159"/>
    <n v="145.13999999999999"/>
    <n v="147.06"/>
    <n v="159.69999999999999"/>
    <n v="271624"/>
    <n v="4813"/>
    <n v="12746080497"/>
    <n v="86672654"/>
    <n v="-7.9148403256105118"/>
    <x v="1438"/>
    <x v="0"/>
    <x v="1"/>
    <x v="1"/>
  </r>
  <r>
    <x v="1771"/>
    <s v="SOLEX ENERGY LIMITED"/>
    <n v="1000"/>
    <n v="1053"/>
    <n v="960"/>
    <n v="974.3"/>
    <n v="1009.75"/>
    <n v="62612"/>
    <n v="5578"/>
    <n v="10524865033"/>
    <n v="10802489"/>
    <n v="-3.5107699925724232"/>
    <x v="1439"/>
    <x v="0"/>
    <x v="1"/>
    <x v="1"/>
  </r>
  <r>
    <x v="1772"/>
    <s v="SOMANY CERAMICS LIMITED"/>
    <n v="371.7"/>
    <n v="376.6"/>
    <n v="356"/>
    <n v="359.4"/>
    <n v="378.3"/>
    <n v="69136"/>
    <n v="2231"/>
    <n v="14740002476"/>
    <n v="41012806"/>
    <n v="-4.9960348929421183"/>
    <x v="1440"/>
    <x v="0"/>
    <x v="1"/>
    <x v="1"/>
  </r>
  <r>
    <x v="1773"/>
    <s v="SOMI CONVEYOR BELT. LTD."/>
    <n v="99.25"/>
    <n v="99.25"/>
    <n v="92"/>
    <n v="94.02"/>
    <n v="99.99"/>
    <n v="21630"/>
    <n v="280"/>
    <n v="1107523257"/>
    <n v="11779656"/>
    <n v="-5.9705970597059697"/>
    <x v="1441"/>
    <x v="0"/>
    <x v="1"/>
    <x v="1"/>
  </r>
  <r>
    <x v="1774"/>
    <s v="SONA BLW PRECISION FRGS L"/>
    <n v="498.8"/>
    <n v="498.8"/>
    <n v="480"/>
    <n v="484.95"/>
    <n v="506.25"/>
    <n v="3152852"/>
    <n v="62644"/>
    <n v="302000000000"/>
    <n v="621720975"/>
    <n v="-4.2074074074074099"/>
    <x v="787"/>
    <x v="0"/>
    <x v="0"/>
    <x v="0"/>
  </r>
  <r>
    <x v="1775"/>
    <s v="SONAM LIMITED"/>
    <n v="51.68"/>
    <n v="54.2"/>
    <n v="51.59"/>
    <n v="53.42"/>
    <n v="53.73"/>
    <n v="115615"/>
    <n v="741"/>
    <n v="2138509440"/>
    <n v="40032000"/>
    <n v="-0.57695886841614596"/>
    <x v="1325"/>
    <x v="1"/>
    <x v="1"/>
    <x v="1"/>
  </r>
  <r>
    <x v="1776"/>
    <s v="SONATA SOFTWARE LTD"/>
    <n v="235.5"/>
    <n v="236.1"/>
    <n v="222.75"/>
    <n v="225"/>
    <n v="236.75"/>
    <n v="865043"/>
    <n v="24676"/>
    <n v="63095583600"/>
    <n v="280424816"/>
    <n v="-4.9630411826821543"/>
    <x v="503"/>
    <x v="0"/>
    <x v="2"/>
    <x v="1"/>
  </r>
  <r>
    <x v="1777"/>
    <s v="SAVITA OIL TECHNOLO. LTD"/>
    <n v="339.7"/>
    <n v="341.35"/>
    <n v="320"/>
    <n v="324.85000000000002"/>
    <n v="342.85"/>
    <n v="23669"/>
    <n v="1260"/>
    <n v="22271850813"/>
    <n v="68560415"/>
    <n v="-5.2501093772786929"/>
    <x v="1442"/>
    <x v="0"/>
    <x v="1"/>
    <x v="1"/>
  </r>
  <r>
    <x v="1778"/>
    <s v="THE SOUTH INDIAN BANK LTD"/>
    <n v="35.61"/>
    <n v="35.979999999999997"/>
    <n v="33.380000000000003"/>
    <n v="33.6"/>
    <n v="36.01"/>
    <n v="24936614"/>
    <n v="86335"/>
    <n v="87932811490"/>
    <n v="2617047961"/>
    <n v="-6.6925853929463948"/>
    <x v="1443"/>
    <x v="0"/>
    <x v="2"/>
    <x v="0"/>
  </r>
  <r>
    <x v="1779"/>
    <s v="SOUTH WEST PINNACLE LTD"/>
    <n v="203.99"/>
    <n v="203.99"/>
    <n v="192"/>
    <n v="195.34"/>
    <n v="204.04"/>
    <n v="65177"/>
    <n v="1794"/>
    <n v="5826994349"/>
    <n v="29830011"/>
    <n v="-4.2638698294452011"/>
    <x v="1444"/>
    <x v="0"/>
    <x v="1"/>
    <x v="1"/>
  </r>
  <r>
    <x v="1780"/>
    <s v="S. P. APPARELS LIMITED"/>
    <n v="700"/>
    <n v="704.15"/>
    <n v="680.05"/>
    <n v="684.55"/>
    <n v="715.25"/>
    <n v="24637"/>
    <n v="5031"/>
    <n v="17177139330"/>
    <n v="25092600"/>
    <n v="-4.2922055225445712"/>
    <x v="1445"/>
    <x v="0"/>
    <x v="1"/>
    <x v="1"/>
  </r>
  <r>
    <x v="1781"/>
    <s v="SPANDANA SPHOORTY FIN LTD"/>
    <n v="206.5"/>
    <n v="206.95"/>
    <n v="195.55"/>
    <n v="196.95"/>
    <n v="207.85"/>
    <n v="236618"/>
    <n v="9961"/>
    <n v="14043548111"/>
    <n v="71305144"/>
    <n v="-5.244166466201591"/>
    <x v="1023"/>
    <x v="0"/>
    <x v="1"/>
    <x v="1"/>
  </r>
  <r>
    <x v="1782"/>
    <s v="SUN PHARMA ADV.RES.CO.LTD"/>
    <n v="114.42"/>
    <n v="115"/>
    <n v="108"/>
    <n v="108.71"/>
    <n v="115.42"/>
    <n v="618171"/>
    <n v="6535"/>
    <n v="35276346950"/>
    <n v="324499558"/>
    <n v="-5.8135505111765795"/>
    <x v="268"/>
    <x v="0"/>
    <x v="1"/>
    <x v="1"/>
  </r>
  <r>
    <x v="1783"/>
    <s v="SPACENET ENTERS IND LTD"/>
    <n v="4"/>
    <n v="4"/>
    <n v="3.56"/>
    <n v="3.57"/>
    <n v="3.95"/>
    <n v="2004076"/>
    <n v="2823"/>
    <n v="2020990338"/>
    <n v="566103736"/>
    <n v="-9.6202531645569707"/>
    <x v="1446"/>
    <x v="0"/>
    <x v="1"/>
    <x v="0"/>
  </r>
  <r>
    <x v="1784"/>
    <s v="SPECIALITY REST LTD"/>
    <n v="95.1"/>
    <n v="95.1"/>
    <n v="88.11"/>
    <n v="89.65"/>
    <n v="96.49"/>
    <n v="66849"/>
    <n v="1264"/>
    <n v="4324326650"/>
    <n v="48235657"/>
    <n v="-7.0888174940408222"/>
    <x v="1447"/>
    <x v="0"/>
    <x v="1"/>
    <x v="1"/>
  </r>
  <r>
    <x v="1785"/>
    <s v="SPECTRUM ELECTRIC IND LTD"/>
    <n v="1391"/>
    <n v="1434.9"/>
    <n v="1337.9"/>
    <n v="1426.2"/>
    <n v="1440.6"/>
    <n v="9298"/>
    <n v="1164"/>
    <n v="22411078608"/>
    <n v="15713840"/>
    <n v="-0.99958350687212716"/>
    <x v="1448"/>
    <x v="1"/>
    <x v="1"/>
    <x v="1"/>
  </r>
  <r>
    <x v="1786"/>
    <s v="SPENCER S RETAIL LIMITED"/>
    <n v="29.02"/>
    <n v="29.02"/>
    <n v="27.81"/>
    <n v="27.95"/>
    <n v="29.48"/>
    <n v="451880"/>
    <n v="1515"/>
    <n v="2519379153"/>
    <n v="90138789"/>
    <n v="-5.1899592944369095"/>
    <x v="1449"/>
    <x v="0"/>
    <x v="1"/>
    <x v="1"/>
  </r>
  <r>
    <x v="1787"/>
    <s v="SPIC LTD"/>
    <n v="61.06"/>
    <n v="61.06"/>
    <n v="58.25"/>
    <n v="58.57"/>
    <n v="61.43"/>
    <n v="729300"/>
    <n v="4853"/>
    <n v="11927214480"/>
    <n v="203640336"/>
    <n v="-4.6557056812632256"/>
    <x v="1450"/>
    <x v="0"/>
    <x v="1"/>
    <x v="1"/>
  </r>
  <r>
    <x v="1788"/>
    <s v="SPL INDUSTRIES LIMITED"/>
    <n v="25.37"/>
    <n v="25.52"/>
    <n v="24.51"/>
    <n v="25.01"/>
    <n v="25.88"/>
    <n v="13000"/>
    <n v="147"/>
    <n v="725290100.10000002"/>
    <n v="29000004"/>
    <n v="-3.3616692426584138"/>
    <x v="1451"/>
    <x v="0"/>
    <x v="1"/>
    <x v="1"/>
  </r>
  <r>
    <x v="1789"/>
    <s v="SUPREME PETROCHEM LIMITED"/>
    <n v="648"/>
    <n v="650"/>
    <n v="631.45000000000005"/>
    <n v="636.4"/>
    <n v="653.95000000000005"/>
    <n v="31899"/>
    <n v="4516"/>
    <n v="120000000000"/>
    <n v="188041342"/>
    <n v="-2.6836914137166552"/>
    <x v="1452"/>
    <x v="0"/>
    <x v="2"/>
    <x v="1"/>
  </r>
  <r>
    <x v="1790"/>
    <s v="SPML INFRA LIMITED"/>
    <n v="169.69"/>
    <n v="169.99"/>
    <n v="152.22999999999999"/>
    <n v="153.77000000000001"/>
    <n v="168.1"/>
    <n v="559568"/>
    <n v="7479"/>
    <n v="11110154827"/>
    <n v="72251771"/>
    <n v="-8.5246876859012399"/>
    <x v="1453"/>
    <x v="0"/>
    <x v="1"/>
    <x v="1"/>
  </r>
  <r>
    <x v="1791"/>
    <s v="SPORTKING INDIA LIMITED"/>
    <n v="115.9"/>
    <n v="115.9"/>
    <n v="108.61"/>
    <n v="112.09"/>
    <n v="117.27"/>
    <n v="180816"/>
    <n v="2751"/>
    <n v="14893622480"/>
    <n v="132872000"/>
    <n v="-4.4171569881470054"/>
    <x v="1454"/>
    <x v="0"/>
    <x v="1"/>
    <x v="1"/>
  </r>
  <r>
    <x v="1792"/>
    <s v="SHANKAR LAL RAMPAL LTD"/>
    <n v="44.38"/>
    <n v="44.39"/>
    <n v="42"/>
    <n v="42.2"/>
    <n v="44.42"/>
    <n v="30902"/>
    <n v="463"/>
    <n v="2699398116"/>
    <n v="63966780"/>
    <n v="-4.9977487618189977"/>
    <x v="1455"/>
    <x v="0"/>
    <x v="1"/>
    <x v="1"/>
  </r>
  <r>
    <x v="1793"/>
    <s v="SREELEATHERS LIMITED"/>
    <n v="185.3"/>
    <n v="185.6"/>
    <n v="180"/>
    <n v="180.56"/>
    <n v="185.72"/>
    <n v="4613"/>
    <n v="160"/>
    <n v="4180868967"/>
    <n v="23155012"/>
    <n v="-2.7783760499676915"/>
    <x v="1456"/>
    <x v="0"/>
    <x v="1"/>
    <x v="1"/>
  </r>
  <r>
    <x v="1794"/>
    <s v="SRF LTD"/>
    <n v="2440"/>
    <n v="2443.1999999999998"/>
    <n v="2381"/>
    <n v="2391.5"/>
    <n v="2454.5"/>
    <n v="687490"/>
    <n v="56882"/>
    <n v="709000000000"/>
    <n v="296424825"/>
    <n v="-2.5667141984110819"/>
    <x v="1457"/>
    <x v="0"/>
    <x v="0"/>
    <x v="1"/>
  </r>
  <r>
    <x v="1795"/>
    <s v="SRG HOUSING FINANCE L"/>
    <n v="240.35"/>
    <n v="245.15"/>
    <n v="233.4"/>
    <n v="238.7"/>
    <n v="247.65"/>
    <n v="5877"/>
    <n v="66"/>
    <n v="3746298156"/>
    <n v="15694588"/>
    <n v="-3.6139713305067702"/>
    <x v="1458"/>
    <x v="0"/>
    <x v="1"/>
    <x v="1"/>
  </r>
  <r>
    <x v="1796"/>
    <s v="SREE RAYALSEEMA HHP LTD."/>
    <n v="419"/>
    <n v="424.1"/>
    <n v="413"/>
    <n v="414.85"/>
    <n v="430.55"/>
    <n v="15904"/>
    <n v="981"/>
    <n v="7120825992"/>
    <n v="17164821"/>
    <n v="-3.6464986644988944"/>
    <x v="341"/>
    <x v="0"/>
    <x v="1"/>
    <x v="1"/>
  </r>
  <r>
    <x v="1797"/>
    <s v="SRM CONTRACTORS LIMITED"/>
    <n v="398"/>
    <n v="398"/>
    <n v="380.8"/>
    <n v="384.15"/>
    <n v="404.15"/>
    <n v="66957"/>
    <n v="1856"/>
    <n v="8814014430"/>
    <n v="22944200"/>
    <n v="-4.9486576766052215"/>
    <x v="1459"/>
    <x v="0"/>
    <x v="1"/>
    <x v="1"/>
  </r>
  <r>
    <x v="1798"/>
    <s v="SHREE RAM TWISTEX LIMITED"/>
    <n v="48"/>
    <n v="48.02"/>
    <n v="44"/>
    <n v="44.21"/>
    <n v="48.42"/>
    <n v="360845"/>
    <n v="2449"/>
    <n v="1767294750"/>
    <n v="39975000"/>
    <n v="-8.6947542337876929"/>
    <x v="1460"/>
    <x v="0"/>
    <x v="1"/>
    <x v="1"/>
  </r>
  <r>
    <x v="1799"/>
    <s v="SARASWATI SAREE DEPOT LTD"/>
    <n v="56.23"/>
    <n v="56.46"/>
    <n v="53.3"/>
    <n v="54.1"/>
    <n v="56.23"/>
    <n v="40219"/>
    <n v="827"/>
    <n v="2142349180"/>
    <n v="39599800"/>
    <n v="-3.7880135159167625"/>
    <x v="1461"/>
    <x v="0"/>
    <x v="1"/>
    <x v="1"/>
  </r>
  <r>
    <x v="1800"/>
    <s v="STEEL STRIPS WHEELS LTD."/>
    <n v="185"/>
    <n v="185.46"/>
    <n v="175.1"/>
    <n v="180.8"/>
    <n v="185.46"/>
    <n v="273482"/>
    <n v="4495"/>
    <n v="28418220840"/>
    <n v="157180425"/>
    <n v="-2.5126711959452153"/>
    <x v="1462"/>
    <x v="0"/>
    <x v="1"/>
    <x v="1"/>
  </r>
  <r>
    <x v="1801"/>
    <s v="STALLION IND FLUOROCHEM L"/>
    <n v="110.8"/>
    <n v="111.99"/>
    <n v="108.96"/>
    <n v="108.96"/>
    <n v="114.69"/>
    <n v="548652"/>
    <n v="2882"/>
    <n v="12648702013"/>
    <n v="116085738"/>
    <n v="-4.9960763798064383"/>
    <x v="208"/>
    <x v="0"/>
    <x v="1"/>
    <x v="1"/>
  </r>
  <r>
    <x v="1802"/>
    <s v="STANLEY LIFESTYLES LTD"/>
    <n v="142.5"/>
    <n v="143.25"/>
    <n v="137.41"/>
    <n v="138.72999999999999"/>
    <n v="144.86000000000001"/>
    <n v="185671"/>
    <n v="2864"/>
    <n v="7925043228"/>
    <n v="57125663"/>
    <n v="-4.2316719591329717"/>
    <x v="1463"/>
    <x v="0"/>
    <x v="1"/>
    <x v="1"/>
  </r>
  <r>
    <x v="1803"/>
    <s v="STRIDES PHARMA SCI LTD"/>
    <n v="903.65"/>
    <n v="928.9"/>
    <n v="890.15"/>
    <n v="910.4"/>
    <n v="903.65"/>
    <n v="391880"/>
    <n v="20996"/>
    <n v="83914038826"/>
    <n v="92172714"/>
    <n v="0.74697061915564655"/>
    <x v="276"/>
    <x v="1"/>
    <x v="2"/>
    <x v="1"/>
  </r>
  <r>
    <x v="1804"/>
    <s v="STAR CEMENT LIMITED"/>
    <n v="213"/>
    <n v="216.24"/>
    <n v="211.55"/>
    <n v="213.82"/>
    <n v="216.39"/>
    <n v="744565"/>
    <n v="7837"/>
    <n v="88185568139"/>
    <n v="412428997"/>
    <n v="-1.1876704099080333"/>
    <x v="595"/>
    <x v="1"/>
    <x v="2"/>
    <x v="1"/>
  </r>
  <r>
    <x v="1805"/>
    <s v="STAR HEALTH &amp; AL INS CO L"/>
    <n v="450.35"/>
    <n v="450.35"/>
    <n v="439.25"/>
    <n v="444.1"/>
    <n v="452"/>
    <n v="1097076"/>
    <n v="21617"/>
    <n v="261000000000"/>
    <n v="588398801"/>
    <n v="-1.7477876106194641"/>
    <x v="341"/>
    <x v="0"/>
    <x v="0"/>
    <x v="0"/>
  </r>
  <r>
    <x v="1806"/>
    <s v="STAR PAPER MILLS LTD"/>
    <n v="131.01"/>
    <n v="131.01"/>
    <n v="126"/>
    <n v="126.1"/>
    <n v="130.94999999999999"/>
    <n v="11533"/>
    <n v="274"/>
    <n v="1968212935"/>
    <n v="15608350"/>
    <n v="-3.7037037037037002"/>
    <x v="1156"/>
    <x v="0"/>
    <x v="1"/>
    <x v="1"/>
  </r>
  <r>
    <x v="1807"/>
    <s v="STARTECK FINANCE LIMITED"/>
    <n v="251.5"/>
    <n v="258.05"/>
    <n v="239.3"/>
    <n v="240.7"/>
    <n v="251.75"/>
    <n v="7836"/>
    <n v="343"/>
    <n v="2385416431"/>
    <n v="9910330"/>
    <n v="-4.3892750744786539"/>
    <x v="929"/>
    <x v="0"/>
    <x v="1"/>
    <x v="1"/>
  </r>
  <r>
    <x v="1808"/>
    <s v="THE STATE TRADING CORPN"/>
    <n v="105.8"/>
    <n v="105.8"/>
    <n v="99.1"/>
    <n v="100.52"/>
    <n v="107.42"/>
    <n v="64750"/>
    <n v="1782"/>
    <n v="6031200000"/>
    <n v="60000000"/>
    <n v="-6.4233848445354731"/>
    <x v="1464"/>
    <x v="0"/>
    <x v="1"/>
    <x v="1"/>
  </r>
  <r>
    <x v="1809"/>
    <s v="STEELCAST LIMITED"/>
    <n v="220.51"/>
    <n v="226.69"/>
    <n v="216"/>
    <n v="218.42"/>
    <n v="228.96"/>
    <n v="37906"/>
    <n v="1353"/>
    <n v="22104104000"/>
    <n v="101200000"/>
    <n v="-4.6034241788958861"/>
    <x v="1465"/>
    <x v="0"/>
    <x v="1"/>
    <x v="1"/>
  </r>
  <r>
    <x v="1810"/>
    <s v="STEEL CITY SECURITIES LTD"/>
    <n v="79"/>
    <n v="79.75"/>
    <n v="73.8"/>
    <n v="74.27"/>
    <n v="79.88"/>
    <n v="20361"/>
    <n v="471"/>
    <n v="1122003946"/>
    <n v="15107095"/>
    <n v="-7.0230345518277408"/>
    <x v="605"/>
    <x v="0"/>
    <x v="1"/>
    <x v="1"/>
  </r>
  <r>
    <x v="1811"/>
    <s v="STEEL EXCHANGE INDIA LTD"/>
    <n v="7.38"/>
    <n v="7.38"/>
    <n v="7"/>
    <n v="7.03"/>
    <n v="7.4"/>
    <n v="1642974"/>
    <n v="3052"/>
    <n v="8767960410"/>
    <n v="1247220542"/>
    <n v="-5.0000000000000009"/>
    <x v="1466"/>
    <x v="0"/>
    <x v="1"/>
    <x v="0"/>
  </r>
  <r>
    <x v="1812"/>
    <s v="STEL HOLDINGS LIMITED"/>
    <n v="448.85"/>
    <n v="448.85"/>
    <n v="423"/>
    <n v="426.25"/>
    <n v="448.85"/>
    <n v="3181"/>
    <n v="373"/>
    <n v="7866616381"/>
    <n v="18455405"/>
    <n v="-5.0350896736103419"/>
    <x v="1467"/>
    <x v="0"/>
    <x v="1"/>
    <x v="1"/>
  </r>
  <r>
    <x v="1813"/>
    <s v="STERLING TOOLS LIMITED"/>
    <n v="176.25"/>
    <n v="176.25"/>
    <n v="166"/>
    <n v="167.75"/>
    <n v="177.55"/>
    <n v="78312"/>
    <n v="2267"/>
    <n v="6069919345"/>
    <n v="36184318"/>
    <n v="-5.5195719515629458"/>
    <x v="1468"/>
    <x v="0"/>
    <x v="1"/>
    <x v="1"/>
  </r>
  <r>
    <x v="1814"/>
    <s v="STL NETWORKS LIMITED"/>
    <n v="18.55"/>
    <n v="18.55"/>
    <n v="17.989999999999998"/>
    <n v="18.02"/>
    <n v="18.649999999999999"/>
    <n v="5135541"/>
    <n v="1869"/>
    <n v="8792337970"/>
    <n v="487921086"/>
    <n v="-3.3780160857908794"/>
    <x v="1469"/>
    <x v="0"/>
    <x v="1"/>
    <x v="0"/>
  </r>
  <r>
    <x v="1815"/>
    <s v="STERLITE TECHNOLOGIES LTD"/>
    <n v="185"/>
    <n v="185.48"/>
    <n v="170.02"/>
    <n v="173.2"/>
    <n v="188.56"/>
    <n v="5221474"/>
    <n v="38181"/>
    <n v="84535366802"/>
    <n v="488079485"/>
    <n v="-8.1459482392872378"/>
    <x v="1470"/>
    <x v="0"/>
    <x v="2"/>
    <x v="0"/>
  </r>
  <r>
    <x v="1816"/>
    <s v="STOVE KRAFT LIMITED"/>
    <n v="490"/>
    <n v="517.15"/>
    <n v="484.9"/>
    <n v="494.1"/>
    <n v="498.75"/>
    <n v="1020006"/>
    <n v="32823"/>
    <n v="16355451150"/>
    <n v="33101500"/>
    <n v="-0.93233082706766468"/>
    <x v="1314"/>
    <x v="1"/>
    <x v="1"/>
    <x v="0"/>
  </r>
  <r>
    <x v="1817"/>
    <s v="STUDDS ACCESSORIES LTD"/>
    <n v="485"/>
    <n v="485"/>
    <n v="470.15"/>
    <n v="481.3"/>
    <n v="490.65"/>
    <n v="28003"/>
    <n v="2095"/>
    <n v="18940791420"/>
    <n v="39353400"/>
    <n v="-1.9056353816365976"/>
    <x v="1090"/>
    <x v="0"/>
    <x v="1"/>
    <x v="1"/>
  </r>
  <r>
    <x v="1818"/>
    <s v="SESHAASAI TECHNOLOGIES L"/>
    <n v="232.28"/>
    <n v="232.28"/>
    <n v="218"/>
    <n v="223.3"/>
    <n v="231.4"/>
    <n v="151096"/>
    <n v="3659"/>
    <n v="36131240946"/>
    <n v="161805826"/>
    <n v="-3.5004321521175426"/>
    <x v="1471"/>
    <x v="0"/>
    <x v="1"/>
    <x v="1"/>
  </r>
  <r>
    <x v="1819"/>
    <s v="STYLAM INDUSTRIES LIMITED"/>
    <n v="2200.1999999999998"/>
    <n v="2210"/>
    <n v="2179"/>
    <n v="2202"/>
    <n v="2205.6999999999998"/>
    <n v="85485"/>
    <n v="3892"/>
    <n v="37319628120"/>
    <n v="16948060"/>
    <n v="-0.16774720043522773"/>
    <x v="1195"/>
    <x v="1"/>
    <x v="1"/>
    <x v="1"/>
  </r>
  <r>
    <x v="1820"/>
    <s v="BAAZAR STYLE RETAIL LTD"/>
    <n v="240.15"/>
    <n v="250.75"/>
    <n v="229.95"/>
    <n v="245.85"/>
    <n v="242.85"/>
    <n v="689149"/>
    <n v="10927"/>
    <n v="18344676235"/>
    <n v="74617353"/>
    <n v="1.2353304508956144"/>
    <x v="1472"/>
    <x v="1"/>
    <x v="1"/>
    <x v="1"/>
  </r>
  <r>
    <x v="1821"/>
    <s v="STYRENIX PERFORMANCE LTD"/>
    <n v="1945"/>
    <n v="1950"/>
    <n v="1829.2"/>
    <n v="1845.7"/>
    <n v="1969.7"/>
    <n v="38408"/>
    <n v="4686"/>
    <n v="32457788063"/>
    <n v="17585625"/>
    <n v="-6.2953749301924153"/>
    <x v="1473"/>
    <x v="0"/>
    <x v="1"/>
    <x v="1"/>
  </r>
  <r>
    <x v="1822"/>
    <s v="SUBEX LTD"/>
    <n v="8.02"/>
    <n v="8.09"/>
    <n v="7.5"/>
    <n v="7.6"/>
    <n v="8.1300000000000008"/>
    <n v="3826577"/>
    <n v="4686"/>
    <n v="4271222306"/>
    <n v="562002935"/>
    <n v="-6.5190651906519195"/>
    <x v="310"/>
    <x v="0"/>
    <x v="1"/>
    <x v="0"/>
  </r>
  <r>
    <x v="1823"/>
    <s v="SUBROS LIMITED"/>
    <n v="655"/>
    <n v="663.8"/>
    <n v="631.6"/>
    <n v="636.75"/>
    <n v="676.55"/>
    <n v="67566"/>
    <n v="4660"/>
    <n v="41538863813"/>
    <n v="65235750"/>
    <n v="-5.8827876727514532"/>
    <x v="1474"/>
    <x v="0"/>
    <x v="1"/>
    <x v="1"/>
  </r>
  <r>
    <x v="1824"/>
    <s v="SUDARSHAN COLORNT IND LTD"/>
    <n v="312.8"/>
    <n v="317.3"/>
    <n v="281"/>
    <n v="288.95"/>
    <n v="312.35000000000002"/>
    <n v="18895"/>
    <n v="1521"/>
    <n v="6669485532"/>
    <n v="23081798"/>
    <n v="-7.4915959660637217"/>
    <x v="1475"/>
    <x v="0"/>
    <x v="1"/>
    <x v="1"/>
  </r>
  <r>
    <x v="1825"/>
    <s v="SUDARSHAN CHEMICAL INDS L"/>
    <n v="798.35"/>
    <n v="800.45"/>
    <n v="756.05"/>
    <n v="759.8"/>
    <n v="812.55"/>
    <n v="115076"/>
    <n v="7285"/>
    <n v="59725198185"/>
    <n v="78606473"/>
    <n v="-6.4919081902652147"/>
    <x v="1476"/>
    <x v="0"/>
    <x v="2"/>
    <x v="1"/>
  </r>
  <r>
    <x v="1826"/>
    <s v="SUDEEP PHARMA LIMITED"/>
    <n v="600"/>
    <n v="609.20000000000005"/>
    <n v="591"/>
    <n v="597.4"/>
    <n v="613.85"/>
    <n v="44313"/>
    <n v="2848"/>
    <n v="67475508575"/>
    <n v="112948625"/>
    <n v="-2.6798077706280106"/>
    <x v="1477"/>
    <x v="0"/>
    <x v="2"/>
    <x v="1"/>
  </r>
  <r>
    <x v="1827"/>
    <s v="SUKHJIT STARCH &amp; CHEM LTD"/>
    <n v="161.5"/>
    <n v="161.5"/>
    <n v="153.36000000000001"/>
    <n v="155.26"/>
    <n v="162.58000000000001"/>
    <n v="12529"/>
    <n v="542"/>
    <n v="4850943440"/>
    <n v="31244000"/>
    <n v="-4.5023988190429458"/>
    <x v="1478"/>
    <x v="0"/>
    <x v="1"/>
    <x v="1"/>
  </r>
  <r>
    <x v="1828"/>
    <s v="SULA VINEYARDS LIMITED"/>
    <n v="151.4"/>
    <n v="151.66"/>
    <n v="142"/>
    <n v="142.69"/>
    <n v="152.62"/>
    <n v="609157"/>
    <n v="9586"/>
    <n v="12049775106"/>
    <n v="84447229"/>
    <n v="-6.5063556545669021"/>
    <x v="1479"/>
    <x v="0"/>
    <x v="1"/>
    <x v="1"/>
  </r>
  <r>
    <x v="1829"/>
    <s v="SUMEET IND LIMITED"/>
    <n v="28.6"/>
    <n v="30.85"/>
    <n v="27.93"/>
    <n v="28.76"/>
    <n v="29.39"/>
    <n v="331404"/>
    <n v="1699"/>
    <n v="15137126557"/>
    <n v="526325680"/>
    <n v="-2.143586253827829"/>
    <x v="977"/>
    <x v="1"/>
    <x v="1"/>
    <x v="1"/>
  </r>
  <r>
    <x v="1830"/>
    <s v="SUMITOMO CHEM INDIA LTD"/>
    <n v="383"/>
    <n v="385"/>
    <n v="370.15"/>
    <n v="375.1"/>
    <n v="387"/>
    <n v="321284"/>
    <n v="18988"/>
    <n v="187000000000"/>
    <n v="499145736"/>
    <n v="-3.0749354005167899"/>
    <x v="1090"/>
    <x v="0"/>
    <x v="2"/>
    <x v="1"/>
  </r>
  <r>
    <x v="1831"/>
    <s v="SUMIT WOODS LIMITED"/>
    <n v="42.75"/>
    <n v="46.39"/>
    <n v="42.75"/>
    <n v="45.02"/>
    <n v="44.53"/>
    <n v="122072"/>
    <n v="755"/>
    <n v="2037999260"/>
    <n v="45268753"/>
    <n v="1.1003817651021828"/>
    <x v="1480"/>
    <x v="1"/>
    <x v="1"/>
    <x v="1"/>
  </r>
  <r>
    <x v="1832"/>
    <s v="SUMMIT SECURITIES LTD"/>
    <n v="1464.4"/>
    <n v="1470"/>
    <n v="1391.1"/>
    <n v="1402.4"/>
    <n v="1496"/>
    <n v="11378"/>
    <n v="1808"/>
    <n v="15288657674"/>
    <n v="10901781"/>
    <n v="-6.2566844919786035"/>
    <x v="1481"/>
    <x v="0"/>
    <x v="1"/>
    <x v="1"/>
  </r>
  <r>
    <x v="1833"/>
    <s v="SUNDARAM CLAYTON LIMITED"/>
    <n v="1280"/>
    <n v="1280"/>
    <n v="1231.0999999999999"/>
    <n v="1236.4000000000001"/>
    <n v="1289.7"/>
    <n v="9733"/>
    <n v="1070"/>
    <n v="27257874697"/>
    <n v="22046162"/>
    <n v="-4.1327440490036409"/>
    <x v="1482"/>
    <x v="0"/>
    <x v="1"/>
    <x v="1"/>
  </r>
  <r>
    <x v="1834"/>
    <s v="SUNDARAM MULTI PAP LTD"/>
    <n v="1.23"/>
    <n v="1.23"/>
    <n v="1.1200000000000001"/>
    <n v="1.1399999999999999"/>
    <n v="1.21"/>
    <n v="899390"/>
    <n v="562"/>
    <n v="540220661.20000005"/>
    <n v="473877773"/>
    <n v="-5.7851239669421535"/>
    <x v="1483"/>
    <x v="0"/>
    <x v="1"/>
    <x v="1"/>
  </r>
  <r>
    <x v="1835"/>
    <s v="SUNDARAM FINANCE LTD"/>
    <n v="4615"/>
    <n v="4646"/>
    <n v="4505"/>
    <n v="4527"/>
    <n v="4678"/>
    <n v="87263"/>
    <n v="19868"/>
    <n v="503000000000"/>
    <n v="111103860"/>
    <n v="-3.2278751603249249"/>
    <x v="1484"/>
    <x v="0"/>
    <x v="0"/>
    <x v="1"/>
  </r>
  <r>
    <x v="1836"/>
    <s v="SUNDARAM BRAK LININGS LTD"/>
    <n v="525"/>
    <n v="535"/>
    <n v="503.3"/>
    <n v="510.8"/>
    <n v="529.95000000000005"/>
    <n v="2400"/>
    <n v="168"/>
    <n v="2009780910"/>
    <n v="3934575"/>
    <n v="-3.6135484479667954"/>
    <x v="1485"/>
    <x v="0"/>
    <x v="1"/>
    <x v="1"/>
  </r>
  <r>
    <x v="1837"/>
    <s v="SUNDRAM FASTENERS LTD"/>
    <n v="812.95"/>
    <n v="812.95"/>
    <n v="784.6"/>
    <n v="796.9"/>
    <n v="813"/>
    <n v="85263"/>
    <n v="12290"/>
    <n v="167000000000"/>
    <n v="210128370"/>
    <n v="-1.9803198031980347"/>
    <x v="1486"/>
    <x v="0"/>
    <x v="2"/>
    <x v="1"/>
  </r>
  <r>
    <x v="1838"/>
    <s v="SUNDROP BRANDS LIMITED"/>
    <n v="620"/>
    <n v="620"/>
    <n v="600"/>
    <n v="604.9"/>
    <n v="621.65"/>
    <n v="27047"/>
    <n v="1754"/>
    <n v="22802826380"/>
    <n v="37696853"/>
    <n v="-2.6944422102469239"/>
    <x v="180"/>
    <x v="0"/>
    <x v="1"/>
    <x v="1"/>
  </r>
  <r>
    <x v="1839"/>
    <s v="SUNFLAG IRON AND STEEL CO"/>
    <n v="215.01"/>
    <n v="215.01"/>
    <n v="206"/>
    <n v="207.2"/>
    <n v="217.64"/>
    <n v="174233"/>
    <n v="1904"/>
    <n v="37341469626"/>
    <n v="180219448"/>
    <n v="-4.7969123322918579"/>
    <x v="1487"/>
    <x v="0"/>
    <x v="1"/>
    <x v="1"/>
  </r>
  <r>
    <x v="1840"/>
    <s v="SUNTECK REALTY LIMITED"/>
    <n v="303.89999999999998"/>
    <n v="304.85000000000002"/>
    <n v="285.64999999999998"/>
    <n v="287.7"/>
    <n v="307.7"/>
    <n v="217157"/>
    <n v="7991"/>
    <n v="42144909467"/>
    <n v="146489084"/>
    <n v="-6.4998375040623984"/>
    <x v="1488"/>
    <x v="0"/>
    <x v="1"/>
    <x v="1"/>
  </r>
  <r>
    <x v="1841"/>
    <s v="SUN TV NETWORK LIMITED"/>
    <n v="592.95000000000005"/>
    <n v="608.65"/>
    <n v="583.20000000000005"/>
    <n v="599.1"/>
    <n v="592.95000000000005"/>
    <n v="4404749"/>
    <n v="60158"/>
    <n v="236000000000"/>
    <n v="394084620"/>
    <n v="1.0371869466228141"/>
    <x v="1489"/>
    <x v="1"/>
    <x v="0"/>
    <x v="0"/>
  </r>
  <r>
    <x v="1842"/>
    <s v="SUPERHOUSE LIMITED"/>
    <n v="135.6"/>
    <n v="142.97"/>
    <n v="128.55000000000001"/>
    <n v="129.65"/>
    <n v="139.71"/>
    <n v="15542"/>
    <n v="565"/>
    <n v="1429391250"/>
    <n v="11025000"/>
    <n v="-7.2006298761720728"/>
    <x v="1490"/>
    <x v="0"/>
    <x v="1"/>
    <x v="1"/>
  </r>
  <r>
    <x v="1843"/>
    <s v="SUPER SPINNING MILLS LTD"/>
    <n v="4.54"/>
    <n v="4.87"/>
    <n v="4.1100000000000003"/>
    <n v="4.3"/>
    <n v="4.5199999999999996"/>
    <n v="61050"/>
    <n v="299"/>
    <n v="236500000"/>
    <n v="55000000"/>
    <n v="-4.8672566371681363"/>
    <x v="1491"/>
    <x v="0"/>
    <x v="1"/>
    <x v="1"/>
  </r>
  <r>
    <x v="1844"/>
    <s v="SUPRAJIT ENGINEERING LTD"/>
    <n v="396"/>
    <n v="404"/>
    <n v="390"/>
    <n v="400.2"/>
    <n v="402.55"/>
    <n v="74756"/>
    <n v="3589"/>
    <n v="54895893029"/>
    <n v="137171147"/>
    <n v="-0.58377841261955599"/>
    <x v="158"/>
    <x v="1"/>
    <x v="2"/>
    <x v="1"/>
  </r>
  <r>
    <x v="1845"/>
    <s v="SUPREME HOLDIN N HOSP I L"/>
    <n v="52.26"/>
    <n v="52.31"/>
    <n v="49.6"/>
    <n v="49.93"/>
    <n v="51.43"/>
    <n v="11557"/>
    <n v="135"/>
    <n v="1929637370"/>
    <n v="38646853"/>
    <n v="-2.9165856503985998"/>
    <x v="794"/>
    <x v="0"/>
    <x v="1"/>
    <x v="1"/>
  </r>
  <r>
    <x v="1846"/>
    <s v="SUPREME INDUSTRIES LTD"/>
    <n v="3804.8"/>
    <n v="3804.8"/>
    <n v="3672.5"/>
    <n v="3704.5"/>
    <n v="3834.4"/>
    <n v="210951"/>
    <n v="21337"/>
    <n v="471000000000"/>
    <n v="127026870"/>
    <n v="-3.3877529730857523"/>
    <x v="1492"/>
    <x v="0"/>
    <x v="0"/>
    <x v="1"/>
  </r>
  <r>
    <x v="1847"/>
    <s v="SUPRIYA LIFESCIENCE LTD"/>
    <n v="575.20000000000005"/>
    <n v="582.95000000000005"/>
    <n v="549.15"/>
    <n v="553.35"/>
    <n v="584.20000000000005"/>
    <n v="180465"/>
    <n v="6398"/>
    <n v="44535157380"/>
    <n v="80482800"/>
    <n v="-5.2807257788428652"/>
    <x v="1493"/>
    <x v="0"/>
    <x v="1"/>
    <x v="1"/>
  </r>
  <r>
    <x v="1848"/>
    <s v="SURAJ ESTATE DEVELOPERS L"/>
    <n v="199"/>
    <n v="199"/>
    <n v="188.56"/>
    <n v="190.89"/>
    <n v="201.39"/>
    <n v="203714"/>
    <n v="2355"/>
    <n v="9119462035"/>
    <n v="47773388"/>
    <n v="-5.2137643378519298"/>
    <x v="1494"/>
    <x v="0"/>
    <x v="1"/>
    <x v="1"/>
  </r>
  <r>
    <x v="1849"/>
    <s v="SURAJ LIMITED"/>
    <n v="225"/>
    <n v="225"/>
    <n v="216"/>
    <n v="216"/>
    <n v="230.44"/>
    <n v="178"/>
    <n v="20"/>
    <n v="3966645600"/>
    <n v="18364100"/>
    <n v="-6.2662732164554757"/>
    <x v="729"/>
    <x v="0"/>
    <x v="1"/>
    <x v="1"/>
  </r>
  <r>
    <x v="1850"/>
    <s v="SURAKSHA DIAGNOSTIC LTD"/>
    <n v="260.3"/>
    <n v="262.14999999999998"/>
    <n v="251"/>
    <n v="258.75"/>
    <n v="260.3"/>
    <n v="26557"/>
    <n v="1048"/>
    <n v="13475896133"/>
    <n v="52080758"/>
    <n v="-0.5954667691125668"/>
    <x v="1495"/>
    <x v="0"/>
    <x v="1"/>
    <x v="1"/>
  </r>
  <r>
    <x v="1851"/>
    <s v="SURANA SOLAR LIMITED"/>
    <n v="22.19"/>
    <n v="22.2"/>
    <n v="21"/>
    <n v="21.1"/>
    <n v="22.2"/>
    <n v="47228"/>
    <n v="677"/>
    <n v="1038259260"/>
    <n v="49206600"/>
    <n v="-4.9549549549549452"/>
    <x v="1252"/>
    <x v="0"/>
    <x v="1"/>
    <x v="1"/>
  </r>
  <r>
    <x v="1852"/>
    <s v="SURANA TELECOM AND POW LT"/>
    <n v="17.239999999999998"/>
    <n v="17.559999999999999"/>
    <n v="16.29"/>
    <n v="16.579999999999998"/>
    <n v="17.239999999999998"/>
    <n v="119773"/>
    <n v="728"/>
    <n v="2250900187"/>
    <n v="135759963"/>
    <n v="-3.8283062645011614"/>
    <x v="408"/>
    <x v="0"/>
    <x v="1"/>
    <x v="1"/>
  </r>
  <r>
    <x v="1853"/>
    <s v="SURYALAKSHMI COT MIL LTD"/>
    <n v="54"/>
    <n v="54"/>
    <n v="48.12"/>
    <n v="49.83"/>
    <n v="52.44"/>
    <n v="18246"/>
    <n v="408"/>
    <n v="937067600.70000005"/>
    <n v="18805290"/>
    <n v="-4.977116704805491"/>
    <x v="1496"/>
    <x v="0"/>
    <x v="1"/>
    <x v="1"/>
  </r>
  <r>
    <x v="1854"/>
    <s v="SURYA ROSHNI LTD"/>
    <n v="208.7"/>
    <n v="208.7"/>
    <n v="196"/>
    <n v="198"/>
    <n v="209.08"/>
    <n v="392887"/>
    <n v="8017"/>
    <n v="43091907408"/>
    <n v="217635896"/>
    <n v="-5.2994069255787313"/>
    <x v="1497"/>
    <x v="0"/>
    <x v="1"/>
    <x v="1"/>
  </r>
  <r>
    <x v="1855"/>
    <s v="SURYODAY SMALL FIN BK LTD"/>
    <n v="123.75"/>
    <n v="133"/>
    <n v="119.7"/>
    <n v="125.37"/>
    <n v="123.54"/>
    <n v="788827"/>
    <n v="11223"/>
    <n v="13325555235"/>
    <n v="106289824"/>
    <n v="1.4813016027197654"/>
    <x v="1498"/>
    <x v="1"/>
    <x v="1"/>
    <x v="1"/>
  </r>
  <r>
    <x v="1856"/>
    <s v="SUTLEJ TEXT &amp; INDUS LTD"/>
    <n v="29.02"/>
    <n v="29.02"/>
    <n v="27"/>
    <n v="27.24"/>
    <n v="29.21"/>
    <n v="90459"/>
    <n v="810"/>
    <n v="4462691609"/>
    <n v="163828620"/>
    <n v="-6.7442656624443762"/>
    <x v="816"/>
    <x v="0"/>
    <x v="1"/>
    <x v="1"/>
  </r>
  <r>
    <x v="1857"/>
    <s v="SUVEN LIFE SCIENCES LTD"/>
    <n v="134"/>
    <n v="134"/>
    <n v="124.76"/>
    <n v="126.65"/>
    <n v="134.03"/>
    <n v="406272"/>
    <n v="4732"/>
    <n v="28809608317"/>
    <n v="227474207"/>
    <n v="-5.5062299485189845"/>
    <x v="1499"/>
    <x v="0"/>
    <x v="1"/>
    <x v="1"/>
  </r>
  <r>
    <x v="1858"/>
    <s v="SUVIDHAA INFOSERVE LTD"/>
    <n v="2.82"/>
    <n v="2.82"/>
    <n v="2.5499999999999998"/>
    <n v="2.59"/>
    <n v="2.82"/>
    <n v="99435"/>
    <n v="302"/>
    <n v="543399327.10000002"/>
    <n v="209806690"/>
    <n v="-8.1560283687943258"/>
    <x v="1500"/>
    <x v="0"/>
    <x v="1"/>
    <x v="1"/>
  </r>
  <r>
    <x v="1859"/>
    <s v="SUYOG TELEMATICS LIMITED"/>
    <n v="672.9"/>
    <n v="675.1"/>
    <n v="600"/>
    <n v="611.5"/>
    <n v="679.9"/>
    <n v="45907"/>
    <n v="3098"/>
    <n v="6842452630"/>
    <n v="11189620"/>
    <n v="-10.060302985733193"/>
    <x v="1501"/>
    <x v="0"/>
    <x v="1"/>
    <x v="1"/>
  </r>
  <r>
    <x v="1860"/>
    <s v="SUZLON ENERGY LIMITED"/>
    <n v="41.76"/>
    <n v="41.76"/>
    <n v="39.700000000000003"/>
    <n v="39.94"/>
    <n v="41.95"/>
    <n v="68192562"/>
    <n v="124692"/>
    <n v="548000000000"/>
    <n v="13712280885"/>
    <n v="-4.7914183551847556"/>
    <x v="1502"/>
    <x v="0"/>
    <x v="0"/>
    <x v="0"/>
  </r>
  <r>
    <x v="1861"/>
    <s v="SHREE VASU LOGISTICS LTD"/>
    <n v="520"/>
    <n v="538.85"/>
    <n v="495"/>
    <n v="498.65"/>
    <n v="506.5"/>
    <n v="6360"/>
    <n v="70"/>
    <n v="5731333505"/>
    <n v="11493700"/>
    <n v="-1.5498519249753253"/>
    <x v="1503"/>
    <x v="0"/>
    <x v="1"/>
    <x v="1"/>
  </r>
  <r>
    <x v="1862"/>
    <s v="SWAN CORP LIMITED"/>
    <n v="312.8"/>
    <n v="318"/>
    <n v="303.75"/>
    <n v="310.7"/>
    <n v="318.60000000000002"/>
    <n v="1950229"/>
    <n v="38657"/>
    <n v="97391054480"/>
    <n v="313456886"/>
    <n v="-2.4795982423101175"/>
    <x v="411"/>
    <x v="0"/>
    <x v="2"/>
    <x v="0"/>
  </r>
  <r>
    <x v="1863"/>
    <s v="SWARAJ ENGINES LTD"/>
    <n v="3550"/>
    <n v="3550"/>
    <n v="3381.2"/>
    <n v="3420.4"/>
    <n v="3560.6"/>
    <n v="18818"/>
    <n v="3291"/>
    <n v="41549192706"/>
    <n v="12147466"/>
    <n v="-3.9375386170870024"/>
    <x v="1504"/>
    <x v="0"/>
    <x v="1"/>
    <x v="1"/>
  </r>
  <r>
    <x v="1864"/>
    <s v="SWELECT ENERGY SYS LTD"/>
    <n v="544.95000000000005"/>
    <n v="560"/>
    <n v="535"/>
    <n v="544.85"/>
    <n v="553.85"/>
    <n v="50115"/>
    <n v="2434"/>
    <n v="8259250386"/>
    <n v="15158760"/>
    <n v="-1.6249887153561433"/>
    <x v="821"/>
    <x v="0"/>
    <x v="1"/>
    <x v="1"/>
  </r>
  <r>
    <x v="1865"/>
    <s v="SWIGGY LIMITED"/>
    <n v="277.35000000000002"/>
    <n v="280.8"/>
    <n v="266.95"/>
    <n v="272.55"/>
    <n v="282.8"/>
    <n v="17054816"/>
    <n v="81030"/>
    <n v="752000000000"/>
    <n v="2760313555"/>
    <n v="-3.6244695898161239"/>
    <x v="1505"/>
    <x v="0"/>
    <x v="0"/>
    <x v="0"/>
  </r>
  <r>
    <x v="1866"/>
    <s v="STRLNG &amp; WIL REN ENE LTD"/>
    <n v="168.51"/>
    <n v="169.5"/>
    <n v="158.02000000000001"/>
    <n v="158.58000000000001"/>
    <n v="171.65"/>
    <n v="2331548"/>
    <n v="24557"/>
    <n v="37033460158"/>
    <n v="233531720"/>
    <n v="-7.6143314884940247"/>
    <x v="1506"/>
    <x v="0"/>
    <x v="1"/>
    <x v="0"/>
  </r>
  <r>
    <x v="1867"/>
    <s v="SYMPHONY LIMITED"/>
    <n v="765"/>
    <n v="767.55"/>
    <n v="724"/>
    <n v="727.2"/>
    <n v="771.45"/>
    <n v="166311"/>
    <n v="10916"/>
    <n v="49937842080"/>
    <n v="68671400"/>
    <n v="-5.7359517791172463"/>
    <x v="1393"/>
    <x v="0"/>
    <x v="1"/>
    <x v="1"/>
  </r>
  <r>
    <x v="1868"/>
    <s v="SYNCOM FORMU (I) LTD"/>
    <n v="11.76"/>
    <n v="11.76"/>
    <n v="11"/>
    <n v="11.19"/>
    <n v="11.78"/>
    <n v="1936298"/>
    <n v="4980"/>
    <n v="10518600000"/>
    <n v="940000000"/>
    <n v="-5.0084889643463493"/>
    <x v="1491"/>
    <x v="0"/>
    <x v="1"/>
    <x v="0"/>
  </r>
  <r>
    <x v="1869"/>
    <s v="SYNGENE INTERNATIONAL LTD"/>
    <n v="408.8"/>
    <n v="414.7"/>
    <n v="396"/>
    <n v="397.85"/>
    <n v="414.75"/>
    <n v="728256"/>
    <n v="33945"/>
    <n v="160000000000"/>
    <n v="402939420"/>
    <n v="-4.0747438215792586"/>
    <x v="861"/>
    <x v="0"/>
    <x v="2"/>
    <x v="1"/>
  </r>
  <r>
    <x v="1870"/>
    <s v="SYRMA SGS TECHNOLOGY LTD"/>
    <n v="775"/>
    <n v="777.65"/>
    <n v="735.7"/>
    <n v="746"/>
    <n v="783.9"/>
    <n v="979054"/>
    <n v="40009"/>
    <n v="144000000000"/>
    <n v="192830485"/>
    <n v="-4.8348003571884144"/>
    <x v="1507"/>
    <x v="0"/>
    <x v="2"/>
    <x v="1"/>
  </r>
  <r>
    <x v="1871"/>
    <s v="SYSTEMATIX CORP SERVICE L"/>
    <n v="58.59"/>
    <n v="60.5"/>
    <n v="57.25"/>
    <n v="59.53"/>
    <n v="60.04"/>
    <n v="75591"/>
    <n v="629"/>
    <n v="8128107735"/>
    <n v="136538010"/>
    <n v="-0.84943371085942376"/>
    <x v="201"/>
    <x v="1"/>
    <x v="1"/>
    <x v="1"/>
  </r>
  <r>
    <x v="1872"/>
    <s v="TAINWALA CHEMICAL AND PLA"/>
    <n v="182"/>
    <n v="182.01"/>
    <n v="174.25"/>
    <n v="174.57"/>
    <n v="181.4"/>
    <n v="3137"/>
    <n v="119"/>
    <n v="1634649564"/>
    <n v="9363863"/>
    <n v="-3.765159867695707"/>
    <x v="1395"/>
    <x v="0"/>
    <x v="1"/>
    <x v="1"/>
  </r>
  <r>
    <x v="1873"/>
    <s v="TAJ GVK HOTELS &amp; RESORTS"/>
    <n v="300.64999999999998"/>
    <n v="300.64999999999998"/>
    <n v="281.35000000000002"/>
    <n v="284.95"/>
    <n v="301.85000000000002"/>
    <n v="182737"/>
    <n v="4910"/>
    <n v="17866791000"/>
    <n v="62701495"/>
    <n v="-5.5988073546463584"/>
    <x v="1508"/>
    <x v="0"/>
    <x v="1"/>
    <x v="1"/>
  </r>
  <r>
    <x v="1874"/>
    <s v="TALBROS AUTO. COMP. LTD"/>
    <n v="236"/>
    <n v="236"/>
    <n v="223"/>
    <n v="224.4"/>
    <n v="236.55"/>
    <n v="77837"/>
    <n v="2566"/>
    <n v="13851796860"/>
    <n v="61728150"/>
    <n v="-5.1363348129359565"/>
    <x v="1244"/>
    <x v="0"/>
    <x v="1"/>
    <x v="1"/>
  </r>
  <r>
    <x v="1875"/>
    <s v="TANLA PLATFORMS LIMITED"/>
    <n v="420"/>
    <n v="420"/>
    <n v="393.9"/>
    <n v="400"/>
    <n v="423.05"/>
    <n v="420893"/>
    <n v="17898"/>
    <n v="53046943600"/>
    <n v="132617359"/>
    <n v="-5.4485285427254491"/>
    <x v="1509"/>
    <x v="0"/>
    <x v="2"/>
    <x v="1"/>
  </r>
  <r>
    <x v="1876"/>
    <s v="TARA CHAND INFRA SOLN LTD"/>
    <n v="56.4"/>
    <n v="58.12"/>
    <n v="54.71"/>
    <n v="56.13"/>
    <n v="56.62"/>
    <n v="113299"/>
    <n v="983"/>
    <n v="4424441637"/>
    <n v="78824900"/>
    <n v="-0.86541858000705563"/>
    <x v="1510"/>
    <x v="0"/>
    <x v="1"/>
    <x v="1"/>
  </r>
  <r>
    <x v="1877"/>
    <s v="TARAPUR TRANSFORMERS LTD"/>
    <n v="26.11"/>
    <n v="26.97"/>
    <n v="25.11"/>
    <n v="25.16"/>
    <n v="26.43"/>
    <n v="19634"/>
    <n v="213"/>
    <n v="490620276.80000001"/>
    <n v="19500011"/>
    <n v="-4.8051456678017388"/>
    <x v="485"/>
    <x v="0"/>
    <x v="1"/>
    <x v="1"/>
  </r>
  <r>
    <x v="1878"/>
    <s v="TARC LIMITED"/>
    <n v="122"/>
    <n v="122.05"/>
    <n v="112.25"/>
    <n v="114.79"/>
    <n v="123.09"/>
    <n v="987014"/>
    <n v="8923"/>
    <n v="33874108295"/>
    <n v="295096335"/>
    <n v="-6.7430335526850254"/>
    <x v="1511"/>
    <x v="0"/>
    <x v="1"/>
    <x v="1"/>
  </r>
  <r>
    <x v="1879"/>
    <s v="TRANS &amp; RECTI. LTD"/>
    <n v="275.85000000000002"/>
    <n v="284.5"/>
    <n v="268.14999999999998"/>
    <n v="269.39999999999998"/>
    <n v="285.14999999999998"/>
    <n v="3166655"/>
    <n v="45937"/>
    <n v="80864675680"/>
    <n v="300165834"/>
    <n v="-5.5234087322461862"/>
    <x v="567"/>
    <x v="0"/>
    <x v="2"/>
    <x v="0"/>
  </r>
  <r>
    <x v="1880"/>
    <s v="TARSONS PRODUCTS LIMITED"/>
    <n v="185"/>
    <n v="185"/>
    <n v="174.91"/>
    <n v="177.88"/>
    <n v="184.47"/>
    <n v="233777"/>
    <n v="4281"/>
    <n v="9464333264"/>
    <n v="53206281"/>
    <n v="-3.5723965956524113"/>
    <x v="1512"/>
    <x v="0"/>
    <x v="1"/>
    <x v="1"/>
  </r>
  <r>
    <x v="1881"/>
    <s v="TASTY BITE EATABLES LTD"/>
    <n v="6729.5"/>
    <n v="6730"/>
    <n v="6430"/>
    <n v="6453.5"/>
    <n v="6729.5"/>
    <n v="2807"/>
    <n v="737"/>
    <n v="16559681000"/>
    <n v="2566000"/>
    <n v="-4.1013448250241478"/>
    <x v="1513"/>
    <x v="0"/>
    <x v="1"/>
    <x v="1"/>
  </r>
  <r>
    <x v="1882"/>
    <s v="TATA CAPITAL LIMITED"/>
    <n v="312"/>
    <n v="314.45"/>
    <n v="309.89999999999998"/>
    <n v="312.14999999999998"/>
    <n v="317.10000000000002"/>
    <n v="1680349"/>
    <n v="54346"/>
    <n v="1330000000000"/>
    <n v="4244869037"/>
    <n v="-1.5610217596972706"/>
    <x v="1514"/>
    <x v="1"/>
    <x v="0"/>
    <x v="0"/>
  </r>
  <r>
    <x v="1883"/>
    <s v="TATA CHEMICALS LTD"/>
    <n v="618.9"/>
    <n v="618.9"/>
    <n v="595.25"/>
    <n v="608.85"/>
    <n v="633.29999999999995"/>
    <n v="969036"/>
    <n v="48290"/>
    <n v="155000000000"/>
    <n v="254756278"/>
    <n v="-3.8607295120795726"/>
    <x v="160"/>
    <x v="0"/>
    <x v="2"/>
    <x v="1"/>
  </r>
  <r>
    <x v="1884"/>
    <s v="TATA COMMUNICATIONS LTD"/>
    <n v="1410.2"/>
    <n v="1413.7"/>
    <n v="1361.6"/>
    <n v="1383"/>
    <n v="1416.8"/>
    <n v="649938"/>
    <n v="59862"/>
    <n v="394000000000"/>
    <n v="285000000"/>
    <n v="-2.385657820440426"/>
    <x v="1515"/>
    <x v="0"/>
    <x v="0"/>
    <x v="1"/>
  </r>
  <r>
    <x v="1885"/>
    <s v="TATA ELXSI LIMITED"/>
    <n v="4190"/>
    <n v="4190"/>
    <n v="4111"/>
    <n v="4130.6000000000004"/>
    <n v="4237.7"/>
    <n v="299035"/>
    <n v="30265"/>
    <n v="257000000000"/>
    <n v="62295229"/>
    <n v="-2.527314345045649"/>
    <x v="1516"/>
    <x v="0"/>
    <x v="0"/>
    <x v="1"/>
  </r>
  <r>
    <x v="1886"/>
    <s v="TATA INVESTMENT CORP LTD"/>
    <n v="598"/>
    <n v="599.6"/>
    <n v="566.79999999999995"/>
    <n v="570.9"/>
    <n v="602.6"/>
    <n v="671085"/>
    <n v="31091"/>
    <n v="289000000000"/>
    <n v="505952960"/>
    <n v="-5.2605376700962569"/>
    <x v="1517"/>
    <x v="0"/>
    <x v="0"/>
    <x v="1"/>
  </r>
  <r>
    <x v="1887"/>
    <s v="TATA TECHNOLOGIES LIMITED"/>
    <n v="530.65"/>
    <n v="539.45000000000005"/>
    <n v="517"/>
    <n v="519"/>
    <n v="539.65"/>
    <n v="1257876"/>
    <n v="38922"/>
    <n v="211000000000"/>
    <n v="405743604"/>
    <n v="-3.82655424812378"/>
    <x v="1518"/>
    <x v="0"/>
    <x v="0"/>
    <x v="0"/>
  </r>
  <r>
    <x v="1888"/>
    <s v="TATVA CHIN PHARM CHEM LTD"/>
    <n v="1111"/>
    <n v="1141.9000000000001"/>
    <n v="1103"/>
    <n v="1118.5"/>
    <n v="1128.5"/>
    <n v="83006"/>
    <n v="4893"/>
    <n v="26164013518"/>
    <n v="23392055"/>
    <n v="-0.88613203367301718"/>
    <x v="987"/>
    <x v="1"/>
    <x v="1"/>
    <x v="1"/>
  </r>
  <r>
    <x v="1889"/>
    <s v="TBO TEK LIMITED"/>
    <n v="1060"/>
    <n v="1064"/>
    <n v="1004.2"/>
    <n v="1018"/>
    <n v="1068.0999999999999"/>
    <n v="96391"/>
    <n v="12038"/>
    <n v="111000000000"/>
    <n v="108587787"/>
    <n v="-4.6905720438161138"/>
    <x v="1519"/>
    <x v="0"/>
    <x v="2"/>
    <x v="1"/>
  </r>
  <r>
    <x v="1890"/>
    <s v="TRIB BHIMJI ZAVERI LTD"/>
    <n v="129.01"/>
    <n v="129.01"/>
    <n v="120.01"/>
    <n v="121.11"/>
    <n v="129.06"/>
    <n v="290139"/>
    <n v="4686"/>
    <n v="8081745388"/>
    <n v="66730620"/>
    <n v="-6.1599256159925639"/>
    <x v="1520"/>
    <x v="0"/>
    <x v="1"/>
    <x v="1"/>
  </r>
  <r>
    <x v="1891"/>
    <s v="TCC CONCEPT LIMITED"/>
    <n v="377"/>
    <n v="377"/>
    <n v="310"/>
    <n v="331.05"/>
    <n v="358.65"/>
    <n v="25113"/>
    <n v="1351"/>
    <n v="15734164594"/>
    <n v="47528061"/>
    <n v="-7.6955248849853524"/>
    <x v="1216"/>
    <x v="0"/>
    <x v="1"/>
    <x v="1"/>
  </r>
  <r>
    <x v="1892"/>
    <s v="TRANSPORT CORPN OF INDIA"/>
    <n v="936"/>
    <n v="949.6"/>
    <n v="881.2"/>
    <n v="885.6"/>
    <n v="944.6"/>
    <n v="38899"/>
    <n v="4561"/>
    <n v="67949419687"/>
    <n v="76726987"/>
    <n v="-6.2460300656362477"/>
    <x v="1521"/>
    <x v="0"/>
    <x v="2"/>
    <x v="1"/>
  </r>
  <r>
    <x v="1893"/>
    <s v="TCI EXPRESS LIMITED"/>
    <n v="493.6"/>
    <n v="494.65"/>
    <n v="465.25"/>
    <n v="472.55"/>
    <n v="498.15"/>
    <n v="35566"/>
    <n v="1426"/>
    <n v="18154893725"/>
    <n v="38418990"/>
    <n v="-5.1390143531064876"/>
    <x v="1522"/>
    <x v="0"/>
    <x v="1"/>
    <x v="1"/>
  </r>
  <r>
    <x v="1894"/>
    <s v="TCPL PACKAGING LIMITED"/>
    <n v="2300"/>
    <n v="2302.6"/>
    <n v="2200"/>
    <n v="2214.1"/>
    <n v="2334.6999999999998"/>
    <n v="4545"/>
    <n v="1014"/>
    <n v="20148310000"/>
    <n v="9100000"/>
    <n v="-5.1655458945474759"/>
    <x v="435"/>
    <x v="0"/>
    <x v="1"/>
    <x v="1"/>
  </r>
  <r>
    <x v="1895"/>
    <s v="TD POWER SYSTEMS LTD."/>
    <n v="840"/>
    <n v="853.5"/>
    <n v="803.65"/>
    <n v="819.7"/>
    <n v="863.25"/>
    <n v="781166"/>
    <n v="37007"/>
    <n v="128000000000"/>
    <n v="156214830"/>
    <n v="-5.0448885027512258"/>
    <x v="1523"/>
    <x v="0"/>
    <x v="2"/>
    <x v="1"/>
  </r>
  <r>
    <x v="1896"/>
    <s v="TEAM INDIA GUARANTY LTD"/>
    <n v="283.8"/>
    <n v="290"/>
    <n v="247"/>
    <n v="247.7"/>
    <n v="268.35000000000002"/>
    <n v="2810"/>
    <n v="315"/>
    <n v="2227603007"/>
    <n v="8993149"/>
    <n v="-7.6951742127818274"/>
    <x v="1028"/>
    <x v="0"/>
    <x v="1"/>
    <x v="1"/>
  </r>
  <r>
    <x v="1897"/>
    <s v="TEAMLEASE SERVICES LTD."/>
    <n v="1172.0999999999999"/>
    <n v="1175.5999999999999"/>
    <n v="1135"/>
    <n v="1154.4000000000001"/>
    <n v="1188.5"/>
    <n v="31934"/>
    <n v="3777"/>
    <n v="19358018160"/>
    <n v="16768900"/>
    <n v="-2.8691628102650322"/>
    <x v="1524"/>
    <x v="0"/>
    <x v="1"/>
    <x v="1"/>
  </r>
  <r>
    <x v="1898"/>
    <s v="TECHNO ELEC &amp; ENG CO. LTD"/>
    <n v="1072"/>
    <n v="1074.9000000000001"/>
    <n v="1001.2"/>
    <n v="1016.4"/>
    <n v="1089.5999999999999"/>
    <n v="260763"/>
    <n v="23289"/>
    <n v="118000000000"/>
    <n v="116299574"/>
    <n v="-6.7180616740088048"/>
    <x v="1525"/>
    <x v="0"/>
    <x v="2"/>
    <x v="1"/>
  </r>
  <r>
    <x v="1899"/>
    <s v="TECIL CHEMICALS"/>
    <n v="13.5"/>
    <n v="13.5"/>
    <n v="11.41"/>
    <n v="12.6"/>
    <n v="13"/>
    <n v="1582"/>
    <n v="65"/>
    <n v="238942620"/>
    <n v="18963700"/>
    <n v="-3.0769230769230793"/>
    <x v="1526"/>
    <x v="0"/>
    <x v="1"/>
    <x v="1"/>
  </r>
  <r>
    <x v="1900"/>
    <s v="TEGA INDUSTRIES LIMITED"/>
    <n v="1700.1"/>
    <n v="1714.9"/>
    <n v="1560.8"/>
    <n v="1585.5"/>
    <n v="1725"/>
    <n v="395567"/>
    <n v="32473"/>
    <n v="119000000000"/>
    <n v="75127698"/>
    <n v="-8.0869565217391308"/>
    <x v="1527"/>
    <x v="0"/>
    <x v="2"/>
    <x v="1"/>
  </r>
  <r>
    <x v="1901"/>
    <s v="TEJAS NETWORKS LIMITED"/>
    <n v="428"/>
    <n v="429.3"/>
    <n v="399.15"/>
    <n v="400.8"/>
    <n v="435.95"/>
    <n v="3486592"/>
    <n v="47333"/>
    <n v="71121542366"/>
    <n v="177448958"/>
    <n v="-8.0628512444087566"/>
    <x v="1528"/>
    <x v="0"/>
    <x v="2"/>
    <x v="0"/>
  </r>
  <r>
    <x v="1902"/>
    <s v="TEMBO GLOBAL IND LTD"/>
    <n v="502"/>
    <n v="502"/>
    <n v="471.6"/>
    <n v="490.6"/>
    <n v="501.4"/>
    <n v="129777"/>
    <n v="3782"/>
    <n v="7588181828"/>
    <n v="15467146"/>
    <n v="-2.1539688871160658"/>
    <x v="1529"/>
    <x v="0"/>
    <x v="1"/>
    <x v="1"/>
  </r>
  <r>
    <x v="1903"/>
    <s v="TENNECO CLEAN AIR INDIA L"/>
    <n v="540"/>
    <n v="541.4"/>
    <n v="524.70000000000005"/>
    <n v="536.4"/>
    <n v="546.5"/>
    <n v="292503"/>
    <n v="18050"/>
    <n v="216000000000"/>
    <n v="403604309"/>
    <n v="-1.848124428179327"/>
    <x v="1530"/>
    <x v="0"/>
    <x v="0"/>
    <x v="1"/>
  </r>
  <r>
    <x v="1904"/>
    <s v="TERA SOFTWARE LIMITED"/>
    <n v="330.9"/>
    <n v="330.9"/>
    <n v="315.39999999999998"/>
    <n v="317.8"/>
    <n v="331.9"/>
    <n v="22510"/>
    <n v="1057"/>
    <n v="3976273875"/>
    <n v="12511875"/>
    <n v="-4.2482675504669984"/>
    <x v="71"/>
    <x v="0"/>
    <x v="1"/>
    <x v="1"/>
  </r>
  <r>
    <x v="1905"/>
    <s v="TEXMACO INFRA &amp; HOLDG LTD"/>
    <n v="87.31"/>
    <n v="91"/>
    <n v="84.92"/>
    <n v="88.53"/>
    <n v="89.08"/>
    <n v="535563"/>
    <n v="1377"/>
    <n v="11281076013"/>
    <n v="127426590"/>
    <n v="-0.61742254153569509"/>
    <x v="1531"/>
    <x v="1"/>
    <x v="1"/>
    <x v="1"/>
  </r>
  <r>
    <x v="1906"/>
    <s v="TEXMO PIPE &amp; PRODUCTS LTD"/>
    <n v="39.619999999999997"/>
    <n v="40.799999999999997"/>
    <n v="37.270000000000003"/>
    <n v="38.51"/>
    <n v="40.47"/>
    <n v="100850"/>
    <n v="1122"/>
    <n v="1124299450"/>
    <n v="29195000"/>
    <n v="-4.8430936496170025"/>
    <x v="1532"/>
    <x v="0"/>
    <x v="1"/>
    <x v="1"/>
  </r>
  <r>
    <x v="1907"/>
    <s v="TEXMACO RAIL &amp; ENG. LTD."/>
    <n v="89.63"/>
    <n v="89.63"/>
    <n v="84"/>
    <n v="84.38"/>
    <n v="89.63"/>
    <n v="2412223"/>
    <n v="17709"/>
    <n v="34331232585"/>
    <n v="406864572"/>
    <n v="-5.8574138123396189"/>
    <x v="1533"/>
    <x v="0"/>
    <x v="1"/>
    <x v="0"/>
  </r>
  <r>
    <x v="1908"/>
    <s v="TOURISM FINANCE CORP. OF"/>
    <n v="64.2"/>
    <n v="64.5"/>
    <n v="61.95"/>
    <n v="63.87"/>
    <n v="65.45"/>
    <n v="6039542"/>
    <n v="10114"/>
    <n v="29570356319"/>
    <n v="462977240"/>
    <n v="-2.4140565317035989"/>
    <x v="1246"/>
    <x v="0"/>
    <x v="1"/>
    <x v="0"/>
  </r>
  <r>
    <x v="1909"/>
    <s v="TRANSWARRANTY FIN. LTD."/>
    <n v="13.97"/>
    <n v="13.97"/>
    <n v="12.1"/>
    <n v="12.12"/>
    <n v="12.79"/>
    <n v="45248"/>
    <n v="102"/>
    <n v="654171388.5"/>
    <n v="53974537"/>
    <n v="-5.2384675527756057"/>
    <x v="1534"/>
    <x v="0"/>
    <x v="1"/>
    <x v="1"/>
  </r>
  <r>
    <x v="1910"/>
    <s v="TGB BANQUETS&amp;HOTELS LTD"/>
    <n v="8.48"/>
    <n v="8.48"/>
    <n v="7.7"/>
    <n v="7.76"/>
    <n v="8.23"/>
    <n v="146549"/>
    <n v="281"/>
    <n v="227262464"/>
    <n v="29286400"/>
    <n v="-5.7108140947752197"/>
    <x v="1535"/>
    <x v="0"/>
    <x v="1"/>
    <x v="1"/>
  </r>
  <r>
    <x v="1911"/>
    <s v="THANGAMAYIL JEWELLERY LTD"/>
    <n v="3319"/>
    <n v="3319"/>
    <n v="3131.5"/>
    <n v="3158.8"/>
    <n v="3328.8"/>
    <n v="57441"/>
    <n v="8507"/>
    <n v="98181887935"/>
    <n v="31082021"/>
    <n v="-5.1069454458062964"/>
    <x v="1536"/>
    <x v="0"/>
    <x v="2"/>
    <x v="1"/>
  </r>
  <r>
    <x v="1912"/>
    <s v="THE INVEST TRUST OF IND L"/>
    <n v="101.16"/>
    <n v="101.16"/>
    <n v="91.16"/>
    <n v="94.09"/>
    <n v="101.19"/>
    <n v="29758"/>
    <n v="851"/>
    <n v="4915470198"/>
    <n v="52242217"/>
    <n v="-7.0165036070757925"/>
    <x v="161"/>
    <x v="0"/>
    <x v="1"/>
    <x v="1"/>
  </r>
  <r>
    <x v="1913"/>
    <s v="THEJO ENGINEERING LIMITED"/>
    <n v="1540"/>
    <n v="1572"/>
    <n v="1505.7"/>
    <n v="1529.9"/>
    <n v="1555.7"/>
    <n v="6596"/>
    <n v="1203"/>
    <n v="16595068554"/>
    <n v="10847159"/>
    <n v="-1.6584174326669636"/>
    <x v="1537"/>
    <x v="0"/>
    <x v="1"/>
    <x v="1"/>
  </r>
  <r>
    <x v="1914"/>
    <s v="LEELA PALACES HOTEL LTD"/>
    <n v="390"/>
    <n v="402.95"/>
    <n v="385.1"/>
    <n v="393.75"/>
    <n v="399.3"/>
    <n v="202434"/>
    <n v="11931"/>
    <n v="131000000000"/>
    <n v="333957878"/>
    <n v="-1.3899323816679217"/>
    <x v="1538"/>
    <x v="1"/>
    <x v="2"/>
    <x v="1"/>
  </r>
  <r>
    <x v="1915"/>
    <s v="THEMIS MEDICARE LTD."/>
    <n v="74.81"/>
    <n v="74.81"/>
    <n v="70.25"/>
    <n v="71.12"/>
    <n v="75.290000000000006"/>
    <n v="100693"/>
    <n v="1378"/>
    <n v="6545893334"/>
    <n v="92040120"/>
    <n v="-5.5385841413202304"/>
    <x v="1539"/>
    <x v="0"/>
    <x v="1"/>
    <x v="1"/>
  </r>
  <r>
    <x v="1916"/>
    <s v="THERMAX LTD"/>
    <n v="3195.1"/>
    <n v="3200"/>
    <n v="3050"/>
    <n v="3101.1"/>
    <n v="3227.4"/>
    <n v="102143"/>
    <n v="15744"/>
    <n v="370000000000"/>
    <n v="119156300"/>
    <n v="-3.9133667968023853"/>
    <x v="1540"/>
    <x v="0"/>
    <x v="0"/>
    <x v="1"/>
  </r>
  <r>
    <x v="1917"/>
    <s v="THOMAS COOK (INDIA) LTD"/>
    <n v="103.5"/>
    <n v="103.5"/>
    <n v="92.99"/>
    <n v="93.57"/>
    <n v="103.34"/>
    <n v="2340847"/>
    <n v="21967"/>
    <n v="44013509186"/>
    <n v="470380562"/>
    <n v="-9.4542287594348853"/>
    <x v="1541"/>
    <x v="0"/>
    <x v="1"/>
    <x v="0"/>
  </r>
  <r>
    <x v="1918"/>
    <s v="THOMAS SCOTT (INDIA) LTD"/>
    <n v="267"/>
    <n v="267"/>
    <n v="253"/>
    <n v="255.55"/>
    <n v="273.35000000000002"/>
    <n v="30442"/>
    <n v="1576"/>
    <n v="3749015609"/>
    <n v="14670380"/>
    <n v="-6.5117980610938391"/>
    <x v="158"/>
    <x v="0"/>
    <x v="1"/>
    <x v="1"/>
  </r>
  <r>
    <x v="1919"/>
    <s v="THYROCARE TECH LTD"/>
    <n v="350"/>
    <n v="382.3"/>
    <n v="342.55"/>
    <n v="373.3"/>
    <n v="351.35"/>
    <n v="1032587"/>
    <n v="46106"/>
    <n v="59415059250"/>
    <n v="159161691"/>
    <n v="6.2473317205066135"/>
    <x v="1542"/>
    <x v="1"/>
    <x v="2"/>
    <x v="0"/>
  </r>
  <r>
    <x v="1920"/>
    <s v="TILAKNAGAR INDUSTRIES LTD"/>
    <n v="430"/>
    <n v="430.05"/>
    <n v="412.5"/>
    <n v="417"/>
    <n v="434.4"/>
    <n v="1173499"/>
    <n v="24668"/>
    <n v="86816793750"/>
    <n v="208193750"/>
    <n v="-4.005524861878448"/>
    <x v="484"/>
    <x v="0"/>
    <x v="2"/>
    <x v="0"/>
  </r>
  <r>
    <x v="1921"/>
    <s v="TWAMEV CONS AND INFRA LTD"/>
    <n v="25.05"/>
    <n v="25.16"/>
    <n v="24.33"/>
    <n v="24.33"/>
    <n v="25.61"/>
    <n v="89531"/>
    <n v="392"/>
    <n v="3771150000"/>
    <n v="155000000"/>
    <n v="-4.9980476376415508"/>
    <x v="1543"/>
    <x v="0"/>
    <x v="1"/>
    <x v="1"/>
  </r>
  <r>
    <x v="1922"/>
    <s v="TIGER LOGISTICS (INDIA) L"/>
    <n v="24.5"/>
    <n v="26.95"/>
    <n v="22.9"/>
    <n v="25.01"/>
    <n v="25.09"/>
    <n v="216723"/>
    <n v="1727"/>
    <n v="2644182250"/>
    <n v="105725000"/>
    <n v="-0.31885213232362813"/>
    <x v="1544"/>
    <x v="1"/>
    <x v="1"/>
    <x v="1"/>
  </r>
  <r>
    <x v="1923"/>
    <s v="TECHNOCRAFT IND LTD"/>
    <n v="2188.9"/>
    <n v="2188.9"/>
    <n v="2053.4"/>
    <n v="2092.1"/>
    <n v="2189.8000000000002"/>
    <n v="24843"/>
    <n v="3067"/>
    <n v="47433760696"/>
    <n v="22672798"/>
    <n v="-4.4615946661795718"/>
    <x v="1545"/>
    <x v="0"/>
    <x v="1"/>
    <x v="1"/>
  </r>
  <r>
    <x v="1924"/>
    <s v="TUBE INVEST OF INDIA LTD"/>
    <n v="2524.9"/>
    <n v="2524.9"/>
    <n v="2436"/>
    <n v="2471"/>
    <n v="2537.3000000000002"/>
    <n v="308410"/>
    <n v="33759"/>
    <n v="478000000000"/>
    <n v="193508850"/>
    <n v="-2.6130138336026554"/>
    <x v="829"/>
    <x v="0"/>
    <x v="0"/>
    <x v="1"/>
  </r>
  <r>
    <x v="1925"/>
    <s v="TIL LTD"/>
    <n v="180"/>
    <n v="182.61"/>
    <n v="166.09"/>
    <n v="168.25"/>
    <n v="187.24"/>
    <n v="118330"/>
    <n v="1975"/>
    <n v="11205795922"/>
    <n v="66602056"/>
    <n v="-10.142063661610772"/>
    <x v="1546"/>
    <x v="0"/>
    <x v="1"/>
    <x v="1"/>
  </r>
  <r>
    <x v="1926"/>
    <s v="TIME TECHNOPLAST LTD."/>
    <n v="158"/>
    <n v="158.83000000000001"/>
    <n v="154"/>
    <n v="155.27000000000001"/>
    <n v="162.22"/>
    <n v="1795873"/>
    <n v="24674"/>
    <n v="76646765297"/>
    <n v="493635379"/>
    <n v="-4.2843052644556705"/>
    <x v="1547"/>
    <x v="0"/>
    <x v="2"/>
    <x v="0"/>
  </r>
  <r>
    <x v="1927"/>
    <s v="TIMKEN INDIA LTD."/>
    <n v="3140"/>
    <n v="3195.9"/>
    <n v="3008"/>
    <n v="3092.6"/>
    <n v="3163.3"/>
    <n v="50029"/>
    <n v="11449"/>
    <n v="233000000000"/>
    <n v="75218734"/>
    <n v="-2.2350077450763526"/>
    <x v="1548"/>
    <x v="0"/>
    <x v="0"/>
    <x v="1"/>
  </r>
  <r>
    <x v="1928"/>
    <s v="TINNA RUBBER AND INFR LTD"/>
    <n v="623.5"/>
    <n v="623.95000000000005"/>
    <n v="576"/>
    <n v="600.35"/>
    <n v="626.6"/>
    <n v="64663"/>
    <n v="4776"/>
    <n v="10815759715"/>
    <n v="18015757"/>
    <n v="-4.1892754548356201"/>
    <x v="1549"/>
    <x v="0"/>
    <x v="1"/>
    <x v="1"/>
  </r>
  <r>
    <x v="1929"/>
    <s v="TIPS FILMS LIMITED"/>
    <n v="314"/>
    <n v="314"/>
    <n v="280.45"/>
    <n v="284.10000000000002"/>
    <n v="312.7"/>
    <n v="5413"/>
    <n v="634"/>
    <n v="1228131913"/>
    <n v="4322886"/>
    <n v="-9.1461464662615821"/>
    <x v="1550"/>
    <x v="0"/>
    <x v="1"/>
    <x v="1"/>
  </r>
  <r>
    <x v="1930"/>
    <s v="TIPS MUSIC LIMITED"/>
    <n v="505"/>
    <n v="506.1"/>
    <n v="491"/>
    <n v="492.8"/>
    <n v="515.54999999999995"/>
    <n v="142283"/>
    <n v="5165"/>
    <n v="63288623552"/>
    <n v="128426590"/>
    <n v="-4.4127630685675383"/>
    <x v="1551"/>
    <x v="0"/>
    <x v="2"/>
    <x v="1"/>
  </r>
  <r>
    <x v="1931"/>
    <s v="THIRUMALAI CHEMICALS LTD"/>
    <n v="172"/>
    <n v="174.5"/>
    <n v="163.1"/>
    <n v="164.97"/>
    <n v="174.37"/>
    <n v="406859"/>
    <n v="7741"/>
    <n v="19574706715"/>
    <n v="118656160"/>
    <n v="-5.3908355795148282"/>
    <x v="1552"/>
    <x v="0"/>
    <x v="1"/>
    <x v="1"/>
  </r>
  <r>
    <x v="1932"/>
    <s v="TIRUPATI FORGE LIMITED"/>
    <n v="46.26"/>
    <n v="46.77"/>
    <n v="42.12"/>
    <n v="42.85"/>
    <n v="46.88"/>
    <n v="862582"/>
    <n v="4510"/>
    <n v="5239698000"/>
    <n v="122280000"/>
    <n v="-8.5964163822525617"/>
    <x v="1553"/>
    <x v="0"/>
    <x v="1"/>
    <x v="1"/>
  </r>
  <r>
    <x v="1933"/>
    <s v="TITAGARH RAIL SYSTEMS LTD"/>
    <n v="624.95000000000005"/>
    <n v="624.95000000000005"/>
    <n v="590.45000000000005"/>
    <n v="595"/>
    <n v="626.35"/>
    <n v="790682"/>
    <n v="35400"/>
    <n v="80130891960"/>
    <n v="134673768"/>
    <n v="-5.0051887922088323"/>
    <x v="1163"/>
    <x v="0"/>
    <x v="2"/>
    <x v="1"/>
  </r>
  <r>
    <x v="1934"/>
    <s v="TAMILNAD MERCA BANK LTD"/>
    <n v="597.70000000000005"/>
    <n v="597.70000000000005"/>
    <n v="570.04999999999995"/>
    <n v="571.75"/>
    <n v="599"/>
    <n v="220204"/>
    <n v="13696"/>
    <n v="90537443825"/>
    <n v="158351454"/>
    <n v="-4.5492487479131887"/>
    <x v="17"/>
    <x v="0"/>
    <x v="2"/>
    <x v="1"/>
  </r>
  <r>
    <x v="1935"/>
    <s v="TATA MOTORS LIMITED"/>
    <n v="415.4"/>
    <n v="416"/>
    <n v="391.8"/>
    <n v="394.45"/>
    <n v="419.65"/>
    <n v="19403533"/>
    <n v="379362"/>
    <n v="1450000000000"/>
    <n v="3682331373"/>
    <n v="-6.0050041701417829"/>
    <x v="1054"/>
    <x v="0"/>
    <x v="0"/>
    <x v="0"/>
  </r>
  <r>
    <x v="1936"/>
    <s v="TAMILNADU PETROPRODUCTS L"/>
    <n v="80.709999999999994"/>
    <n v="82.09"/>
    <n v="79.150000000000006"/>
    <n v="79.900000000000006"/>
    <n v="82.13"/>
    <n v="252511"/>
    <n v="2509"/>
    <n v="7188720773"/>
    <n v="89971474"/>
    <n v="-2.715207597710934"/>
    <x v="1554"/>
    <x v="0"/>
    <x v="1"/>
    <x v="1"/>
  </r>
  <r>
    <x v="1937"/>
    <s v="TAMILNADU NEWSPRT &amp; PAPER"/>
    <n v="128"/>
    <n v="130.9"/>
    <n v="123.32"/>
    <n v="128.33000000000001"/>
    <n v="130.29"/>
    <n v="198669"/>
    <n v="3867"/>
    <n v="8881796298"/>
    <n v="69210600"/>
    <n v="-1.5043364801596282"/>
    <x v="818"/>
    <x v="1"/>
    <x v="1"/>
    <x v="1"/>
  </r>
  <r>
    <x v="1938"/>
    <s v="TAMILNADU TELECOMMUNICATI"/>
    <n v="9.11"/>
    <n v="9.4700000000000006"/>
    <n v="8.41"/>
    <n v="8.5299999999999994"/>
    <n v="9.11"/>
    <n v="23530"/>
    <n v="104"/>
    <n v="389577042"/>
    <n v="45671400"/>
    <n v="-6.3666300768386401"/>
    <x v="1555"/>
    <x v="0"/>
    <x v="1"/>
    <x v="1"/>
  </r>
  <r>
    <x v="1939"/>
    <s v="TOKYO PLAST INTL LTD"/>
    <n v="67.3"/>
    <n v="71.489999999999995"/>
    <n v="65.8"/>
    <n v="66.98"/>
    <n v="69.94"/>
    <n v="5403"/>
    <n v="155"/>
    <n v="636403772"/>
    <n v="9501400"/>
    <n v="-4.2321990277380523"/>
    <x v="1556"/>
    <x v="0"/>
    <x v="1"/>
    <x v="1"/>
  </r>
  <r>
    <x v="1940"/>
    <s v="TOLINS TYRES LIMITED"/>
    <n v="98.63"/>
    <n v="99.96"/>
    <n v="90.1"/>
    <n v="92.92"/>
    <n v="98.63"/>
    <n v="177827"/>
    <n v="3037"/>
    <n v="3671160577"/>
    <n v="39508831"/>
    <n v="-5.7893135962688778"/>
    <x v="1557"/>
    <x v="0"/>
    <x v="1"/>
    <x v="1"/>
  </r>
  <r>
    <x v="1941"/>
    <s v="TORRENT POWER LTD"/>
    <n v="1438.5"/>
    <n v="1440.4"/>
    <n v="1357.7"/>
    <n v="1362.8"/>
    <n v="1450.7"/>
    <n v="336557"/>
    <n v="24417"/>
    <n v="687000000000"/>
    <n v="503903543"/>
    <n v="-6.0591438615840687"/>
    <x v="1558"/>
    <x v="0"/>
    <x v="0"/>
    <x v="1"/>
  </r>
  <r>
    <x v="1942"/>
    <s v="TOTAL TRANSPORT SYS LTD"/>
    <n v="52.86"/>
    <n v="53.99"/>
    <n v="49.16"/>
    <n v="49.99"/>
    <n v="51.99"/>
    <n v="15149"/>
    <n v="156"/>
    <n v="806187380.29999995"/>
    <n v="16126973"/>
    <n v="-3.8468936333910366"/>
    <x v="1559"/>
    <x v="0"/>
    <x v="1"/>
    <x v="1"/>
  </r>
  <r>
    <x v="1943"/>
    <s v="TOUCHWOOD ENTERTAIN LTD."/>
    <n v="71.98"/>
    <n v="71.98"/>
    <n v="64.02"/>
    <n v="67.819999999999993"/>
    <n v="68.37"/>
    <n v="2188"/>
    <n v="121"/>
    <n v="751530035.89999998"/>
    <n v="11081245"/>
    <n v="-0.80444639461753875"/>
    <x v="646"/>
    <x v="0"/>
    <x v="1"/>
    <x v="1"/>
  </r>
  <r>
    <x v="1944"/>
    <s v="TEAMO PRODUCTIONS HQ LTD"/>
    <n v="0.49"/>
    <n v="0.51"/>
    <n v="0.47"/>
    <n v="0.47"/>
    <n v="0.49"/>
    <n v="3219526"/>
    <n v="792"/>
    <n v="515223212"/>
    <n v="1096219600"/>
    <n v="-4.0816326530612281"/>
    <x v="716"/>
    <x v="0"/>
    <x v="1"/>
    <x v="0"/>
  </r>
  <r>
    <x v="1945"/>
    <s v="TPL PLASTECH LIMITED"/>
    <n v="60"/>
    <n v="60"/>
    <n v="56.25"/>
    <n v="56.87"/>
    <n v="60.87"/>
    <n v="129948"/>
    <n v="1533"/>
    <n v="4436030610"/>
    <n v="78003000"/>
    <n v="-6.5713816329883361"/>
    <x v="1560"/>
    <x v="0"/>
    <x v="1"/>
    <x v="1"/>
  </r>
  <r>
    <x v="1946"/>
    <s v="TRACXN TECHNOLOGIES LTD"/>
    <n v="31.16"/>
    <n v="31.8"/>
    <n v="29.8"/>
    <n v="30.17"/>
    <n v="32.14"/>
    <n v="236172"/>
    <n v="2327"/>
    <n v="3216052307"/>
    <n v="106597690"/>
    <n v="-6.1294337274424358"/>
    <x v="1239"/>
    <x v="0"/>
    <x v="1"/>
    <x v="1"/>
  </r>
  <r>
    <x v="1947"/>
    <s v="TRANSRAIL LIGHTING LTD"/>
    <n v="492"/>
    <n v="494.1"/>
    <n v="481.5"/>
    <n v="486.65"/>
    <n v="500.4"/>
    <n v="752834"/>
    <n v="18369"/>
    <n v="65335694566"/>
    <n v="134256025"/>
    <n v="-2.7478017585931256"/>
    <x v="104"/>
    <x v="0"/>
    <x v="2"/>
    <x v="1"/>
  </r>
  <r>
    <x v="1948"/>
    <s v="TRANSWORLD SHIP LINES LTD"/>
    <n v="135.19999999999999"/>
    <n v="135.19999999999999"/>
    <n v="128"/>
    <n v="130.22999999999999"/>
    <n v="135.19999999999999"/>
    <n v="48031"/>
    <n v="1849"/>
    <n v="2859529523"/>
    <n v="21957533"/>
    <n v="-3.6760355029585794"/>
    <x v="1561"/>
    <x v="0"/>
    <x v="1"/>
    <x v="1"/>
  </r>
  <r>
    <x v="1949"/>
    <s v="TRAVEL FOOD SERVICES LTD"/>
    <n v="1115"/>
    <n v="1118"/>
    <n v="1089.0999999999999"/>
    <n v="1099.2"/>
    <n v="1118.3"/>
    <n v="159866"/>
    <n v="6412"/>
    <n v="145000000000"/>
    <n v="131679484"/>
    <n v="-1.707949566305992"/>
    <x v="1562"/>
    <x v="0"/>
    <x v="2"/>
    <x v="1"/>
  </r>
  <r>
    <x v="1950"/>
    <s v="TREJHARA SOLUTIONS LTD"/>
    <n v="167.99"/>
    <n v="167.99"/>
    <n v="158.05000000000001"/>
    <n v="159.9"/>
    <n v="165.67"/>
    <n v="39868"/>
    <n v="763"/>
    <n v="3758552156"/>
    <n v="23505642"/>
    <n v="-3.482827307297629"/>
    <x v="1563"/>
    <x v="0"/>
    <x v="1"/>
    <x v="1"/>
  </r>
  <r>
    <x v="1951"/>
    <s v="TRANSINDIA REAL ESTATE L"/>
    <n v="24.52"/>
    <n v="25.2"/>
    <n v="23.86"/>
    <n v="24.3"/>
    <n v="25.21"/>
    <n v="204558"/>
    <n v="1076"/>
    <n v="5970401233"/>
    <n v="245695524"/>
    <n v="-3.6096786989289966"/>
    <x v="1564"/>
    <x v="0"/>
    <x v="1"/>
    <x v="1"/>
  </r>
  <r>
    <x v="1952"/>
    <s v="TRF LIMITED"/>
    <n v="230.3"/>
    <n v="240"/>
    <n v="220.3"/>
    <n v="224.2"/>
    <n v="230.45"/>
    <n v="71586"/>
    <n v="762"/>
    <n v="2467189170"/>
    <n v="11004412"/>
    <n v="-2.712085050987199"/>
    <x v="288"/>
    <x v="0"/>
    <x v="1"/>
    <x v="1"/>
  </r>
  <r>
    <x v="1953"/>
    <s v="TRIDENT LIMITED"/>
    <n v="23.6"/>
    <n v="25.79"/>
    <n v="23.01"/>
    <n v="25.05"/>
    <n v="24.25"/>
    <n v="46340575"/>
    <n v="75726"/>
    <n v="128000000000"/>
    <n v="5095955670"/>
    <n v="3.2989690721649514"/>
    <x v="1565"/>
    <x v="1"/>
    <x v="2"/>
    <x v="0"/>
  </r>
  <r>
    <x v="1954"/>
    <s v="TRIGYN TECHNOLOGIES LTD"/>
    <n v="47.94"/>
    <n v="47.94"/>
    <n v="44.24"/>
    <n v="45.14"/>
    <n v="47.71"/>
    <n v="68637"/>
    <n v="1375"/>
    <n v="1389668123"/>
    <n v="30785736"/>
    <n v="-5.3867113812617902"/>
    <x v="1566"/>
    <x v="0"/>
    <x v="1"/>
    <x v="1"/>
  </r>
  <r>
    <x v="1955"/>
    <s v="TRIVENI TURBINE LIMITED"/>
    <n v="448.45"/>
    <n v="452"/>
    <n v="428.35"/>
    <n v="435.25"/>
    <n v="456.15"/>
    <n v="711843"/>
    <n v="37288"/>
    <n v="138000000000"/>
    <n v="317886270"/>
    <n v="-4.5818261536775138"/>
    <x v="160"/>
    <x v="0"/>
    <x v="2"/>
    <x v="1"/>
  </r>
  <r>
    <x v="1956"/>
    <s v="TRIVENI ENGG. &amp; INDS. LTD"/>
    <n v="352.5"/>
    <n v="353.75"/>
    <n v="337.1"/>
    <n v="347.7"/>
    <n v="359.8"/>
    <n v="473342"/>
    <n v="15306"/>
    <n v="76110823474"/>
    <n v="218897968"/>
    <n v="-3.3629794330183498"/>
    <x v="1567"/>
    <x v="0"/>
    <x v="2"/>
    <x v="1"/>
  </r>
  <r>
    <x v="1957"/>
    <s v="TRUCAP FINANCE LIMITED"/>
    <n v="5.97"/>
    <n v="6.3"/>
    <n v="5.97"/>
    <n v="6.08"/>
    <n v="6.24"/>
    <n v="101934"/>
    <n v="342"/>
    <n v="722680175.70000005"/>
    <n v="118861871"/>
    <n v="-2.5641025641025665"/>
    <x v="942"/>
    <x v="1"/>
    <x v="1"/>
    <x v="1"/>
  </r>
  <r>
    <x v="1958"/>
    <s v="TRUALT BIOENERGY LIMITED"/>
    <n v="409"/>
    <n v="409.9"/>
    <n v="372.9"/>
    <n v="384.8"/>
    <n v="409.25"/>
    <n v="504610"/>
    <n v="9635"/>
    <n v="32997597017"/>
    <n v="85752591"/>
    <n v="-5.9743433109346338"/>
    <x v="512"/>
    <x v="0"/>
    <x v="1"/>
    <x v="1"/>
  </r>
  <r>
    <x v="1959"/>
    <s v="TSF INVESTMENTS LIMITED"/>
    <n v="355.1"/>
    <n v="359.65"/>
    <n v="339.8"/>
    <n v="344.8"/>
    <n v="366.6"/>
    <n v="170868"/>
    <n v="6654"/>
    <n v="76581410928"/>
    <n v="222103860"/>
    <n v="-5.9465357337697791"/>
    <x v="1568"/>
    <x v="0"/>
    <x v="2"/>
    <x v="1"/>
  </r>
  <r>
    <x v="1960"/>
    <s v="TTK HEALTHCARE LIMITED"/>
    <n v="791.95"/>
    <n v="817.6"/>
    <n v="791.95"/>
    <n v="800"/>
    <n v="811.45"/>
    <n v="5426"/>
    <n v="780"/>
    <n v="11304266400"/>
    <n v="14130333"/>
    <n v="-1.4110542855382395"/>
    <x v="1007"/>
    <x v="1"/>
    <x v="1"/>
    <x v="1"/>
  </r>
  <r>
    <x v="1961"/>
    <s v="TTK PRESTIGE LTD"/>
    <n v="465"/>
    <n v="487.1"/>
    <n v="449"/>
    <n v="456.45"/>
    <n v="466.4"/>
    <n v="1012940"/>
    <n v="45724"/>
    <n v="62511276647"/>
    <n v="136950984"/>
    <n v="-2.1333619210977677"/>
    <x v="763"/>
    <x v="0"/>
    <x v="2"/>
    <x v="0"/>
  </r>
  <r>
    <x v="1962"/>
    <s v="TATA TELESERV(MAHARASTRA)"/>
    <n v="36.1"/>
    <n v="36.1"/>
    <n v="33.42"/>
    <n v="33.590000000000003"/>
    <n v="36.17"/>
    <n v="3894689"/>
    <n v="22748"/>
    <n v="65666022350"/>
    <n v="1954927727"/>
    <n v="-7.132983135194908"/>
    <x v="1569"/>
    <x v="0"/>
    <x v="2"/>
    <x v="0"/>
  </r>
  <r>
    <x v="1963"/>
    <s v="TVS ELECTRONICS LTD"/>
    <n v="404.5"/>
    <n v="404.5"/>
    <n v="373.15"/>
    <n v="376.6"/>
    <n v="405.15"/>
    <n v="58053"/>
    <n v="3023"/>
    <n v="7023709759"/>
    <n v="18650318"/>
    <n v="-7.0467728001974468"/>
    <x v="1570"/>
    <x v="0"/>
    <x v="1"/>
    <x v="1"/>
  </r>
  <r>
    <x v="1964"/>
    <s v="TVS HOLDINGS LIMITED"/>
    <n v="13620"/>
    <n v="13759"/>
    <n v="13346"/>
    <n v="13643"/>
    <n v="13846"/>
    <n v="10354"/>
    <n v="3918"/>
    <n v="276000000000"/>
    <n v="20232104"/>
    <n v="-1.4661274014155714"/>
    <x v="1571"/>
    <x v="1"/>
    <x v="0"/>
    <x v="1"/>
  </r>
  <r>
    <x v="1965"/>
    <s v="TVS SRICHAKRA LIMITED"/>
    <n v="3498.1"/>
    <n v="3583.8"/>
    <n v="3385"/>
    <n v="3414.6"/>
    <n v="3560.3"/>
    <n v="8886"/>
    <n v="1657"/>
    <n v="26145762930"/>
    <n v="7657050"/>
    <n v="-4.0923517681094363"/>
    <x v="1572"/>
    <x v="0"/>
    <x v="1"/>
    <x v="1"/>
  </r>
  <r>
    <x v="1966"/>
    <s v="TV TODAY NETWORK LTD"/>
    <n v="99.81"/>
    <n v="99.81"/>
    <n v="93.5"/>
    <n v="95.87"/>
    <n v="100.76"/>
    <n v="254289"/>
    <n v="3098"/>
    <n v="5720430120"/>
    <n v="59668615"/>
    <n v="-4.8531163159984123"/>
    <x v="1573"/>
    <x v="0"/>
    <x v="1"/>
    <x v="1"/>
  </r>
  <r>
    <x v="1967"/>
    <s v="TV VISION LIMITED"/>
    <n v="5.68"/>
    <n v="5.68"/>
    <n v="4.83"/>
    <n v="4.91"/>
    <n v="5.26"/>
    <n v="21849"/>
    <n v="169"/>
    <n v="190235495"/>
    <n v="38744500"/>
    <n v="-6.6539923954372551"/>
    <x v="168"/>
    <x v="0"/>
    <x v="1"/>
    <x v="1"/>
  </r>
  <r>
    <x v="1968"/>
    <s v="UNITED BREWERIES LTD"/>
    <n v="1569.5"/>
    <n v="1572.7"/>
    <n v="1537"/>
    <n v="1557.9"/>
    <n v="1568.9"/>
    <n v="89814"/>
    <n v="10100"/>
    <n v="412000000000"/>
    <n v="264405149"/>
    <n v="-0.70112817897890234"/>
    <x v="1574"/>
    <x v="0"/>
    <x v="0"/>
    <x v="1"/>
  </r>
  <r>
    <x v="1969"/>
    <s v="UCAL LIMITED"/>
    <n v="96.9"/>
    <n v="96.9"/>
    <n v="91.6"/>
    <n v="92.29"/>
    <n v="97.38"/>
    <n v="40623"/>
    <n v="318"/>
    <n v="2040866451"/>
    <n v="22113625"/>
    <n v="-5.2269459848017963"/>
    <x v="1575"/>
    <x v="0"/>
    <x v="1"/>
    <x v="1"/>
  </r>
  <r>
    <x v="1970"/>
    <s v="UCO BANK"/>
    <n v="24.64"/>
    <n v="24.64"/>
    <n v="23.3"/>
    <n v="23.4"/>
    <n v="24.86"/>
    <n v="10622193"/>
    <n v="29682"/>
    <n v="293000000000"/>
    <n v="12539558979"/>
    <n v="-5.8728881737731333"/>
    <x v="1564"/>
    <x v="0"/>
    <x v="0"/>
    <x v="0"/>
  </r>
  <r>
    <x v="1971"/>
    <s v="UPDATER SERVICES LIMITED"/>
    <n v="135"/>
    <n v="136.49"/>
    <n v="128.01"/>
    <n v="130.84"/>
    <n v="138.13999999999999"/>
    <n v="217520"/>
    <n v="3774"/>
    <n v="8760162052"/>
    <n v="66953241"/>
    <n v="-5.2844939916027105"/>
    <x v="1576"/>
    <x v="0"/>
    <x v="1"/>
    <x v="1"/>
  </r>
  <r>
    <x v="1972"/>
    <s v="UJAAS ENERGY LIMITED"/>
    <n v="141.51"/>
    <n v="145.84"/>
    <n v="140.32"/>
    <n v="140.32"/>
    <n v="147.69999999999999"/>
    <n v="4551"/>
    <n v="223"/>
    <n v="46782391925"/>
    <n v="333397890"/>
    <n v="-4.9966147596479322"/>
    <x v="1577"/>
    <x v="0"/>
    <x v="1"/>
    <x v="1"/>
  </r>
  <r>
    <x v="1973"/>
    <s v="UNITED FOODBRANDS LIMITED"/>
    <n v="226.55"/>
    <n v="235"/>
    <n v="220"/>
    <n v="220.79"/>
    <n v="235.38"/>
    <n v="154076"/>
    <n v="1749"/>
    <n v="8629883386"/>
    <n v="39086387"/>
    <n v="-6.1984875520435061"/>
    <x v="955"/>
    <x v="0"/>
    <x v="1"/>
    <x v="1"/>
  </r>
  <r>
    <x v="1974"/>
    <s v="UFLEX LIMITED"/>
    <n v="428"/>
    <n v="433.45"/>
    <n v="395"/>
    <n v="398.85"/>
    <n v="434.7"/>
    <n v="118660"/>
    <n v="3207"/>
    <n v="28801551191"/>
    <n v="72211486"/>
    <n v="-8.2470669427191083"/>
    <x v="398"/>
    <x v="0"/>
    <x v="1"/>
    <x v="1"/>
  </r>
  <r>
    <x v="1975"/>
    <s v="UFO MOVIEZ INDIA LTD."/>
    <n v="62"/>
    <n v="63.04"/>
    <n v="59.11"/>
    <n v="60.02"/>
    <n v="63.58"/>
    <n v="143744"/>
    <n v="2110"/>
    <n v="2329661715"/>
    <n v="38814757"/>
    <n v="-5.5992450456118208"/>
    <x v="1578"/>
    <x v="0"/>
    <x v="1"/>
    <x v="1"/>
  </r>
  <r>
    <x v="1976"/>
    <s v="THE UGAR SUGAR WORKS LTD"/>
    <n v="38.97"/>
    <n v="38.97"/>
    <n v="35.1"/>
    <n v="36.5"/>
    <n v="38.35"/>
    <n v="699520"/>
    <n v="5644"/>
    <n v="4106250000"/>
    <n v="112500000"/>
    <n v="-4.8239895697522854"/>
    <x v="1579"/>
    <x v="0"/>
    <x v="1"/>
    <x v="1"/>
  </r>
  <r>
    <x v="1977"/>
    <s v="UGRO CAPITAL LIMITED"/>
    <n v="93.65"/>
    <n v="93.75"/>
    <n v="86"/>
    <n v="86.85"/>
    <n v="94.3"/>
    <n v="1395778"/>
    <n v="9756"/>
    <n v="12146652362"/>
    <n v="139857828"/>
    <n v="-7.9003181336161212"/>
    <x v="260"/>
    <x v="0"/>
    <x v="1"/>
    <x v="0"/>
  </r>
  <r>
    <x v="1978"/>
    <s v="UJJIVAN SMALL FINANC BANK"/>
    <n v="52.5"/>
    <n v="52.5"/>
    <n v="50.26"/>
    <n v="50.91"/>
    <n v="53.36"/>
    <n v="15541450"/>
    <n v="49552"/>
    <n v="98687157286"/>
    <n v="1938463117"/>
    <n v="-4.5914542728635741"/>
    <x v="734"/>
    <x v="0"/>
    <x v="2"/>
    <x v="0"/>
  </r>
  <r>
    <x v="1979"/>
    <s v="UMA EXPORTS LIMITED"/>
    <n v="21.09"/>
    <n v="21.69"/>
    <n v="19.48"/>
    <n v="19.63"/>
    <n v="20.99"/>
    <n v="92198"/>
    <n v="691"/>
    <n v="663686962.89999998"/>
    <n v="33809830"/>
    <n v="-6.4792758456407791"/>
    <x v="1580"/>
    <x v="0"/>
    <x v="1"/>
    <x v="1"/>
  </r>
  <r>
    <x v="1980"/>
    <s v="UMIYA BUILDCON LIMITED"/>
    <n v="82.39"/>
    <n v="82.39"/>
    <n v="73.209999999999994"/>
    <n v="74.98"/>
    <n v="80.94"/>
    <n v="23152"/>
    <n v="543"/>
    <n v="1400971458"/>
    <n v="18684602"/>
    <n v="-7.3634791203360441"/>
    <x v="1581"/>
    <x v="0"/>
    <x v="1"/>
    <x v="1"/>
  </r>
  <r>
    <x v="1981"/>
    <s v="UNICHEM LABORATORIES LTD"/>
    <n v="313.35000000000002"/>
    <n v="313.35000000000002"/>
    <n v="299"/>
    <n v="300.64999999999998"/>
    <n v="313.35000000000002"/>
    <n v="24958"/>
    <n v="1185"/>
    <n v="21167488738"/>
    <n v="70405750"/>
    <n v="-4.0529759055369539"/>
    <x v="1582"/>
    <x v="0"/>
    <x v="1"/>
    <x v="1"/>
  </r>
  <r>
    <x v="1982"/>
    <s v="UNITED DRILLING TOOLS LTD"/>
    <n v="157.59"/>
    <n v="167.9"/>
    <n v="151.05000000000001"/>
    <n v="160.97999999999999"/>
    <n v="157.58000000000001"/>
    <n v="31968"/>
    <n v="1279"/>
    <n v="3268397224"/>
    <n v="20303126"/>
    <n v="2.1576342175402821"/>
    <x v="1583"/>
    <x v="1"/>
    <x v="1"/>
    <x v="1"/>
  </r>
  <r>
    <x v="1983"/>
    <s v="UNICOMMERCE ESOLUTIONS L"/>
    <n v="89"/>
    <n v="90.61"/>
    <n v="86.49"/>
    <n v="87.96"/>
    <n v="91.64"/>
    <n v="551265"/>
    <n v="5880"/>
    <n v="9795408997"/>
    <n v="111362085"/>
    <n v="-4.015713662156271"/>
    <x v="1584"/>
    <x v="0"/>
    <x v="1"/>
    <x v="1"/>
  </r>
  <r>
    <x v="1984"/>
    <s v="UNIPHOS ENTERPRISES LTD"/>
    <n v="96.55"/>
    <n v="96.56"/>
    <n v="87.81"/>
    <n v="89.84"/>
    <n v="96.39"/>
    <n v="86924"/>
    <n v="204"/>
    <n v="6247999074"/>
    <n v="69545849"/>
    <n v="-6.7953107168793405"/>
    <x v="1360"/>
    <x v="0"/>
    <x v="1"/>
    <x v="1"/>
  </r>
  <r>
    <x v="1985"/>
    <s v="UNIINFO TELECOM SERVI LTD"/>
    <n v="12.5"/>
    <n v="12.5"/>
    <n v="10.75"/>
    <n v="12.07"/>
    <n v="12.63"/>
    <n v="6296"/>
    <n v="136"/>
    <n v="129065958.40000001"/>
    <n v="10693120"/>
    <n v="-4.4338875692794968"/>
    <x v="1321"/>
    <x v="0"/>
    <x v="1"/>
    <x v="1"/>
  </r>
  <r>
    <x v="1986"/>
    <s v="UNIMECH AEROSPACE N MFG L"/>
    <n v="775.15"/>
    <n v="789.85"/>
    <n v="760"/>
    <n v="765.6"/>
    <n v="795.85"/>
    <n v="66616"/>
    <n v="4820"/>
    <n v="38936029625"/>
    <n v="50856883"/>
    <n v="-3.8009675190048373"/>
    <x v="1585"/>
    <x v="0"/>
    <x v="1"/>
    <x v="1"/>
  </r>
  <r>
    <x v="1987"/>
    <s v="UNION BANK OF INDIA"/>
    <n v="174.5"/>
    <n v="174.5"/>
    <n v="168"/>
    <n v="168.58"/>
    <n v="177.63"/>
    <n v="11258618"/>
    <n v="77253"/>
    <n v="1290000000000"/>
    <n v="7633605607"/>
    <n v="-5.094860102460161"/>
    <x v="252"/>
    <x v="0"/>
    <x v="0"/>
    <x v="0"/>
  </r>
  <r>
    <x v="1988"/>
    <s v="UNIPARTS INDIA LIMITED"/>
    <n v="445"/>
    <n v="452"/>
    <n v="440.5"/>
    <n v="450.2"/>
    <n v="456"/>
    <n v="76226"/>
    <n v="3391"/>
    <n v="20319688311"/>
    <n v="45134803"/>
    <n v="-1.2719298245614061"/>
    <x v="1388"/>
    <x v="1"/>
    <x v="1"/>
    <x v="1"/>
  </r>
  <r>
    <x v="1989"/>
    <s v="UNITECH LTD"/>
    <n v="4.22"/>
    <n v="4.22"/>
    <n v="3.9"/>
    <n v="3.95"/>
    <n v="4.22"/>
    <n v="9748481"/>
    <n v="5350"/>
    <n v="10334389136"/>
    <n v="2616301047"/>
    <n v="-6.3981042654028331"/>
    <x v="1586"/>
    <x v="0"/>
    <x v="1"/>
    <x v="0"/>
  </r>
  <r>
    <x v="1990"/>
    <s v="UNITED POLYFAB GUJ. LTD."/>
    <n v="27.8"/>
    <n v="27.8"/>
    <n v="26.64"/>
    <n v="26.99"/>
    <n v="28.04"/>
    <n v="169676"/>
    <n v="434"/>
    <n v="6194623345"/>
    <n v="229515500"/>
    <n v="-3.7446504992867355"/>
    <x v="1083"/>
    <x v="0"/>
    <x v="1"/>
    <x v="1"/>
  </r>
  <r>
    <x v="1991"/>
    <s v="UNITED NILGIRI TEA LTD"/>
    <n v="510.05"/>
    <n v="516.65"/>
    <n v="500"/>
    <n v="510.45"/>
    <n v="511"/>
    <n v="11851"/>
    <n v="462"/>
    <n v="2550497115"/>
    <n v="4996566"/>
    <n v="-0.10763209393346601"/>
    <x v="1567"/>
    <x v="1"/>
    <x v="1"/>
    <x v="1"/>
  </r>
  <r>
    <x v="1992"/>
    <s v="UNIVASTU INDIA LIMITED"/>
    <n v="62.04"/>
    <n v="64"/>
    <n v="61"/>
    <n v="62.21"/>
    <n v="62.92"/>
    <n v="75578"/>
    <n v="694"/>
    <n v="2238736962"/>
    <n v="35986770"/>
    <n v="-1.1284170375079479"/>
    <x v="758"/>
    <x v="1"/>
    <x v="1"/>
    <x v="1"/>
  </r>
  <r>
    <x v="1993"/>
    <s v="UNIVERSAL CABLES LTD"/>
    <n v="665.55"/>
    <n v="699.4"/>
    <n v="615"/>
    <n v="624.35"/>
    <n v="675.95"/>
    <n v="190608"/>
    <n v="7534"/>
    <n v="19972849112"/>
    <n v="31989828"/>
    <n v="-7.6337007175086944"/>
    <x v="1587"/>
    <x v="0"/>
    <x v="1"/>
    <x v="1"/>
  </r>
  <r>
    <x v="1994"/>
    <s v="UNO MINDA LIMITED"/>
    <n v="1053.0999999999999"/>
    <n v="1053.0999999999999"/>
    <n v="1010"/>
    <n v="1029.5"/>
    <n v="1067"/>
    <n v="531522"/>
    <n v="27949"/>
    <n v="594000000000"/>
    <n v="577143260"/>
    <n v="-3.5145267104029996"/>
    <x v="1588"/>
    <x v="0"/>
    <x v="0"/>
    <x v="1"/>
  </r>
  <r>
    <x v="1995"/>
    <s v="UPL LIMITED"/>
    <n v="615"/>
    <n v="618"/>
    <n v="599.25"/>
    <n v="602.4"/>
    <n v="625.54999999999995"/>
    <n v="1690435"/>
    <n v="51380"/>
    <n v="508000000000"/>
    <n v="843318751"/>
    <n v="-3.7007433458556434"/>
    <x v="929"/>
    <x v="0"/>
    <x v="0"/>
    <x v="0"/>
  </r>
  <r>
    <x v="1996"/>
    <s v="URAVI DEFENCE &amp;TECH LTD"/>
    <n v="129.65"/>
    <n v="129.66"/>
    <n v="121.35"/>
    <n v="122.76"/>
    <n v="126.49"/>
    <n v="3378"/>
    <n v="316"/>
    <n v="1399464000"/>
    <n v="11400000"/>
    <n v="-2.9488497114396313"/>
    <x v="847"/>
    <x v="0"/>
    <x v="1"/>
    <x v="1"/>
  </r>
  <r>
    <x v="1997"/>
    <s v="URBAN COMPANY LIMITED"/>
    <n v="111.99"/>
    <n v="113.23"/>
    <n v="109.23"/>
    <n v="110.13"/>
    <n v="114.12"/>
    <n v="20753224"/>
    <n v="47849"/>
    <n v="159000000000"/>
    <n v="1446109569"/>
    <n v="-3.4963196635121006"/>
    <x v="199"/>
    <x v="0"/>
    <x v="2"/>
    <x v="0"/>
  </r>
  <r>
    <x v="1998"/>
    <s v="URJA GLOBAL LIMITED"/>
    <n v="9.0299999999999994"/>
    <n v="9.0299999999999994"/>
    <n v="8.5500000000000007"/>
    <n v="8.61"/>
    <n v="9.0399999999999991"/>
    <n v="1283496"/>
    <n v="4487"/>
    <n v="4524153576"/>
    <n v="525453377"/>
    <n v="-4.75663716814159"/>
    <x v="1589"/>
    <x v="0"/>
    <x v="1"/>
    <x v="0"/>
  </r>
  <r>
    <x v="1999"/>
    <s v="USHA MARTIN LTD."/>
    <n v="397.8"/>
    <n v="398.05"/>
    <n v="380"/>
    <n v="387.35"/>
    <n v="400.85"/>
    <n v="598394"/>
    <n v="23528"/>
    <n v="118000000000"/>
    <n v="304741780"/>
    <n v="-3.3678433329175501"/>
    <x v="1590"/>
    <x v="0"/>
    <x v="2"/>
    <x v="1"/>
  </r>
  <r>
    <x v="2000"/>
    <s v="UTI ASSET MNGMT CO LTD"/>
    <n v="932"/>
    <n v="933.7"/>
    <n v="896.5"/>
    <n v="906.65"/>
    <n v="939"/>
    <n v="92171"/>
    <n v="10335"/>
    <n v="116000000000"/>
    <n v="128456530"/>
    <n v="-3.4451544195953163"/>
    <x v="1591"/>
    <x v="0"/>
    <x v="2"/>
    <x v="1"/>
  </r>
  <r>
    <x v="2001"/>
    <s v="UTKARSH SMALL FIN BANK L"/>
    <n v="11.8"/>
    <n v="11.8"/>
    <n v="11.21"/>
    <n v="11.33"/>
    <n v="11.88"/>
    <n v="6980243"/>
    <n v="9193"/>
    <n v="20162003340"/>
    <n v="1779523684"/>
    <n v="-4.629629629629636"/>
    <x v="310"/>
    <x v="0"/>
    <x v="1"/>
    <x v="0"/>
  </r>
  <r>
    <x v="2002"/>
    <s v="FUJIYAMA POWER SYSTEMS L"/>
    <n v="204.5"/>
    <n v="204.5"/>
    <n v="190.25"/>
    <n v="191.49"/>
    <n v="202.01"/>
    <n v="184110"/>
    <n v="3072"/>
    <n v="58674629752"/>
    <n v="306410934"/>
    <n v="-5.207662986980834"/>
    <x v="411"/>
    <x v="0"/>
    <x v="2"/>
    <x v="1"/>
  </r>
  <r>
    <x v="2003"/>
    <s v="UTTAM SUGAR MILLS LTD."/>
    <n v="226.25"/>
    <n v="233.59"/>
    <n v="215.8"/>
    <n v="216.5"/>
    <n v="230.47"/>
    <n v="320692"/>
    <n v="7346"/>
    <n v="8256902980"/>
    <n v="38138120"/>
    <n v="-6.0615264459582585"/>
    <x v="1592"/>
    <x v="0"/>
    <x v="1"/>
    <x v="1"/>
  </r>
  <r>
    <x v="2004"/>
    <s v="U. Y. FINCORP LIMITED"/>
    <n v="12.72"/>
    <n v="12.9"/>
    <n v="12.01"/>
    <n v="12.11"/>
    <n v="12.87"/>
    <n v="81855"/>
    <n v="284"/>
    <n v="2303786164"/>
    <n v="190238329"/>
    <n v="-5.9052059052059045"/>
    <x v="407"/>
    <x v="0"/>
    <x v="1"/>
    <x v="1"/>
  </r>
  <r>
    <x v="2005"/>
    <s v="V2 RETAIL LIMITED"/>
    <n v="1904.9"/>
    <n v="1917.4"/>
    <n v="1720.3"/>
    <n v="1827.9"/>
    <n v="1912.2"/>
    <n v="158766"/>
    <n v="19890"/>
    <n v="66652097765"/>
    <n v="36463755"/>
    <n v="-4.4085346721054259"/>
    <x v="1593"/>
    <x v="0"/>
    <x v="2"/>
    <x v="1"/>
  </r>
  <r>
    <x v="2006"/>
    <s v="VADILAL INDUSTRIES LTD"/>
    <n v="4763.3999999999996"/>
    <n v="4763.3999999999996"/>
    <n v="4208.3999999999996"/>
    <n v="4227.8999999999996"/>
    <n v="4531.8"/>
    <n v="30185"/>
    <n v="5770"/>
    <n v="30389426457"/>
    <n v="7187830"/>
    <n v="-6.7059446577518989"/>
    <x v="1594"/>
    <x v="0"/>
    <x v="1"/>
    <x v="1"/>
  </r>
  <r>
    <x v="2007"/>
    <s v="VAIBHAV GLOBAL LIMITED"/>
    <n v="202.1"/>
    <n v="203.56"/>
    <n v="191.1"/>
    <n v="193.18"/>
    <n v="204.73"/>
    <n v="651926"/>
    <n v="11991"/>
    <n v="32267413690"/>
    <n v="167032890"/>
    <n v="-5.6415767107898125"/>
    <x v="1595"/>
    <x v="0"/>
    <x v="1"/>
    <x v="1"/>
  </r>
  <r>
    <x v="2008"/>
    <s v="VAISHALI PHARMA LIMITED"/>
    <n v="6.11"/>
    <n v="6.11"/>
    <n v="5.67"/>
    <n v="5.82"/>
    <n v="5.98"/>
    <n v="324254"/>
    <n v="539"/>
    <n v="759289596.60000002"/>
    <n v="130462130"/>
    <n v="-2.6755852842809387"/>
    <x v="1596"/>
    <x v="0"/>
    <x v="1"/>
    <x v="1"/>
  </r>
  <r>
    <x v="2009"/>
    <s v="VAKRANGEE LIMITED"/>
    <n v="5.7"/>
    <n v="5.7"/>
    <n v="5.05"/>
    <n v="5.14"/>
    <n v="5.7"/>
    <n v="6449435"/>
    <n v="6331"/>
    <n v="5567605888"/>
    <n v="1083191807"/>
    <n v="-9.8245614035087812"/>
    <x v="182"/>
    <x v="0"/>
    <x v="1"/>
    <x v="0"/>
  </r>
  <r>
    <x v="2010"/>
    <s v="VALIANT LABORATORIES LTD"/>
    <n v="61.39"/>
    <n v="61.39"/>
    <n v="55.4"/>
    <n v="56.41"/>
    <n v="61.1"/>
    <n v="112758"/>
    <n v="1339"/>
    <n v="3063768125"/>
    <n v="54312500"/>
    <n v="-7.6759410801964068"/>
    <x v="1597"/>
    <x v="0"/>
    <x v="1"/>
    <x v="1"/>
  </r>
  <r>
    <x v="2011"/>
    <s v="VALIANT ORGANICS LIMITED"/>
    <n v="264.99"/>
    <n v="264.99"/>
    <n v="238.94"/>
    <n v="241.49"/>
    <n v="269.3"/>
    <n v="142054"/>
    <n v="4940"/>
    <n v="6668516693"/>
    <n v="27614049"/>
    <n v="-10.32677311548459"/>
    <x v="1598"/>
    <x v="0"/>
    <x v="1"/>
    <x v="1"/>
  </r>
  <r>
    <x v="2012"/>
    <s v="VARDHAMAN ACRYLICS LTD"/>
    <n v="32.4"/>
    <n v="32.479999999999997"/>
    <n v="30.3"/>
    <n v="31.04"/>
    <n v="32.43"/>
    <n v="26865"/>
    <n v="355"/>
    <n v="2494490676"/>
    <n v="80363746"/>
    <n v="-4.2861547949429557"/>
    <x v="1599"/>
    <x v="0"/>
    <x v="1"/>
    <x v="1"/>
  </r>
  <r>
    <x v="2013"/>
    <s v="VARROC ENGINEERING LTD."/>
    <n v="494"/>
    <n v="494.3"/>
    <n v="472.25"/>
    <n v="475.4"/>
    <n v="498.2"/>
    <n v="205507"/>
    <n v="10686"/>
    <n v="72634654560"/>
    <n v="152786400"/>
    <n v="-4.5764753111200349"/>
    <x v="1600"/>
    <x v="0"/>
    <x v="2"/>
    <x v="1"/>
  </r>
  <r>
    <x v="2014"/>
    <s v="VASCON ENGINEERS LTD"/>
    <n v="31.35"/>
    <n v="31.35"/>
    <n v="29.3"/>
    <n v="29.51"/>
    <n v="31.64"/>
    <n v="1421178"/>
    <n v="5545"/>
    <n v="6747966446"/>
    <n v="228667111"/>
    <n v="-6.7319848293299591"/>
    <x v="919"/>
    <x v="0"/>
    <x v="1"/>
    <x v="0"/>
  </r>
  <r>
    <x v="2015"/>
    <s v="VASWANI IND LTD"/>
    <n v="52.17"/>
    <n v="53"/>
    <n v="50"/>
    <n v="50.55"/>
    <n v="52.17"/>
    <n v="55316"/>
    <n v="1117"/>
    <n v="1584548034"/>
    <n v="31346153"/>
    <n v="-3.1052328924669435"/>
    <x v="758"/>
    <x v="0"/>
    <x v="1"/>
    <x v="1"/>
  </r>
  <r>
    <x v="2016"/>
    <s v="VAXTEX COTFAB LIMITED"/>
    <n v="1.39"/>
    <n v="1.41"/>
    <n v="1.33"/>
    <n v="1.33"/>
    <n v="1.39"/>
    <n v="515316"/>
    <n v="314"/>
    <n v="244390452.59999999"/>
    <n v="183752220"/>
    <n v="-4.3165467625899163"/>
    <x v="1601"/>
    <x v="0"/>
    <x v="1"/>
    <x v="1"/>
  </r>
  <r>
    <x v="2017"/>
    <s v="VEEDOL CORPORATION LTD"/>
    <n v="1311.3"/>
    <n v="1327.8"/>
    <n v="1282.5999999999999"/>
    <n v="1290.9000000000001"/>
    <n v="1331.3"/>
    <n v="18357"/>
    <n v="1599"/>
    <n v="22492641600"/>
    <n v="17424000"/>
    <n v="-3.0346278074062845"/>
    <x v="1602"/>
    <x v="0"/>
    <x v="1"/>
    <x v="1"/>
  </r>
  <r>
    <x v="2018"/>
    <s v="VENKY S (INDIA) LIMITED"/>
    <n v="1298.5"/>
    <n v="1298.5"/>
    <n v="1209.8"/>
    <n v="1223.3"/>
    <n v="1305.2"/>
    <n v="60020"/>
    <n v="4952"/>
    <n v="17233036906"/>
    <n v="14087335"/>
    <n v="-6.2749003984063814"/>
    <x v="1603"/>
    <x v="0"/>
    <x v="1"/>
    <x v="1"/>
  </r>
  <r>
    <x v="2019"/>
    <s v="VENTIVE HOSPITALITY LTD"/>
    <n v="632"/>
    <n v="638.75"/>
    <n v="610.20000000000005"/>
    <n v="622.95000000000005"/>
    <n v="641.4"/>
    <n v="87901"/>
    <n v="4850"/>
    <n v="145000000000"/>
    <n v="233541608"/>
    <n v="-2.876520112254433"/>
    <x v="1604"/>
    <x v="0"/>
    <x v="2"/>
    <x v="1"/>
  </r>
  <r>
    <x v="2020"/>
    <s v="VENUS PIPES &amp; TUBES LTD"/>
    <n v="944.1"/>
    <n v="947"/>
    <n v="894.6"/>
    <n v="917.9"/>
    <n v="949.5"/>
    <n v="120983"/>
    <n v="9019"/>
    <n v="19015317369"/>
    <n v="20716110"/>
    <n v="-3.3280674038967901"/>
    <x v="1605"/>
    <x v="0"/>
    <x v="1"/>
    <x v="1"/>
  </r>
  <r>
    <x v="2021"/>
    <s v="VENUS REMEDIES LIMITED"/>
    <n v="860"/>
    <n v="873"/>
    <n v="824.85"/>
    <n v="825"/>
    <n v="868.25"/>
    <n v="45639"/>
    <n v="1638"/>
    <n v="11027765100"/>
    <n v="13366988"/>
    <n v="-4.9812841923409161"/>
    <x v="1606"/>
    <x v="0"/>
    <x v="1"/>
    <x v="1"/>
  </r>
  <r>
    <x v="2022"/>
    <s v="VERANDA LEARNING SOL LTD"/>
    <n v="137.53"/>
    <n v="139.1"/>
    <n v="130.84"/>
    <n v="136.07"/>
    <n v="137.53"/>
    <n v="463988"/>
    <n v="5433"/>
    <n v="13026209562"/>
    <n v="95731679"/>
    <n v="-1.0615865629317298"/>
    <x v="1607"/>
    <x v="0"/>
    <x v="1"/>
    <x v="1"/>
  </r>
  <r>
    <x v="2023"/>
    <s v="VERTOZ LIMITED"/>
    <n v="36.200000000000003"/>
    <n v="36.880000000000003"/>
    <n v="34.67"/>
    <n v="35.270000000000003"/>
    <n v="37.619999999999997"/>
    <n v="98313"/>
    <n v="2254"/>
    <n v="3006062100"/>
    <n v="85230000"/>
    <n v="-6.246677299308864"/>
    <x v="1580"/>
    <x v="0"/>
    <x v="1"/>
    <x v="1"/>
  </r>
  <r>
    <x v="2024"/>
    <s v="VESUVIUS INDIA LTD"/>
    <n v="471.2"/>
    <n v="474.95"/>
    <n v="457.5"/>
    <n v="460.75"/>
    <n v="478.35"/>
    <n v="73001"/>
    <n v="4969"/>
    <n v="93514188600"/>
    <n v="202960800"/>
    <n v="-3.679314309605942"/>
    <x v="1608"/>
    <x v="0"/>
    <x v="2"/>
    <x v="1"/>
  </r>
  <r>
    <x v="2025"/>
    <s v="VETO SWITCHGEAR CABLE LTD"/>
    <n v="93.26"/>
    <n v="93.68"/>
    <n v="89"/>
    <n v="90.6"/>
    <n v="93.26"/>
    <n v="46950"/>
    <n v="1676"/>
    <n v="1731814923"/>
    <n v="19114955"/>
    <n v="-2.8522410465365757"/>
    <x v="1609"/>
    <x v="0"/>
    <x v="1"/>
    <x v="1"/>
  </r>
  <r>
    <x v="2026"/>
    <s v="VARVEE GLOBAL LIMITED"/>
    <n v="58.38"/>
    <n v="58.78"/>
    <n v="52.2"/>
    <n v="53.53"/>
    <n v="57.38"/>
    <n v="39750"/>
    <n v="1295"/>
    <n v="2758330133"/>
    <n v="51528678"/>
    <n v="-6.7096549320320689"/>
    <x v="946"/>
    <x v="0"/>
    <x v="1"/>
    <x v="1"/>
  </r>
  <r>
    <x v="2027"/>
    <s v="V-GUARD IND LTD."/>
    <n v="321.14999999999998"/>
    <n v="323"/>
    <n v="315.35000000000002"/>
    <n v="320.5"/>
    <n v="324.85000000000002"/>
    <n v="164651"/>
    <n v="7661"/>
    <n v="140000000000"/>
    <n v="436344639"/>
    <n v="-1.3390795751885554"/>
    <x v="1610"/>
    <x v="0"/>
    <x v="2"/>
    <x v="1"/>
  </r>
  <r>
    <x v="2028"/>
    <s v="VARDHMAN HOLDINGS LIMITED"/>
    <n v="3100.1"/>
    <n v="3161.9"/>
    <n v="3000.3"/>
    <n v="3105.5"/>
    <n v="3148.2"/>
    <n v="1630"/>
    <n v="399"/>
    <n v="9887315744"/>
    <n v="3183808"/>
    <n v="-1.356330601613615"/>
    <x v="1611"/>
    <x v="1"/>
    <x v="1"/>
    <x v="1"/>
  </r>
  <r>
    <x v="2029"/>
    <s v="VIDHI SPCLTY F INGRDNTS L"/>
    <n v="271"/>
    <n v="275"/>
    <n v="260.2"/>
    <n v="268.25"/>
    <n v="279.55"/>
    <n v="31953"/>
    <n v="1587"/>
    <n v="13397746250"/>
    <n v="49945000"/>
    <n v="-4.0422106957610486"/>
    <x v="396"/>
    <x v="0"/>
    <x v="1"/>
    <x v="1"/>
  </r>
  <r>
    <x v="2030"/>
    <s v="VIDYA WIRES LIMITED"/>
    <n v="53.1"/>
    <n v="53.84"/>
    <n v="50.15"/>
    <n v="51.13"/>
    <n v="54.19"/>
    <n v="1675609"/>
    <n v="8303"/>
    <n v="10874957657"/>
    <n v="212692307"/>
    <n v="-5.646798302269783"/>
    <x v="1612"/>
    <x v="0"/>
    <x v="1"/>
    <x v="0"/>
  </r>
  <r>
    <x v="2031"/>
    <s v="VIJAYA DIAGNOSTIC CEN LTD"/>
    <n v="890"/>
    <n v="893.7"/>
    <n v="871.6"/>
    <n v="883.2"/>
    <n v="904.6"/>
    <n v="85824"/>
    <n v="18873"/>
    <n v="90726663475"/>
    <n v="102724936"/>
    <n v="-2.3656864912668558"/>
    <x v="1164"/>
    <x v="0"/>
    <x v="2"/>
    <x v="1"/>
  </r>
  <r>
    <x v="2032"/>
    <s v="VIKAS ECOTECH LIMITED"/>
    <n v="1.26"/>
    <n v="1.26"/>
    <n v="1.17"/>
    <n v="1.2"/>
    <n v="1.26"/>
    <n v="3092194"/>
    <n v="7288"/>
    <n v="2122447229"/>
    <n v="1768706024"/>
    <n v="-4.7619047619047654"/>
    <x v="1613"/>
    <x v="0"/>
    <x v="1"/>
    <x v="0"/>
  </r>
  <r>
    <x v="2033"/>
    <s v="VIKAS LIFECARE LIMITED"/>
    <n v="1.26"/>
    <n v="1.27"/>
    <n v="1.22"/>
    <n v="1.22"/>
    <n v="1.28"/>
    <n v="4336511"/>
    <n v="2564"/>
    <n v="2266355643"/>
    <n v="1857668560"/>
    <n v="-4.6875000000000044"/>
    <x v="603"/>
    <x v="0"/>
    <x v="1"/>
    <x v="0"/>
  </r>
  <r>
    <x v="2034"/>
    <s v="VIKRAM SOLAR LIMITED"/>
    <n v="189"/>
    <n v="192.9"/>
    <n v="186.51"/>
    <n v="189.83"/>
    <n v="192.58"/>
    <n v="2274311"/>
    <n v="27847"/>
    <n v="68781138259"/>
    <n v="362330181"/>
    <n v="-1.427977983175823"/>
    <x v="1614"/>
    <x v="1"/>
    <x v="2"/>
    <x v="0"/>
  </r>
  <r>
    <x v="2035"/>
    <s v="VIKRAN ENGINEERING LTD"/>
    <n v="60"/>
    <n v="60.3"/>
    <n v="56.52"/>
    <n v="57.13"/>
    <n v="60.91"/>
    <n v="2601955"/>
    <n v="13279"/>
    <n v="14734456915"/>
    <n v="257911026"/>
    <n v="-6.2058775242160467"/>
    <x v="1615"/>
    <x v="0"/>
    <x v="1"/>
    <x v="0"/>
  </r>
  <r>
    <x v="2036"/>
    <s v="VIMTA LABS LIMITED"/>
    <n v="421"/>
    <n v="422.65"/>
    <n v="395.8"/>
    <n v="398.95"/>
    <n v="427.2"/>
    <n v="228567"/>
    <n v="10319"/>
    <n v="17807208652"/>
    <n v="44635189"/>
    <n v="-6.612827715355805"/>
    <x v="1616"/>
    <x v="0"/>
    <x v="1"/>
    <x v="1"/>
  </r>
  <r>
    <x v="2037"/>
    <s v="VINATI ORGANICS LTD"/>
    <n v="1386.2"/>
    <n v="1386.2"/>
    <n v="1331.4"/>
    <n v="1352.2"/>
    <n v="1386.2"/>
    <n v="63439"/>
    <n v="11127"/>
    <n v="140000000000"/>
    <n v="103665632"/>
    <n v="-2.4527485211369209"/>
    <x v="1617"/>
    <x v="0"/>
    <x v="2"/>
    <x v="1"/>
  </r>
  <r>
    <x v="2038"/>
    <s v="VINTAGE COFFEE N BVRGS L"/>
    <n v="130.69999999999999"/>
    <n v="133.79"/>
    <n v="126.4"/>
    <n v="133.19"/>
    <n v="131.84"/>
    <n v="4051743"/>
    <n v="21785"/>
    <n v="19237751695"/>
    <n v="144438409"/>
    <n v="1.0239684466019374"/>
    <x v="1351"/>
    <x v="1"/>
    <x v="1"/>
    <x v="0"/>
  </r>
  <r>
    <x v="2039"/>
    <s v="VINDHYA TELELINKS LTD"/>
    <n v="1063.5"/>
    <n v="1121"/>
    <n v="1011"/>
    <n v="1019.1"/>
    <n v="1058.5999999999999"/>
    <n v="27675"/>
    <n v="2696"/>
    <n v="12077214483"/>
    <n v="11850863"/>
    <n v="-3.731343283582079"/>
    <x v="1618"/>
    <x v="0"/>
    <x v="1"/>
    <x v="1"/>
  </r>
  <r>
    <x v="2040"/>
    <s v="VINEET LABORATORIES LTD"/>
    <n v="29.75"/>
    <n v="29.94"/>
    <n v="28.53"/>
    <n v="29.53"/>
    <n v="29.75"/>
    <n v="89148"/>
    <n v="1194"/>
    <n v="567161064.5"/>
    <n v="19206267"/>
    <n v="-0.73949579831932388"/>
    <x v="1298"/>
    <x v="0"/>
    <x v="1"/>
    <x v="1"/>
  </r>
  <r>
    <x v="2041"/>
    <s v="VINNY OVERSEAS LIMITED"/>
    <n v="1.07"/>
    <n v="1.1000000000000001"/>
    <n v="1.06"/>
    <n v="1.06"/>
    <n v="1.07"/>
    <n v="741367"/>
    <n v="245"/>
    <n v="493161419.30000001"/>
    <n v="465246622"/>
    <n v="-0.93457943925233722"/>
    <x v="716"/>
    <x v="0"/>
    <x v="1"/>
    <x v="1"/>
  </r>
  <r>
    <x v="2042"/>
    <s v="VINYL CHEMICALS (I) LTD."/>
    <n v="190"/>
    <n v="191"/>
    <n v="180.1"/>
    <n v="181.67"/>
    <n v="193.12"/>
    <n v="20916"/>
    <n v="908"/>
    <n v="3331302955"/>
    <n v="18337111"/>
    <n v="-5.9289560894780529"/>
    <x v="25"/>
    <x v="0"/>
    <x v="1"/>
    <x v="1"/>
  </r>
  <r>
    <x v="2043"/>
    <s v="VIP CLOTHING LIMITED"/>
    <n v="17.2"/>
    <n v="17.899999999999999"/>
    <n v="16.350000000000001"/>
    <n v="16.57"/>
    <n v="17.3"/>
    <n v="357342"/>
    <n v="1013"/>
    <n v="1493446130"/>
    <n v="90129519"/>
    <n v="-4.2196531791907539"/>
    <x v="1619"/>
    <x v="0"/>
    <x v="1"/>
    <x v="1"/>
  </r>
  <r>
    <x v="2044"/>
    <s v="VIP INDUSTRIES LTD"/>
    <n v="336.65"/>
    <n v="336.7"/>
    <n v="315.85000000000002"/>
    <n v="319.10000000000002"/>
    <n v="336.65"/>
    <n v="569525"/>
    <n v="25962"/>
    <n v="45328612589"/>
    <n v="142051434"/>
    <n v="-5.2131293628397319"/>
    <x v="1620"/>
    <x v="0"/>
    <x v="1"/>
    <x v="1"/>
  </r>
  <r>
    <x v="2045"/>
    <s v="VIRINCHI LIMITED"/>
    <n v="16.649999999999999"/>
    <n v="16.940000000000001"/>
    <n v="15.5"/>
    <n v="15.9"/>
    <n v="16.649999999999999"/>
    <n v="310766"/>
    <n v="879"/>
    <n v="1632085646"/>
    <n v="102646896"/>
    <n v="-4.504504504504494"/>
    <x v="1621"/>
    <x v="0"/>
    <x v="1"/>
    <x v="1"/>
  </r>
  <r>
    <x v="2046"/>
    <s v="VISAKA INDUSTRIES LIMITED"/>
    <n v="56.5"/>
    <n v="56.94"/>
    <n v="54.56"/>
    <n v="55.36"/>
    <n v="57.05"/>
    <n v="138380"/>
    <n v="1067"/>
    <n v="4783367514"/>
    <n v="86404760"/>
    <n v="-2.9623137598597684"/>
    <x v="1622"/>
    <x v="0"/>
    <x v="1"/>
    <x v="1"/>
  </r>
  <r>
    <x v="2047"/>
    <s v="VISA STEEL LIMITED"/>
    <n v="31.3"/>
    <n v="31.3"/>
    <n v="28.56"/>
    <n v="28.56"/>
    <n v="30.06"/>
    <n v="10122"/>
    <n v="103"/>
    <n v="3306948120"/>
    <n v="115789500"/>
    <n v="-4.9900199600798407"/>
    <x v="590"/>
    <x v="0"/>
    <x v="1"/>
    <x v="1"/>
  </r>
  <r>
    <x v="2048"/>
    <s v="VISHNU CHEMICALS LIMITED"/>
    <n v="504"/>
    <n v="510.4"/>
    <n v="483"/>
    <n v="489.6"/>
    <n v="513.29999999999995"/>
    <n v="101262"/>
    <n v="3215"/>
    <n v="32957563046"/>
    <n v="67315284"/>
    <n v="-4.6171829339567383"/>
    <x v="678"/>
    <x v="0"/>
    <x v="1"/>
    <x v="1"/>
  </r>
  <r>
    <x v="2049"/>
    <s v="VISHWARAJ SUGAR IND LTD"/>
    <n v="4.84"/>
    <n v="4.8499999999999996"/>
    <n v="4.5199999999999996"/>
    <n v="4.5599999999999996"/>
    <n v="4.87"/>
    <n v="964013"/>
    <n v="1741"/>
    <n v="993294312"/>
    <n v="217827700"/>
    <n v="-6.3655030800821448"/>
    <x v="942"/>
    <x v="0"/>
    <x v="1"/>
    <x v="1"/>
  </r>
  <r>
    <x v="2050"/>
    <s v="VITAL CHEMTECH LIMITED"/>
    <n v="39"/>
    <n v="39"/>
    <n v="35.4"/>
    <n v="35.4"/>
    <n v="37.25"/>
    <n v="35912"/>
    <n v="56"/>
    <n v="847868940"/>
    <n v="23951100"/>
    <n v="-4.9664429530201382"/>
    <x v="1623"/>
    <x v="0"/>
    <x v="1"/>
    <x v="1"/>
  </r>
  <r>
    <x v="2051"/>
    <s v="VISAGAR POLYTEX LTD"/>
    <n v="0.56999999999999995"/>
    <n v="0.62"/>
    <n v="0.5"/>
    <n v="0.53"/>
    <n v="0.56000000000000005"/>
    <n v="797908"/>
    <n v="406"/>
    <n v="155131283"/>
    <n v="292700534"/>
    <n v="-5.3571428571428621"/>
    <x v="1624"/>
    <x v="0"/>
    <x v="1"/>
    <x v="1"/>
  </r>
  <r>
    <x v="2052"/>
    <s v="VIVIMED LABS LIMITED"/>
    <n v="6.28"/>
    <n v="6.28"/>
    <n v="5.97"/>
    <n v="5.99"/>
    <n v="6.28"/>
    <n v="173159"/>
    <n v="365"/>
    <n v="496654350.89999998"/>
    <n v="82913915"/>
    <n v="-4.6178343949044587"/>
    <x v="1625"/>
    <x v="0"/>
    <x v="1"/>
    <x v="1"/>
  </r>
  <r>
    <x v="2053"/>
    <s v="VIYASH SCIENTIFIC LIMITED"/>
    <n v="186.54"/>
    <n v="187.12"/>
    <n v="178.13"/>
    <n v="179.89"/>
    <n v="188.43"/>
    <n v="1040362"/>
    <n v="17800"/>
    <n v="78543177661"/>
    <n v="436617809"/>
    <n v="-4.5321870190521789"/>
    <x v="1626"/>
    <x v="0"/>
    <x v="2"/>
    <x v="0"/>
  </r>
  <r>
    <x v="2054"/>
    <s v="VL E GOV AND IT SOL LTD"/>
    <n v="11"/>
    <n v="11.46"/>
    <n v="9.6199999999999992"/>
    <n v="10.029999999999999"/>
    <n v="11.03"/>
    <n v="970492"/>
    <n v="2999"/>
    <n v="1087766830"/>
    <n v="108451329"/>
    <n v="-9.0661831368993653"/>
    <x v="1627"/>
    <x v="0"/>
    <x v="1"/>
    <x v="1"/>
  </r>
  <r>
    <x v="2055"/>
    <s v="VLS FINANCE LTD"/>
    <n v="220.1"/>
    <n v="223.4"/>
    <n v="214"/>
    <n v="216"/>
    <n v="223.85"/>
    <n v="20345"/>
    <n v="544"/>
    <n v="6777791208"/>
    <n v="31378663"/>
    <n v="-3.506812597721686"/>
    <x v="285"/>
    <x v="0"/>
    <x v="1"/>
    <x v="1"/>
  </r>
  <r>
    <x v="2056"/>
    <s v="VMART RETAIL LTD"/>
    <n v="510.2"/>
    <n v="510.2"/>
    <n v="493.3"/>
    <n v="499.2"/>
    <n v="510.2"/>
    <n v="112400"/>
    <n v="6035"/>
    <n v="39655961280"/>
    <n v="79439025"/>
    <n v="-2.1560172481379851"/>
    <x v="87"/>
    <x v="0"/>
    <x v="1"/>
    <x v="1"/>
  </r>
  <r>
    <x v="2057"/>
    <s v="VISHAL MEGA MART LIMITED"/>
    <n v="101.78"/>
    <n v="103.4"/>
    <n v="98.77"/>
    <n v="99.68"/>
    <n v="102.3"/>
    <n v="17445024"/>
    <n v="136882"/>
    <n v="466000000000"/>
    <n v="4673002806"/>
    <n v="-2.5610948191593259"/>
    <x v="1628"/>
    <x v="0"/>
    <x v="0"/>
    <x v="0"/>
  </r>
  <r>
    <x v="2058"/>
    <s v="VMS TMT LIMITED"/>
    <n v="41.32"/>
    <n v="41.32"/>
    <n v="39.4"/>
    <n v="39.619999999999997"/>
    <n v="41.32"/>
    <n v="73748"/>
    <n v="755"/>
    <n v="1966388540"/>
    <n v="49631210"/>
    <n v="-4.1142303969022329"/>
    <x v="1629"/>
    <x v="0"/>
    <x v="1"/>
    <x v="1"/>
  </r>
  <r>
    <x v="2059"/>
    <s v="VOLTAMP TRANSFORMERS LTD"/>
    <n v="8501"/>
    <n v="8521"/>
    <n v="8221"/>
    <n v="8301"/>
    <n v="8604.5"/>
    <n v="31771"/>
    <n v="10531"/>
    <n v="83982213120"/>
    <n v="10117120"/>
    <n v="-3.5272241269103373"/>
    <x v="1513"/>
    <x v="0"/>
    <x v="2"/>
    <x v="1"/>
  </r>
  <r>
    <x v="2060"/>
    <s v="VOLTAS LTD"/>
    <n v="1305"/>
    <n v="1305"/>
    <n v="1223"/>
    <n v="1251.2"/>
    <n v="1324.5"/>
    <n v="1982017"/>
    <n v="74737"/>
    <n v="414000000000"/>
    <n v="330884740"/>
    <n v="-5.5341638354095846"/>
    <x v="1630"/>
    <x v="0"/>
    <x v="0"/>
    <x v="0"/>
  </r>
  <r>
    <x v="2061"/>
    <s v="VISHNU PRAKASH R PUNGLI L"/>
    <n v="36.479999999999997"/>
    <n v="36.479999999999997"/>
    <n v="33.549999999999997"/>
    <n v="34.020000000000003"/>
    <n v="36.950000000000003"/>
    <n v="1496254"/>
    <n v="7056"/>
    <n v="4240388880"/>
    <n v="124644000"/>
    <n v="-7.929634641407306"/>
    <x v="1631"/>
    <x v="0"/>
    <x v="1"/>
    <x v="0"/>
  </r>
  <r>
    <x v="2062"/>
    <s v="VRAJ IRON AND STEEL LTD"/>
    <n v="110.97"/>
    <n v="110.97"/>
    <n v="105.42"/>
    <n v="107.18"/>
    <n v="109.88"/>
    <n v="33709"/>
    <n v="961"/>
    <n v="3535077104"/>
    <n v="32982619"/>
    <n v="-2.4572260647979514"/>
    <x v="1361"/>
    <x v="0"/>
    <x v="1"/>
    <x v="1"/>
  </r>
  <r>
    <x v="2063"/>
    <s v="VRL LOGISTICS LIMITED"/>
    <n v="240"/>
    <n v="241"/>
    <n v="236.2"/>
    <n v="239.85"/>
    <n v="241.45"/>
    <n v="191607"/>
    <n v="6156"/>
    <n v="42378374552"/>
    <n v="176686990"/>
    <n v="-0.66266307724166262"/>
    <x v="1632"/>
    <x v="0"/>
    <x v="1"/>
    <x v="1"/>
  </r>
  <r>
    <x v="2064"/>
    <s v="VARDHMAN SPC STEEL LTD"/>
    <n v="230"/>
    <n v="230"/>
    <n v="218.75"/>
    <n v="220.55"/>
    <n v="232.85"/>
    <n v="46435"/>
    <n v="1737"/>
    <n v="21296733220"/>
    <n v="96561928"/>
    <n v="-5.282370624865786"/>
    <x v="35"/>
    <x v="0"/>
    <x v="1"/>
    <x v="1"/>
  </r>
  <r>
    <x v="2065"/>
    <s v="VST INDUSTRIES LTD"/>
    <n v="214.5"/>
    <n v="219"/>
    <n v="210.97"/>
    <n v="211.82"/>
    <n v="213.88"/>
    <n v="474956"/>
    <n v="9044"/>
    <n v="35979982438"/>
    <n v="169861120"/>
    <n v="-0.96315691041705742"/>
    <x v="1633"/>
    <x v="0"/>
    <x v="1"/>
    <x v="1"/>
  </r>
  <r>
    <x v="2066"/>
    <s v="VIBHOR STEEL TUBES LTD"/>
    <n v="117"/>
    <n v="117"/>
    <n v="105.02"/>
    <n v="105.96"/>
    <n v="113.12"/>
    <n v="57562"/>
    <n v="1421"/>
    <n v="2009260460"/>
    <n v="18962443"/>
    <n v="-6.3295615275813386"/>
    <x v="1634"/>
    <x v="0"/>
    <x v="1"/>
    <x v="1"/>
  </r>
  <r>
    <x v="2067"/>
    <s v="VST TILLERS TRACTORS LTD"/>
    <n v="5200"/>
    <n v="5200.5"/>
    <n v="4955"/>
    <n v="4978"/>
    <n v="5239"/>
    <n v="14692"/>
    <n v="4463"/>
    <n v="43026636124"/>
    <n v="8643358"/>
    <n v="-4.9818667684672651"/>
    <x v="1635"/>
    <x v="0"/>
    <x v="1"/>
    <x v="1"/>
  </r>
  <r>
    <x v="2068"/>
    <s v="VARDHMAN TEXTILES LIMITED"/>
    <n v="534"/>
    <n v="553.79999999999995"/>
    <n v="523.04999999999995"/>
    <n v="538.79999999999995"/>
    <n v="532.9"/>
    <n v="1910066"/>
    <n v="56857"/>
    <n v="156000000000"/>
    <n v="289237300"/>
    <n v="1.1071495590166969"/>
    <x v="1636"/>
    <x v="1"/>
    <x v="2"/>
    <x v="0"/>
  </r>
  <r>
    <x v="2069"/>
    <s v="WAAREE ENERGIES LIMITED"/>
    <n v="3108.8"/>
    <n v="3110.4"/>
    <n v="3015.9"/>
    <n v="3064.6"/>
    <n v="3165.9"/>
    <n v="2004463"/>
    <n v="101618"/>
    <n v="882000000000"/>
    <n v="287640905"/>
    <n v="-3.1997220379670925"/>
    <x v="1637"/>
    <x v="0"/>
    <x v="0"/>
    <x v="0"/>
  </r>
  <r>
    <x v="2070"/>
    <s v="WAAREE RENEWABLE TECH LTD"/>
    <n v="842"/>
    <n v="845"/>
    <n v="803.1"/>
    <n v="807.7"/>
    <n v="850.25"/>
    <n v="303706"/>
    <n v="18007"/>
    <n v="84199953781"/>
    <n v="104246569"/>
    <n v="-5.0044104675095502"/>
    <x v="1638"/>
    <x v="0"/>
    <x v="2"/>
    <x v="1"/>
  </r>
  <r>
    <x v="2071"/>
    <s v="VA TECH WABAG LTD"/>
    <n v="1224.5"/>
    <n v="1227.8"/>
    <n v="1167.5"/>
    <n v="1173.5"/>
    <n v="1236.9000000000001"/>
    <n v="367021"/>
    <n v="29547"/>
    <n v="73105825222"/>
    <n v="62297252"/>
    <n v="-5.1257175196054723"/>
    <x v="1639"/>
    <x v="0"/>
    <x v="2"/>
    <x v="1"/>
  </r>
  <r>
    <x v="2072"/>
    <s v="WAKEFIT INNOVATIONS LTD"/>
    <n v="160.63"/>
    <n v="160.80000000000001"/>
    <n v="152.02000000000001"/>
    <n v="154.97999999999999"/>
    <n v="162.25"/>
    <n v="1542204"/>
    <n v="7268"/>
    <n v="50651908052"/>
    <n v="326828675"/>
    <n v="-4.4807395993836732"/>
    <x v="1640"/>
    <x v="0"/>
    <x v="2"/>
    <x v="0"/>
  </r>
  <r>
    <x v="2073"/>
    <s v="WALCHANDNAGAR INDUSTRIES"/>
    <n v="145.26"/>
    <n v="146.85"/>
    <n v="139.11000000000001"/>
    <n v="140.22"/>
    <n v="148.13999999999999"/>
    <n v="744173"/>
    <n v="9009"/>
    <n v="9510624959"/>
    <n v="67826451"/>
    <n v="-5.3462940461725319"/>
    <x v="67"/>
    <x v="0"/>
    <x v="1"/>
    <x v="1"/>
  </r>
  <r>
    <x v="2074"/>
    <s v="WESTERN CARRIERS (IND) L"/>
    <n v="91"/>
    <n v="91.25"/>
    <n v="84.8"/>
    <n v="85.26"/>
    <n v="92.42"/>
    <n v="308553"/>
    <n v="3379"/>
    <n v="8692701460"/>
    <n v="101955213"/>
    <n v="-7.7472408569573643"/>
    <x v="1641"/>
    <x v="0"/>
    <x v="1"/>
    <x v="1"/>
  </r>
  <r>
    <x v="2075"/>
    <s v="WEALTH FRST PORT. MG. LTD"/>
    <n v="880.15"/>
    <n v="889"/>
    <n v="850"/>
    <n v="850.65"/>
    <n v="893.8"/>
    <n v="1150"/>
    <n v="231"/>
    <n v="9063675750"/>
    <n v="10655000"/>
    <n v="-4.8277019467442361"/>
    <x v="1642"/>
    <x v="0"/>
    <x v="1"/>
    <x v="1"/>
  </r>
  <r>
    <x v="2076"/>
    <s v="WEBSOL ENERGY SYSTEM LTD"/>
    <n v="76.22"/>
    <n v="78.760000000000005"/>
    <n v="71.67"/>
    <n v="76.56"/>
    <n v="74.849999999999994"/>
    <n v="36483038"/>
    <n v="128185"/>
    <n v="32313179263"/>
    <n v="422063470"/>
    <n v="2.2845691382765638"/>
    <x v="1643"/>
    <x v="1"/>
    <x v="1"/>
    <x v="0"/>
  </r>
  <r>
    <x v="2077"/>
    <s v="WEIZMANN LTD"/>
    <n v="75.010000000000005"/>
    <n v="75.19"/>
    <n v="70.36"/>
    <n v="72.38"/>
    <n v="75.94"/>
    <n v="11269"/>
    <n v="150"/>
    <n v="1121445008"/>
    <n v="15493852"/>
    <n v="-4.6879115090861232"/>
    <x v="1644"/>
    <x v="0"/>
    <x v="1"/>
    <x v="1"/>
  </r>
  <r>
    <x v="2078"/>
    <s v="WONDER ELECTRICALS LTD"/>
    <n v="135.22999999999999"/>
    <n v="135.22999999999999"/>
    <n v="127.8"/>
    <n v="128.30000000000001"/>
    <n v="134"/>
    <n v="30693"/>
    <n v="593"/>
    <n v="17193226400"/>
    <n v="134008000"/>
    <n v="-4.2537313432835733"/>
    <x v="1645"/>
    <x v="0"/>
    <x v="1"/>
    <x v="1"/>
  </r>
  <r>
    <x v="2079"/>
    <s v="WELSPUN CORP LIMITED"/>
    <n v="800"/>
    <n v="800"/>
    <n v="759"/>
    <n v="770.95"/>
    <n v="803.85"/>
    <n v="441435"/>
    <n v="20761"/>
    <n v="203000000000"/>
    <n v="263790645"/>
    <n v="-4.0928033837158644"/>
    <x v="97"/>
    <x v="0"/>
    <x v="0"/>
    <x v="1"/>
  </r>
  <r>
    <x v="2080"/>
    <s v="WELSPUN ENTERPRISES LTD."/>
    <n v="450.05"/>
    <n v="453.4"/>
    <n v="423.95"/>
    <n v="432.95"/>
    <n v="462.35"/>
    <n v="222718"/>
    <n v="8489"/>
    <n v="59926259040"/>
    <n v="138413810"/>
    <n v="-6.3588190764572365"/>
    <x v="1646"/>
    <x v="0"/>
    <x v="2"/>
    <x v="1"/>
  </r>
  <r>
    <x v="2081"/>
    <s v="WELSPUN INV &amp; COMM LTD"/>
    <n v="1165.0999999999999"/>
    <n v="1271.4000000000001"/>
    <n v="1165.0999999999999"/>
    <n v="1209.5"/>
    <n v="1274.0999999999999"/>
    <n v="1526"/>
    <n v="217"/>
    <n v="4420088722"/>
    <n v="3654476"/>
    <n v="-5.0702456636056752"/>
    <x v="1647"/>
    <x v="1"/>
    <x v="1"/>
    <x v="1"/>
  </r>
  <r>
    <x v="2082"/>
    <s v="WELSPUN LIVING LIMITED"/>
    <n v="112.62"/>
    <n v="112.63"/>
    <n v="107.5"/>
    <n v="109.95"/>
    <n v="114.57"/>
    <n v="2013421"/>
    <n v="23123"/>
    <n v="105000000000"/>
    <n v="959152514"/>
    <n v="-4.032469232783443"/>
    <x v="1648"/>
    <x v="0"/>
    <x v="2"/>
    <x v="0"/>
  </r>
  <r>
    <x v="2083"/>
    <s v="WENDT (INDIA) LIMITED"/>
    <n v="6600.5"/>
    <n v="6746.5"/>
    <n v="6430"/>
    <n v="6482"/>
    <n v="6732"/>
    <n v="10475"/>
    <n v="2927"/>
    <n v="12964000000"/>
    <n v="2000000"/>
    <n v="-3.7136066547831255"/>
    <x v="1649"/>
    <x v="0"/>
    <x v="1"/>
    <x v="1"/>
  </r>
  <r>
    <x v="2084"/>
    <s v="WESTLIFE FOODWORLD LTD"/>
    <n v="435"/>
    <n v="435"/>
    <n v="398.4"/>
    <n v="416.85"/>
    <n v="437.55"/>
    <n v="223545"/>
    <n v="15560"/>
    <n v="65001990380"/>
    <n v="155936165"/>
    <n v="-4.7308878985258804"/>
    <x v="1650"/>
    <x v="0"/>
    <x v="2"/>
    <x v="1"/>
  </r>
  <r>
    <x v="2085"/>
    <s v="WE WIN LIMITED"/>
    <n v="44.5"/>
    <n v="44.5"/>
    <n v="39.369999999999997"/>
    <n v="41.84"/>
    <n v="42.45"/>
    <n v="7822"/>
    <n v="76"/>
    <n v="425136240"/>
    <n v="10161000"/>
    <n v="-1.4369846878680788"/>
    <x v="1651"/>
    <x v="0"/>
    <x v="1"/>
    <x v="1"/>
  </r>
  <r>
    <x v="2086"/>
    <s v="WEWORK INDIA MANAGEMENT L"/>
    <n v="461"/>
    <n v="461"/>
    <n v="433.45"/>
    <n v="443.7"/>
    <n v="470"/>
    <n v="270933"/>
    <n v="14028"/>
    <n v="59466120018"/>
    <n v="134023259"/>
    <n v="-5.595744680851066"/>
    <x v="1652"/>
    <x v="0"/>
    <x v="2"/>
    <x v="1"/>
  </r>
  <r>
    <x v="2087"/>
    <s v="WHEELS INDIA LTD"/>
    <n v="1038.0999999999999"/>
    <n v="1054.8499999999999"/>
    <n v="972"/>
    <n v="983.1"/>
    <n v="1027.2"/>
    <n v="206242"/>
    <n v="18494"/>
    <n v="24020094097"/>
    <n v="24433012"/>
    <n v="-4.2932242990654226"/>
    <x v="1653"/>
    <x v="0"/>
    <x v="1"/>
    <x v="1"/>
  </r>
  <r>
    <x v="2088"/>
    <s v="WHIRLPOOL OF INDIA LTD"/>
    <n v="825"/>
    <n v="825"/>
    <n v="771"/>
    <n v="784.25"/>
    <n v="836.35"/>
    <n v="450000"/>
    <n v="23460"/>
    <n v="99499232678"/>
    <n v="126871830"/>
    <n v="-6.2294493931966306"/>
    <x v="1654"/>
    <x v="0"/>
    <x v="2"/>
    <x v="1"/>
  </r>
  <r>
    <x v="2089"/>
    <s v="WILLIAMSON MAGOR"/>
    <n v="27.7"/>
    <n v="27.7"/>
    <n v="23.67"/>
    <n v="24.1"/>
    <n v="25.89"/>
    <n v="6832"/>
    <n v="131"/>
    <n v="264048276"/>
    <n v="10956360"/>
    <n v="-6.9138663576670494"/>
    <x v="1655"/>
    <x v="0"/>
    <x v="1"/>
    <x v="1"/>
  </r>
  <r>
    <x v="2090"/>
    <s v="WINDLAS BIOTECH LIMITED"/>
    <n v="725"/>
    <n v="734.95"/>
    <n v="714"/>
    <n v="729.3"/>
    <n v="727.3"/>
    <n v="48351"/>
    <n v="2375"/>
    <n v="15371630403"/>
    <n v="21077239"/>
    <n v="0.27498968788670425"/>
    <x v="1127"/>
    <x v="1"/>
    <x v="1"/>
    <x v="1"/>
  </r>
  <r>
    <x v="2091"/>
    <s v="WINDSOR MACHINES LIMITED"/>
    <n v="226"/>
    <n v="230"/>
    <n v="213.15"/>
    <n v="220.35"/>
    <n v="230.05"/>
    <n v="93310"/>
    <n v="1685"/>
    <n v="19189074202"/>
    <n v="87084521"/>
    <n v="-4.2164746794175247"/>
    <x v="1583"/>
    <x v="0"/>
    <x v="1"/>
    <x v="1"/>
  </r>
  <r>
    <x v="2092"/>
    <s v="THE WESTERN INDIA PLY LTD"/>
    <n v="149.99"/>
    <n v="153.80000000000001"/>
    <n v="148.49"/>
    <n v="149.91"/>
    <n v="149.99"/>
    <n v="530"/>
    <n v="18"/>
    <n v="1272337139"/>
    <n v="8487340"/>
    <n v="-5.3336889125950068E-2"/>
    <x v="1656"/>
    <x v="0"/>
    <x v="1"/>
    <x v="1"/>
  </r>
  <r>
    <x v="2093"/>
    <s v="WOCKHARDT LIMITED"/>
    <n v="1164.9000000000001"/>
    <n v="1164.9000000000001"/>
    <n v="1086.7"/>
    <n v="1100.3"/>
    <n v="1176.2"/>
    <n v="804592"/>
    <n v="47561"/>
    <n v="179000000000"/>
    <n v="162492169"/>
    <n v="-6.4529841863628716"/>
    <x v="1657"/>
    <x v="0"/>
    <x v="2"/>
    <x v="1"/>
  </r>
  <r>
    <x v="2094"/>
    <s v="WONDERLA HOLIDAYS LTD."/>
    <n v="518.5"/>
    <n v="518.54999999999995"/>
    <n v="502"/>
    <n v="508.4"/>
    <n v="520.25"/>
    <n v="82791"/>
    <n v="2385"/>
    <n v="32244134234"/>
    <n v="63422766"/>
    <n v="-2.2777510812109605"/>
    <x v="1658"/>
    <x v="0"/>
    <x v="1"/>
    <x v="1"/>
  </r>
  <r>
    <x v="2095"/>
    <s v="WORTH PERIPHERALS LIMITED"/>
    <n v="126.51"/>
    <n v="128.01"/>
    <n v="120"/>
    <n v="122.87"/>
    <n v="126.14"/>
    <n v="100749"/>
    <n v="140"/>
    <n v="1935325370"/>
    <n v="15751000"/>
    <n v="-2.5923576977960963"/>
    <x v="1659"/>
    <x v="0"/>
    <x v="1"/>
    <x v="1"/>
  </r>
  <r>
    <x v="2096"/>
    <s v="W.S.INDUSTRIES (I) LTD."/>
    <n v="69"/>
    <n v="70"/>
    <n v="65.510000000000005"/>
    <n v="68.680000000000007"/>
    <n v="69.260000000000005"/>
    <n v="114121"/>
    <n v="2310"/>
    <n v="5210193506"/>
    <n v="75861874"/>
    <n v="-0.8374241986716694"/>
    <x v="1660"/>
    <x v="0"/>
    <x v="1"/>
    <x v="1"/>
  </r>
  <r>
    <x v="2097"/>
    <s v="WEST COAST PAPER MILLS LT"/>
    <n v="426"/>
    <n v="429.1"/>
    <n v="406.55"/>
    <n v="408.35"/>
    <n v="434.65"/>
    <n v="83190"/>
    <n v="3777"/>
    <n v="26971071582"/>
    <n v="66048908"/>
    <n v="-6.0508455078798935"/>
    <x v="865"/>
    <x v="0"/>
    <x v="1"/>
    <x v="1"/>
  </r>
  <r>
    <x v="2098"/>
    <s v="XCHANGING SOLUTIONS LTD"/>
    <n v="56.7"/>
    <n v="56.7"/>
    <n v="53.5"/>
    <n v="53.59"/>
    <n v="56.7"/>
    <n v="151920"/>
    <n v="1922"/>
    <n v="5970125140"/>
    <n v="111403716"/>
    <n v="-5.4850088183421501"/>
    <x v="1661"/>
    <x v="0"/>
    <x v="1"/>
    <x v="1"/>
  </r>
  <r>
    <x v="2099"/>
    <s v="XELPMOC DESIGN &amp; TECH LTD"/>
    <n v="90.41"/>
    <n v="94.86"/>
    <n v="88.1"/>
    <n v="88.86"/>
    <n v="90.31"/>
    <n v="35884"/>
    <n v="1100"/>
    <n v="1311528548"/>
    <n v="14759493"/>
    <n v="-1.6055807773225585"/>
    <x v="1662"/>
    <x v="0"/>
    <x v="1"/>
    <x v="1"/>
  </r>
  <r>
    <x v="2100"/>
    <s v="XPRO INDIA LIMITED"/>
    <n v="985"/>
    <n v="985"/>
    <n v="934.35"/>
    <n v="953.65"/>
    <n v="1005"/>
    <n v="62791"/>
    <n v="4422"/>
    <n v="22382525980"/>
    <n v="23470378"/>
    <n v="-5.1094527363184099"/>
    <x v="1663"/>
    <x v="0"/>
    <x v="1"/>
    <x v="1"/>
  </r>
  <r>
    <x v="2101"/>
    <s v="XTGLOBAL INFOTECH LIMITED"/>
    <n v="30.12"/>
    <n v="30.12"/>
    <n v="28"/>
    <n v="28.89"/>
    <n v="29.98"/>
    <n v="56435"/>
    <n v="803"/>
    <n v="3858612102"/>
    <n v="133562205"/>
    <n v="-3.6357571714476311"/>
    <x v="1664"/>
    <x v="0"/>
    <x v="1"/>
    <x v="1"/>
  </r>
  <r>
    <x v="2102"/>
    <s v="YASHO INDUSTRIES LIMITED"/>
    <n v="1385"/>
    <n v="1450"/>
    <n v="1350"/>
    <n v="1383.6"/>
    <n v="1413"/>
    <n v="13445"/>
    <n v="1168"/>
    <n v="16682196642"/>
    <n v="12057095"/>
    <n v="-2.0806794055201765"/>
    <x v="1665"/>
    <x v="0"/>
    <x v="1"/>
    <x v="1"/>
  </r>
  <r>
    <x v="2103"/>
    <s v="YATHARTH HOSP &amp; TRA C S L"/>
    <n v="638.9"/>
    <n v="638.9"/>
    <n v="613.1"/>
    <n v="619"/>
    <n v="640.25"/>
    <n v="614298"/>
    <n v="21133"/>
    <n v="59643346983"/>
    <n v="96354357"/>
    <n v="-3.3190160093713397"/>
    <x v="1666"/>
    <x v="0"/>
    <x v="2"/>
    <x v="1"/>
  </r>
  <r>
    <x v="2104"/>
    <s v="YATRA ONLINE LIMITED"/>
    <n v="105.7"/>
    <n v="105.7"/>
    <n v="99.4"/>
    <n v="102.45"/>
    <n v="107.2"/>
    <n v="2167859"/>
    <n v="17201"/>
    <n v="16076063973"/>
    <n v="156916193"/>
    <n v="-4.4309701492537306"/>
    <x v="1667"/>
    <x v="0"/>
    <x v="1"/>
    <x v="0"/>
  </r>
  <r>
    <x v="2105"/>
    <s v="YES BANK LIMITED"/>
    <n v="18.489999999999998"/>
    <n v="18.489999999999998"/>
    <n v="17.559999999999999"/>
    <n v="17.649999999999999"/>
    <n v="18.579999999999998"/>
    <n v="135553006"/>
    <n v="124769"/>
    <n v="554000000000"/>
    <n v="31377549600"/>
    <n v="-5.0053821313240032"/>
    <x v="1668"/>
    <x v="0"/>
    <x v="0"/>
    <x v="0"/>
  </r>
  <r>
    <x v="2106"/>
    <s v="YUKEN INDIA LIMITED"/>
    <n v="668"/>
    <n v="668.05"/>
    <n v="625.5"/>
    <n v="634.1"/>
    <n v="668.3"/>
    <n v="13350"/>
    <n v="1039"/>
    <n v="8613614400"/>
    <n v="13584000"/>
    <n v="-5.1174622175669509"/>
    <x v="1669"/>
    <x v="0"/>
    <x v="1"/>
    <x v="1"/>
  </r>
  <r>
    <x v="2107"/>
    <s v="ZAGGLE PREPA OCEAN SER L"/>
    <n v="206"/>
    <n v="208.69"/>
    <n v="192"/>
    <n v="194.46"/>
    <n v="207.81"/>
    <n v="1806397"/>
    <n v="19491"/>
    <n v="26145529503"/>
    <n v="134451967"/>
    <n v="-6.4241374332322767"/>
    <x v="1670"/>
    <x v="0"/>
    <x v="1"/>
    <x v="0"/>
  </r>
  <r>
    <x v="2108"/>
    <s v="ZEE ENTERTAINMENT ENT LTD"/>
    <n v="71.989999999999995"/>
    <n v="71.989999999999995"/>
    <n v="68"/>
    <n v="68.39"/>
    <n v="72.78"/>
    <n v="15662966"/>
    <n v="55922"/>
    <n v="65689923134"/>
    <n v="960519420"/>
    <n v="-6.0318768892552912"/>
    <x v="1671"/>
    <x v="0"/>
    <x v="2"/>
    <x v="0"/>
  </r>
  <r>
    <x v="2109"/>
    <s v="ZEE LEARN LIMITED"/>
    <n v="5.09"/>
    <n v="5.18"/>
    <n v="4.8499999999999996"/>
    <n v="4.9000000000000004"/>
    <n v="5.09"/>
    <n v="709240"/>
    <n v="1166"/>
    <n v="1602603825"/>
    <n v="327062005"/>
    <n v="-3.7328094302553931"/>
    <x v="942"/>
    <x v="0"/>
    <x v="1"/>
    <x v="1"/>
  </r>
  <r>
    <x v="2110"/>
    <s v="ZENITH EXPORTS LTD"/>
    <n v="190"/>
    <n v="190"/>
    <n v="178.6"/>
    <n v="178.98"/>
    <n v="188"/>
    <n v="770"/>
    <n v="26"/>
    <n v="965820825"/>
    <n v="5396250"/>
    <n v="-4.7978723404255375"/>
    <x v="1552"/>
    <x v="0"/>
    <x v="1"/>
    <x v="1"/>
  </r>
  <r>
    <x v="2111"/>
    <s v="ZENITH STEEL PIP IND LTD"/>
    <n v="5.05"/>
    <n v="5.05"/>
    <n v="4.75"/>
    <n v="4.7699999999999996"/>
    <n v="5"/>
    <n v="169586"/>
    <n v="289"/>
    <n v="678677737"/>
    <n v="142280448"/>
    <n v="-4.6000000000000085"/>
    <x v="1672"/>
    <x v="0"/>
    <x v="1"/>
    <x v="1"/>
  </r>
  <r>
    <x v="2112"/>
    <s v="ZENSAR TECHNOLOGIES  LTD"/>
    <n v="562.95000000000005"/>
    <n v="562.95000000000005"/>
    <n v="537.29999999999995"/>
    <n v="545.20000000000005"/>
    <n v="564.9"/>
    <n v="268696"/>
    <n v="20434"/>
    <n v="124000000000"/>
    <n v="227372542"/>
    <n v="-3.4873428925473418"/>
    <x v="1673"/>
    <x v="0"/>
    <x v="2"/>
    <x v="1"/>
  </r>
  <r>
    <x v="2113"/>
    <s v="ZEN TECHNOLOGIES LIMITED"/>
    <n v="1400"/>
    <n v="1400"/>
    <n v="1339.2"/>
    <n v="1357.8"/>
    <n v="1413.9"/>
    <n v="505113"/>
    <n v="31356"/>
    <n v="123000000000"/>
    <n v="90290356"/>
    <n v="-3.9677487799703046"/>
    <x v="1674"/>
    <x v="0"/>
    <x v="2"/>
    <x v="1"/>
  </r>
  <r>
    <x v="2114"/>
    <s v="ZF COM VE CTR SYS IND LTD"/>
    <n v="13770"/>
    <n v="13770"/>
    <n v="12952"/>
    <n v="13323"/>
    <n v="13801"/>
    <n v="15547"/>
    <n v="6780"/>
    <n v="253000000000"/>
    <n v="18967584"/>
    <n v="-3.4635171364393882"/>
    <x v="1675"/>
    <x v="0"/>
    <x v="0"/>
    <x v="1"/>
  </r>
  <r>
    <x v="2115"/>
    <s v="ZIM LABORATORIES LIMITED"/>
    <n v="65.319999999999993"/>
    <n v="66.89"/>
    <n v="59.8"/>
    <n v="60.76"/>
    <n v="67.680000000000007"/>
    <n v="150115"/>
    <n v="2509"/>
    <n v="2961188059"/>
    <n v="48735814"/>
    <n v="-10.224586288416088"/>
    <x v="1643"/>
    <x v="0"/>
    <x v="1"/>
    <x v="1"/>
  </r>
  <r>
    <x v="2116"/>
    <s v="ZODIAC ENERGY LIMITED"/>
    <n v="253.5"/>
    <n v="253.5"/>
    <n v="240"/>
    <n v="244.1"/>
    <n v="252.7"/>
    <n v="14024"/>
    <n v="999"/>
    <n v="3691692729"/>
    <n v="15123690"/>
    <n v="-3.4032449544914898"/>
    <x v="1202"/>
    <x v="0"/>
    <x v="1"/>
    <x v="1"/>
  </r>
  <r>
    <x v="2117"/>
    <s v="ZODIAC CLOTHING CO. LTD."/>
    <n v="66.56"/>
    <n v="66.56"/>
    <n v="60.2"/>
    <n v="61.15"/>
    <n v="66.56"/>
    <n v="33021"/>
    <n v="683"/>
    <n v="1589515795"/>
    <n v="25993717"/>
    <n v="-8.1280048076923137"/>
    <x v="1676"/>
    <x v="0"/>
    <x v="1"/>
    <x v="1"/>
  </r>
  <r>
    <x v="2118"/>
    <s v="ZOTA HEALTH CARE LIMITED"/>
    <n v="1095"/>
    <n v="1095"/>
    <n v="1026.2"/>
    <n v="1043.0999999999999"/>
    <n v="1097.4000000000001"/>
    <n v="59843"/>
    <n v="3382"/>
    <n v="34601088383"/>
    <n v="33171401"/>
    <n v="-4.948059048660487"/>
    <x v="1677"/>
    <x v="0"/>
    <x v="1"/>
    <x v="1"/>
  </r>
  <r>
    <x v="2119"/>
    <s v="ZUARI AGRO CHEMICALS LTD"/>
    <n v="195"/>
    <n v="196.39"/>
    <n v="185"/>
    <n v="185.75"/>
    <n v="197.42"/>
    <n v="204074"/>
    <n v="3886"/>
    <n v="7812274615"/>
    <n v="42058006"/>
    <n v="-5.9112551919764913"/>
    <x v="1678"/>
    <x v="0"/>
    <x v="1"/>
    <x v="1"/>
  </r>
  <r>
    <x v="2120"/>
    <s v="ZUARI INDUSTRIES LIMITED"/>
    <n v="226.55"/>
    <n v="232.95"/>
    <n v="214.05"/>
    <n v="215.75"/>
    <n v="230.45"/>
    <n v="107938"/>
    <n v="2823"/>
    <n v="6425290448"/>
    <n v="29781184"/>
    <n v="-6.3788240399218878"/>
    <x v="1067"/>
    <x v="0"/>
    <x v="1"/>
    <x v="1"/>
  </r>
  <r>
    <x v="2121"/>
    <s v="ZYDUS WELLNESS LIMITED"/>
    <n v="415"/>
    <n v="418.45"/>
    <n v="404.25"/>
    <n v="414.45"/>
    <n v="424.65"/>
    <n v="272662"/>
    <n v="14367"/>
    <n v="132000000000"/>
    <n v="318160720"/>
    <n v="-2.4019780996114419"/>
    <x v="1103"/>
    <x v="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AC41B-06FF-4F81-B07D-5CC9A97A6A4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5" firstHeaderRow="1" firstDataRow="1" firstDataCol="1"/>
  <pivotFields count="16">
    <pivotField dataField="1" showAll="0">
      <items count="2123">
        <item x="100"/>
        <item x="101"/>
        <item x="102"/>
        <item x="103"/>
        <item x="104"/>
        <item x="105"/>
        <item x="106"/>
        <item x="107"/>
        <item x="108"/>
        <item x="109"/>
        <item x="110"/>
        <item x="111"/>
        <item x="112"/>
        <item x="113"/>
        <item x="114"/>
        <item x="115"/>
        <item x="116"/>
        <item x="117"/>
        <item x="118"/>
        <item x="119"/>
        <item x="50"/>
        <item x="120"/>
        <item x="121"/>
        <item x="122"/>
        <item x="123"/>
        <item x="124"/>
        <item x="125"/>
        <item x="126"/>
        <item x="127"/>
        <item x="128"/>
        <item x="129"/>
        <item x="130"/>
        <item x="131"/>
        <item x="132"/>
        <item x="133"/>
        <item x="134"/>
        <item x="135"/>
        <item x="136"/>
        <item x="137"/>
        <item x="51"/>
        <item x="0"/>
        <item x="52"/>
        <item x="1"/>
        <item x="53"/>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54"/>
        <item x="207"/>
        <item x="208"/>
        <item x="209"/>
        <item x="210"/>
        <item x="211"/>
        <item x="212"/>
        <item x="213"/>
        <item x="214"/>
        <item x="215"/>
        <item x="216"/>
        <item x="217"/>
        <item x="218"/>
        <item x="219"/>
        <item x="220"/>
        <item x="221"/>
        <item x="222"/>
        <item x="223"/>
        <item x="224"/>
        <item x="225"/>
        <item x="226"/>
        <item x="227"/>
        <item x="228"/>
        <item x="229"/>
        <item x="230"/>
        <item x="2"/>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3"/>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4"/>
        <item x="307"/>
        <item x="308"/>
        <item x="309"/>
        <item x="310"/>
        <item x="311"/>
        <item x="312"/>
        <item x="313"/>
        <item x="5"/>
        <item x="314"/>
        <item x="315"/>
        <item x="6"/>
        <item x="316"/>
        <item x="55"/>
        <item x="317"/>
        <item x="56"/>
        <item x="318"/>
        <item x="319"/>
        <item x="7"/>
        <item x="320"/>
        <item x="321"/>
        <item x="322"/>
        <item x="323"/>
        <item x="324"/>
        <item x="325"/>
        <item x="326"/>
        <item x="327"/>
        <item x="328"/>
        <item x="329"/>
        <item x="330"/>
        <item x="331"/>
        <item x="332"/>
        <item x="333"/>
        <item x="334"/>
        <item x="335"/>
        <item x="57"/>
        <item x="336"/>
        <item x="337"/>
        <item x="338"/>
        <item x="339"/>
        <item x="340"/>
        <item x="341"/>
        <item x="342"/>
        <item x="343"/>
        <item x="344"/>
        <item x="345"/>
        <item x="346"/>
        <item x="347"/>
        <item x="348"/>
        <item x="349"/>
        <item x="350"/>
        <item x="351"/>
        <item x="8"/>
        <item x="352"/>
        <item x="353"/>
        <item x="354"/>
        <item x="355"/>
        <item x="356"/>
        <item x="357"/>
        <item x="358"/>
        <item x="359"/>
        <item x="360"/>
        <item x="361"/>
        <item x="362"/>
        <item x="363"/>
        <item x="364"/>
        <item x="365"/>
        <item x="366"/>
        <item x="367"/>
        <item x="368"/>
        <item x="9"/>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58"/>
        <item x="59"/>
        <item x="399"/>
        <item x="400"/>
        <item x="401"/>
        <item x="60"/>
        <item x="402"/>
        <item x="403"/>
        <item x="404"/>
        <item x="405"/>
        <item x="406"/>
        <item x="407"/>
        <item x="408"/>
        <item x="409"/>
        <item x="410"/>
        <item x="411"/>
        <item x="412"/>
        <item x="413"/>
        <item x="414"/>
        <item x="415"/>
        <item x="416"/>
        <item x="61"/>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62"/>
        <item x="451"/>
        <item x="452"/>
        <item x="453"/>
        <item x="454"/>
        <item x="455"/>
        <item x="456"/>
        <item x="457"/>
        <item x="458"/>
        <item x="459"/>
        <item x="460"/>
        <item x="63"/>
        <item x="461"/>
        <item x="462"/>
        <item x="463"/>
        <item x="464"/>
        <item x="465"/>
        <item x="466"/>
        <item x="10"/>
        <item x="467"/>
        <item x="468"/>
        <item x="469"/>
        <item x="470"/>
        <item x="471"/>
        <item x="1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64"/>
        <item x="571"/>
        <item x="65"/>
        <item x="572"/>
        <item x="66"/>
        <item x="573"/>
        <item x="574"/>
        <item x="575"/>
        <item x="576"/>
        <item x="577"/>
        <item x="578"/>
        <item x="579"/>
        <item x="580"/>
        <item x="581"/>
        <item x="582"/>
        <item x="583"/>
        <item x="584"/>
        <item x="585"/>
        <item x="586"/>
        <item x="12"/>
        <item x="587"/>
        <item x="588"/>
        <item x="589"/>
        <item x="590"/>
        <item x="591"/>
        <item x="592"/>
        <item x="593"/>
        <item x="594"/>
        <item x="595"/>
        <item x="596"/>
        <item x="597"/>
        <item x="598"/>
        <item x="599"/>
        <item x="600"/>
        <item x="601"/>
        <item x="13"/>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7"/>
        <item x="631"/>
        <item x="632"/>
        <item x="633"/>
        <item x="634"/>
        <item x="635"/>
        <item x="636"/>
        <item x="637"/>
        <item x="638"/>
        <item x="639"/>
        <item x="640"/>
        <item x="641"/>
        <item x="642"/>
        <item x="643"/>
        <item x="14"/>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8"/>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69"/>
        <item x="756"/>
        <item x="757"/>
        <item x="758"/>
        <item x="759"/>
        <item x="760"/>
        <item x="761"/>
        <item x="762"/>
        <item x="763"/>
        <item x="764"/>
        <item x="765"/>
        <item x="766"/>
        <item x="767"/>
        <item x="768"/>
        <item x="769"/>
        <item x="770"/>
        <item x="15"/>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70"/>
        <item x="804"/>
        <item x="805"/>
        <item x="806"/>
        <item x="807"/>
        <item x="808"/>
        <item x="809"/>
        <item x="810"/>
        <item x="811"/>
        <item x="812"/>
        <item x="71"/>
        <item x="813"/>
        <item x="814"/>
        <item x="815"/>
        <item x="816"/>
        <item x="817"/>
        <item x="818"/>
        <item x="16"/>
        <item x="819"/>
        <item x="820"/>
        <item x="17"/>
        <item x="18"/>
        <item x="821"/>
        <item x="822"/>
        <item x="823"/>
        <item x="824"/>
        <item x="825"/>
        <item x="826"/>
        <item x="827"/>
        <item x="828"/>
        <item x="829"/>
        <item x="830"/>
        <item x="831"/>
        <item x="832"/>
        <item x="833"/>
        <item x="834"/>
        <item x="835"/>
        <item x="836"/>
        <item x="837"/>
        <item x="838"/>
        <item x="839"/>
        <item x="19"/>
        <item x="840"/>
        <item x="841"/>
        <item x="842"/>
        <item x="843"/>
        <item x="844"/>
        <item x="20"/>
        <item x="845"/>
        <item x="72"/>
        <item x="846"/>
        <item x="847"/>
        <item x="848"/>
        <item x="849"/>
        <item x="850"/>
        <item x="851"/>
        <item x="852"/>
        <item x="853"/>
        <item x="854"/>
        <item x="855"/>
        <item x="856"/>
        <item x="857"/>
        <item x="858"/>
        <item x="859"/>
        <item x="860"/>
        <item x="861"/>
        <item x="862"/>
        <item x="863"/>
        <item x="864"/>
        <item x="865"/>
        <item x="866"/>
        <item x="867"/>
        <item x="73"/>
        <item x="868"/>
        <item x="869"/>
        <item x="870"/>
        <item x="21"/>
        <item x="74"/>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75"/>
        <item x="900"/>
        <item x="901"/>
        <item x="902"/>
        <item x="903"/>
        <item x="904"/>
        <item x="905"/>
        <item x="906"/>
        <item x="22"/>
        <item x="907"/>
        <item x="908"/>
        <item x="909"/>
        <item x="910"/>
        <item x="911"/>
        <item x="912"/>
        <item x="913"/>
        <item x="914"/>
        <item x="915"/>
        <item x="916"/>
        <item x="917"/>
        <item x="918"/>
        <item x="919"/>
        <item x="920"/>
        <item x="921"/>
        <item x="922"/>
        <item x="923"/>
        <item x="924"/>
        <item x="925"/>
        <item x="926"/>
        <item x="23"/>
        <item x="927"/>
        <item x="928"/>
        <item x="929"/>
        <item x="930"/>
        <item x="931"/>
        <item x="932"/>
        <item x="933"/>
        <item x="934"/>
        <item x="935"/>
        <item x="936"/>
        <item x="937"/>
        <item x="938"/>
        <item x="939"/>
        <item x="940"/>
        <item x="76"/>
        <item x="941"/>
        <item x="942"/>
        <item x="943"/>
        <item x="944"/>
        <item x="945"/>
        <item x="946"/>
        <item x="947"/>
        <item x="948"/>
        <item x="77"/>
        <item x="949"/>
        <item x="950"/>
        <item x="951"/>
        <item x="952"/>
        <item x="953"/>
        <item x="954"/>
        <item x="2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78"/>
        <item x="985"/>
        <item x="986"/>
        <item x="25"/>
        <item x="987"/>
        <item x="988"/>
        <item x="989"/>
        <item x="990"/>
        <item x="991"/>
        <item x="992"/>
        <item x="993"/>
        <item x="994"/>
        <item x="995"/>
        <item x="996"/>
        <item x="997"/>
        <item x="998"/>
        <item x="999"/>
        <item x="1000"/>
        <item x="1001"/>
        <item x="1002"/>
        <item x="1003"/>
        <item x="1004"/>
        <item x="1005"/>
        <item x="79"/>
        <item x="1006"/>
        <item x="1007"/>
        <item x="26"/>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27"/>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80"/>
        <item x="1128"/>
        <item x="1129"/>
        <item x="1130"/>
        <item x="1131"/>
        <item x="1132"/>
        <item x="1133"/>
        <item x="1134"/>
        <item x="1135"/>
        <item x="81"/>
        <item x="1136"/>
        <item x="1137"/>
        <item x="1138"/>
        <item x="1139"/>
        <item x="1140"/>
        <item x="1141"/>
        <item x="28"/>
        <item x="1142"/>
        <item x="1143"/>
        <item x="82"/>
        <item x="1144"/>
        <item x="1145"/>
        <item x="1146"/>
        <item x="1147"/>
        <item x="1148"/>
        <item x="1149"/>
        <item x="1150"/>
        <item x="1151"/>
        <item x="29"/>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30"/>
        <item x="1195"/>
        <item x="1196"/>
        <item x="1197"/>
        <item x="1198"/>
        <item x="1199"/>
        <item x="1200"/>
        <item x="1201"/>
        <item x="31"/>
        <item x="1202"/>
        <item x="1203"/>
        <item x="1204"/>
        <item x="83"/>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84"/>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85"/>
        <item x="1297"/>
        <item x="1298"/>
        <item x="1299"/>
        <item x="1300"/>
        <item x="1301"/>
        <item x="1302"/>
        <item x="1303"/>
        <item x="1304"/>
        <item x="1305"/>
        <item x="1306"/>
        <item x="1307"/>
        <item x="1308"/>
        <item x="1309"/>
        <item x="1310"/>
        <item x="1311"/>
        <item x="1312"/>
        <item x="1313"/>
        <item x="1314"/>
        <item x="1315"/>
        <item x="1316"/>
        <item x="1317"/>
        <item x="1318"/>
        <item x="32"/>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33"/>
        <item x="1357"/>
        <item x="1358"/>
        <item x="1359"/>
        <item x="1360"/>
        <item x="1361"/>
        <item x="1362"/>
        <item x="1363"/>
        <item x="1364"/>
        <item x="1365"/>
        <item x="1366"/>
        <item x="1367"/>
        <item x="1368"/>
        <item x="1369"/>
        <item x="1370"/>
        <item x="1371"/>
        <item x="1372"/>
        <item x="1373"/>
        <item x="1374"/>
        <item x="1375"/>
        <item x="1376"/>
        <item x="1377"/>
        <item x="1378"/>
        <item x="1379"/>
        <item x="1380"/>
        <item x="34"/>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86"/>
        <item x="1439"/>
        <item x="1440"/>
        <item x="1441"/>
        <item x="1442"/>
        <item x="1443"/>
        <item x="1444"/>
        <item x="1445"/>
        <item x="1446"/>
        <item x="1447"/>
        <item x="87"/>
        <item x="1448"/>
        <item x="1449"/>
        <item x="1450"/>
        <item x="1451"/>
        <item x="1452"/>
        <item x="1453"/>
        <item x="1454"/>
        <item x="1455"/>
        <item x="1456"/>
        <item x="1457"/>
        <item x="1458"/>
        <item x="1459"/>
        <item x="1460"/>
        <item x="88"/>
        <item x="1461"/>
        <item x="1462"/>
        <item x="1463"/>
        <item x="1464"/>
        <item x="1465"/>
        <item x="1466"/>
        <item x="1467"/>
        <item x="1468"/>
        <item x="1469"/>
        <item x="1470"/>
        <item x="1471"/>
        <item x="1472"/>
        <item x="1473"/>
        <item x="1474"/>
        <item x="1475"/>
        <item x="3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89"/>
        <item x="1558"/>
        <item x="1559"/>
        <item x="1560"/>
        <item x="1561"/>
        <item x="1562"/>
        <item x="1563"/>
        <item x="1564"/>
        <item x="1565"/>
        <item x="36"/>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37"/>
        <item x="3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90"/>
        <item x="1723"/>
        <item x="1724"/>
        <item x="1725"/>
        <item x="1726"/>
        <item x="1727"/>
        <item x="1728"/>
        <item x="39"/>
        <item x="1729"/>
        <item x="1730"/>
        <item x="1731"/>
        <item x="1732"/>
        <item x="91"/>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92"/>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40"/>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41"/>
        <item x="1885"/>
        <item x="1886"/>
        <item x="93"/>
        <item x="42"/>
        <item x="1887"/>
        <item x="1888"/>
        <item x="1889"/>
        <item x="1890"/>
        <item x="1891"/>
        <item x="1892"/>
        <item x="1893"/>
        <item x="1894"/>
        <item x="43"/>
        <item x="1895"/>
        <item x="1896"/>
        <item x="1897"/>
        <item x="44"/>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45"/>
        <item x="1934"/>
        <item x="1935"/>
        <item x="46"/>
        <item x="1936"/>
        <item x="1937"/>
        <item x="1938"/>
        <item x="1939"/>
        <item x="1940"/>
        <item x="94"/>
        <item x="1941"/>
        <item x="1942"/>
        <item x="1943"/>
        <item x="1944"/>
        <item x="1945"/>
        <item x="1946"/>
        <item x="1947"/>
        <item x="1948"/>
        <item x="1949"/>
        <item x="1950"/>
        <item x="1951"/>
        <item x="47"/>
        <item x="1952"/>
        <item x="1953"/>
        <item x="1954"/>
        <item x="1955"/>
        <item x="1956"/>
        <item x="1957"/>
        <item x="1958"/>
        <item x="1959"/>
        <item x="1960"/>
        <item x="1961"/>
        <item x="1962"/>
        <item x="1963"/>
        <item x="1964"/>
        <item x="95"/>
        <item x="1965"/>
        <item x="1966"/>
        <item x="1967"/>
        <item x="1968"/>
        <item x="1969"/>
        <item x="1970"/>
        <item x="1971"/>
        <item x="1972"/>
        <item x="1973"/>
        <item x="1974"/>
        <item x="1975"/>
        <item x="1976"/>
        <item x="1977"/>
        <item x="1978"/>
        <item x="48"/>
        <item x="1979"/>
        <item x="1980"/>
        <item x="1981"/>
        <item x="1982"/>
        <item x="1983"/>
        <item x="1984"/>
        <item x="1985"/>
        <item x="1986"/>
        <item x="1987"/>
        <item x="1988"/>
        <item x="96"/>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97"/>
        <item x="2016"/>
        <item x="98"/>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49"/>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99"/>
        <item x="21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4">
        <item x="0"/>
        <item x="2"/>
        <item x="1"/>
        <item t="default"/>
      </items>
    </pivotField>
    <pivotField showAll="0">
      <items count="3">
        <item x="0"/>
        <item x="1"/>
        <item t="default"/>
      </items>
    </pivotField>
  </pivotFields>
  <rowFields count="1">
    <field x="13"/>
  </rowFields>
  <rowItems count="2">
    <i>
      <x/>
    </i>
    <i>
      <x v="1"/>
    </i>
  </rowItems>
  <colItems count="1">
    <i/>
  </colItems>
  <dataFields count="1">
    <dataField name="Count of SYMBOL"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3" count="1" selected="0">
            <x v="0"/>
          </reference>
        </references>
      </pivotArea>
    </chartFormat>
    <chartFormat chart="4" format="5">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3" count="1" selected="0">
            <x v="0"/>
          </reference>
        </references>
      </pivotArea>
    </chartFormat>
    <chartFormat chart="6"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576047-4581-439A-BB37-E98A872946E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Stoks">
  <location ref="A28:B38" firstHeaderRow="1" firstDataRow="1" firstDataCol="1"/>
  <pivotFields count="16">
    <pivotField axis="axisRow" showAll="0" measureFilter="1" sortType="descending">
      <items count="2123">
        <item x="100"/>
        <item x="101"/>
        <item x="102"/>
        <item x="103"/>
        <item x="104"/>
        <item x="105"/>
        <item x="106"/>
        <item x="107"/>
        <item x="108"/>
        <item x="109"/>
        <item x="110"/>
        <item x="111"/>
        <item x="112"/>
        <item x="113"/>
        <item x="114"/>
        <item x="115"/>
        <item x="116"/>
        <item x="117"/>
        <item x="118"/>
        <item x="119"/>
        <item x="50"/>
        <item x="120"/>
        <item x="121"/>
        <item x="122"/>
        <item x="123"/>
        <item x="124"/>
        <item x="125"/>
        <item x="126"/>
        <item x="127"/>
        <item x="128"/>
        <item x="129"/>
        <item x="130"/>
        <item x="131"/>
        <item x="132"/>
        <item x="133"/>
        <item x="134"/>
        <item x="135"/>
        <item x="136"/>
        <item x="137"/>
        <item x="51"/>
        <item x="0"/>
        <item x="52"/>
        <item x="1"/>
        <item x="53"/>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54"/>
        <item x="207"/>
        <item x="208"/>
        <item x="209"/>
        <item x="210"/>
        <item x="211"/>
        <item x="212"/>
        <item x="213"/>
        <item x="214"/>
        <item x="215"/>
        <item x="216"/>
        <item x="217"/>
        <item x="218"/>
        <item x="219"/>
        <item x="220"/>
        <item x="221"/>
        <item x="222"/>
        <item x="223"/>
        <item x="224"/>
        <item x="225"/>
        <item x="226"/>
        <item x="227"/>
        <item x="228"/>
        <item x="229"/>
        <item x="230"/>
        <item x="2"/>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3"/>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4"/>
        <item x="307"/>
        <item x="308"/>
        <item x="309"/>
        <item x="310"/>
        <item x="311"/>
        <item x="312"/>
        <item x="313"/>
        <item x="5"/>
        <item x="314"/>
        <item x="315"/>
        <item x="6"/>
        <item x="316"/>
        <item x="55"/>
        <item x="317"/>
        <item x="56"/>
        <item x="318"/>
        <item x="319"/>
        <item x="7"/>
        <item x="320"/>
        <item x="321"/>
        <item x="322"/>
        <item x="323"/>
        <item x="324"/>
        <item x="325"/>
        <item x="326"/>
        <item x="327"/>
        <item x="328"/>
        <item x="329"/>
        <item x="330"/>
        <item x="331"/>
        <item x="332"/>
        <item x="333"/>
        <item x="334"/>
        <item x="335"/>
        <item x="57"/>
        <item x="336"/>
        <item x="337"/>
        <item x="338"/>
        <item x="339"/>
        <item x="340"/>
        <item x="341"/>
        <item x="342"/>
        <item x="343"/>
        <item x="344"/>
        <item x="345"/>
        <item x="346"/>
        <item x="347"/>
        <item x="348"/>
        <item x="349"/>
        <item x="350"/>
        <item x="351"/>
        <item x="8"/>
        <item x="352"/>
        <item x="353"/>
        <item x="354"/>
        <item x="355"/>
        <item x="356"/>
        <item x="357"/>
        <item x="358"/>
        <item x="359"/>
        <item x="360"/>
        <item x="361"/>
        <item x="362"/>
        <item x="363"/>
        <item x="364"/>
        <item x="365"/>
        <item x="366"/>
        <item x="367"/>
        <item x="368"/>
        <item x="9"/>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58"/>
        <item x="59"/>
        <item x="399"/>
        <item x="400"/>
        <item x="401"/>
        <item x="60"/>
        <item x="402"/>
        <item x="403"/>
        <item x="404"/>
        <item x="405"/>
        <item x="406"/>
        <item x="407"/>
        <item x="408"/>
        <item x="409"/>
        <item x="410"/>
        <item x="411"/>
        <item x="412"/>
        <item x="413"/>
        <item x="414"/>
        <item x="415"/>
        <item x="416"/>
        <item x="61"/>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62"/>
        <item x="451"/>
        <item x="452"/>
        <item x="453"/>
        <item x="454"/>
        <item x="455"/>
        <item x="456"/>
        <item x="457"/>
        <item x="458"/>
        <item x="459"/>
        <item x="460"/>
        <item x="63"/>
        <item x="461"/>
        <item x="462"/>
        <item x="463"/>
        <item x="464"/>
        <item x="465"/>
        <item x="466"/>
        <item x="10"/>
        <item x="467"/>
        <item x="468"/>
        <item x="469"/>
        <item x="470"/>
        <item x="471"/>
        <item x="1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64"/>
        <item x="571"/>
        <item x="65"/>
        <item x="572"/>
        <item x="66"/>
        <item x="573"/>
        <item x="574"/>
        <item x="575"/>
        <item x="576"/>
        <item x="577"/>
        <item x="578"/>
        <item x="579"/>
        <item x="580"/>
        <item x="581"/>
        <item x="582"/>
        <item x="583"/>
        <item x="584"/>
        <item x="585"/>
        <item x="586"/>
        <item x="12"/>
        <item x="587"/>
        <item x="588"/>
        <item x="589"/>
        <item x="590"/>
        <item x="591"/>
        <item x="592"/>
        <item x="593"/>
        <item x="594"/>
        <item x="595"/>
        <item x="596"/>
        <item x="597"/>
        <item x="598"/>
        <item x="599"/>
        <item x="600"/>
        <item x="601"/>
        <item x="13"/>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7"/>
        <item x="631"/>
        <item x="632"/>
        <item x="633"/>
        <item x="634"/>
        <item x="635"/>
        <item x="636"/>
        <item x="637"/>
        <item x="638"/>
        <item x="639"/>
        <item x="640"/>
        <item x="641"/>
        <item x="642"/>
        <item x="643"/>
        <item x="14"/>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8"/>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69"/>
        <item x="756"/>
        <item x="757"/>
        <item x="758"/>
        <item x="759"/>
        <item x="760"/>
        <item x="761"/>
        <item x="762"/>
        <item x="763"/>
        <item x="764"/>
        <item x="765"/>
        <item x="766"/>
        <item x="767"/>
        <item x="768"/>
        <item x="769"/>
        <item x="770"/>
        <item x="15"/>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70"/>
        <item x="804"/>
        <item x="805"/>
        <item x="806"/>
        <item x="807"/>
        <item x="808"/>
        <item x="809"/>
        <item x="810"/>
        <item x="811"/>
        <item x="812"/>
        <item x="71"/>
        <item x="813"/>
        <item x="814"/>
        <item x="815"/>
        <item x="816"/>
        <item x="817"/>
        <item x="818"/>
        <item x="16"/>
        <item x="819"/>
        <item x="820"/>
        <item x="17"/>
        <item x="18"/>
        <item x="821"/>
        <item x="822"/>
        <item x="823"/>
        <item x="824"/>
        <item x="825"/>
        <item x="826"/>
        <item x="827"/>
        <item x="828"/>
        <item x="829"/>
        <item x="830"/>
        <item x="831"/>
        <item x="832"/>
        <item x="833"/>
        <item x="834"/>
        <item x="835"/>
        <item x="836"/>
        <item x="837"/>
        <item x="838"/>
        <item x="839"/>
        <item x="19"/>
        <item x="840"/>
        <item x="841"/>
        <item x="842"/>
        <item x="843"/>
        <item x="844"/>
        <item x="20"/>
        <item x="845"/>
        <item x="72"/>
        <item x="846"/>
        <item x="847"/>
        <item x="848"/>
        <item x="849"/>
        <item x="850"/>
        <item x="851"/>
        <item x="852"/>
        <item x="853"/>
        <item x="854"/>
        <item x="855"/>
        <item x="856"/>
        <item x="857"/>
        <item x="858"/>
        <item x="859"/>
        <item x="860"/>
        <item x="861"/>
        <item x="862"/>
        <item x="863"/>
        <item x="864"/>
        <item x="865"/>
        <item x="866"/>
        <item x="867"/>
        <item x="73"/>
        <item x="868"/>
        <item x="869"/>
        <item x="870"/>
        <item x="21"/>
        <item x="74"/>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75"/>
        <item x="900"/>
        <item x="901"/>
        <item x="902"/>
        <item x="903"/>
        <item x="904"/>
        <item x="905"/>
        <item x="906"/>
        <item x="22"/>
        <item x="907"/>
        <item x="908"/>
        <item x="909"/>
        <item x="910"/>
        <item x="911"/>
        <item x="912"/>
        <item x="913"/>
        <item x="914"/>
        <item x="915"/>
        <item x="916"/>
        <item x="917"/>
        <item x="918"/>
        <item x="919"/>
        <item x="920"/>
        <item x="921"/>
        <item x="922"/>
        <item x="923"/>
        <item x="924"/>
        <item x="925"/>
        <item x="926"/>
        <item x="23"/>
        <item x="927"/>
        <item x="928"/>
        <item x="929"/>
        <item x="930"/>
        <item x="931"/>
        <item x="932"/>
        <item x="933"/>
        <item x="934"/>
        <item x="935"/>
        <item x="936"/>
        <item x="937"/>
        <item x="938"/>
        <item x="939"/>
        <item x="940"/>
        <item x="76"/>
        <item x="941"/>
        <item x="942"/>
        <item x="943"/>
        <item x="944"/>
        <item x="945"/>
        <item x="946"/>
        <item x="947"/>
        <item x="948"/>
        <item x="77"/>
        <item x="949"/>
        <item x="950"/>
        <item x="951"/>
        <item x="952"/>
        <item x="953"/>
        <item x="954"/>
        <item x="2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78"/>
        <item x="985"/>
        <item x="986"/>
        <item x="25"/>
        <item x="987"/>
        <item x="988"/>
        <item x="989"/>
        <item x="990"/>
        <item x="991"/>
        <item x="992"/>
        <item x="993"/>
        <item x="994"/>
        <item x="995"/>
        <item x="996"/>
        <item x="997"/>
        <item x="998"/>
        <item x="999"/>
        <item x="1000"/>
        <item x="1001"/>
        <item x="1002"/>
        <item x="1003"/>
        <item x="1004"/>
        <item x="1005"/>
        <item x="79"/>
        <item x="1006"/>
        <item x="1007"/>
        <item x="26"/>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27"/>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80"/>
        <item x="1128"/>
        <item x="1129"/>
        <item x="1130"/>
        <item x="1131"/>
        <item x="1132"/>
        <item x="1133"/>
        <item x="1134"/>
        <item x="1135"/>
        <item x="81"/>
        <item x="1136"/>
        <item x="1137"/>
        <item x="1138"/>
        <item x="1139"/>
        <item x="1140"/>
        <item x="1141"/>
        <item x="28"/>
        <item x="1142"/>
        <item x="1143"/>
        <item x="82"/>
        <item x="1144"/>
        <item x="1145"/>
        <item x="1146"/>
        <item x="1147"/>
        <item x="1148"/>
        <item x="1149"/>
        <item x="1150"/>
        <item x="1151"/>
        <item x="29"/>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30"/>
        <item x="1195"/>
        <item x="1196"/>
        <item x="1197"/>
        <item x="1198"/>
        <item x="1199"/>
        <item x="1200"/>
        <item x="1201"/>
        <item x="31"/>
        <item x="1202"/>
        <item x="1203"/>
        <item x="1204"/>
        <item x="83"/>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84"/>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85"/>
        <item x="1297"/>
        <item x="1298"/>
        <item x="1299"/>
        <item x="1300"/>
        <item x="1301"/>
        <item x="1302"/>
        <item x="1303"/>
        <item x="1304"/>
        <item x="1305"/>
        <item x="1306"/>
        <item x="1307"/>
        <item x="1308"/>
        <item x="1309"/>
        <item x="1310"/>
        <item x="1311"/>
        <item x="1312"/>
        <item x="1313"/>
        <item x="1314"/>
        <item x="1315"/>
        <item x="1316"/>
        <item x="1317"/>
        <item x="1318"/>
        <item x="32"/>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33"/>
        <item x="1357"/>
        <item x="1358"/>
        <item x="1359"/>
        <item x="1360"/>
        <item x="1361"/>
        <item x="1362"/>
        <item x="1363"/>
        <item x="1364"/>
        <item x="1365"/>
        <item x="1366"/>
        <item x="1367"/>
        <item x="1368"/>
        <item x="1369"/>
        <item x="1370"/>
        <item x="1371"/>
        <item x="1372"/>
        <item x="1373"/>
        <item x="1374"/>
        <item x="1375"/>
        <item x="1376"/>
        <item x="1377"/>
        <item x="1378"/>
        <item x="1379"/>
        <item x="1380"/>
        <item x="34"/>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86"/>
        <item x="1439"/>
        <item x="1440"/>
        <item x="1441"/>
        <item x="1442"/>
        <item x="1443"/>
        <item x="1444"/>
        <item x="1445"/>
        <item x="1446"/>
        <item x="1447"/>
        <item x="87"/>
        <item x="1448"/>
        <item x="1449"/>
        <item x="1450"/>
        <item x="1451"/>
        <item x="1452"/>
        <item x="1453"/>
        <item x="1454"/>
        <item x="1455"/>
        <item x="1456"/>
        <item x="1457"/>
        <item x="1458"/>
        <item x="1459"/>
        <item x="1460"/>
        <item x="88"/>
        <item x="1461"/>
        <item x="1462"/>
        <item x="1463"/>
        <item x="1464"/>
        <item x="1465"/>
        <item x="1466"/>
        <item x="1467"/>
        <item x="1468"/>
        <item x="1469"/>
        <item x="1470"/>
        <item x="1471"/>
        <item x="1472"/>
        <item x="1473"/>
        <item x="1474"/>
        <item x="1475"/>
        <item x="3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89"/>
        <item x="1558"/>
        <item x="1559"/>
        <item x="1560"/>
        <item x="1561"/>
        <item x="1562"/>
        <item x="1563"/>
        <item x="1564"/>
        <item x="1565"/>
        <item x="36"/>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37"/>
        <item x="3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90"/>
        <item x="1723"/>
        <item x="1724"/>
        <item x="1725"/>
        <item x="1726"/>
        <item x="1727"/>
        <item x="1728"/>
        <item x="39"/>
        <item x="1729"/>
        <item x="1730"/>
        <item x="1731"/>
        <item x="1732"/>
        <item x="91"/>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92"/>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40"/>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41"/>
        <item x="1885"/>
        <item x="1886"/>
        <item x="93"/>
        <item x="42"/>
        <item x="1887"/>
        <item x="1888"/>
        <item x="1889"/>
        <item x="1890"/>
        <item x="1891"/>
        <item x="1892"/>
        <item x="1893"/>
        <item x="1894"/>
        <item x="43"/>
        <item x="1895"/>
        <item x="1896"/>
        <item x="1897"/>
        <item x="44"/>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45"/>
        <item x="1934"/>
        <item x="1935"/>
        <item x="46"/>
        <item x="1936"/>
        <item x="1937"/>
        <item x="1938"/>
        <item x="1939"/>
        <item x="1940"/>
        <item x="94"/>
        <item x="1941"/>
        <item x="1942"/>
        <item x="1943"/>
        <item x="1944"/>
        <item x="1945"/>
        <item x="1946"/>
        <item x="1947"/>
        <item x="1948"/>
        <item x="1949"/>
        <item x="1950"/>
        <item x="1951"/>
        <item x="47"/>
        <item x="1952"/>
        <item x="1953"/>
        <item x="1954"/>
        <item x="1955"/>
        <item x="1956"/>
        <item x="1957"/>
        <item x="1958"/>
        <item x="1959"/>
        <item x="1960"/>
        <item x="1961"/>
        <item x="1962"/>
        <item x="1963"/>
        <item x="1964"/>
        <item x="95"/>
        <item x="1965"/>
        <item x="1966"/>
        <item x="1967"/>
        <item x="1968"/>
        <item x="1969"/>
        <item x="1970"/>
        <item x="1971"/>
        <item x="1972"/>
        <item x="1973"/>
        <item x="1974"/>
        <item x="1975"/>
        <item x="1976"/>
        <item x="1977"/>
        <item x="1978"/>
        <item x="48"/>
        <item x="1979"/>
        <item x="1980"/>
        <item x="1981"/>
        <item x="1982"/>
        <item x="1983"/>
        <item x="1984"/>
        <item x="1985"/>
        <item x="1986"/>
        <item x="1987"/>
        <item x="1988"/>
        <item x="96"/>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97"/>
        <item x="2016"/>
        <item x="98"/>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49"/>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99"/>
        <item x="21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items count="1680">
        <item x="227"/>
        <item x="617"/>
        <item x="177"/>
        <item x="277"/>
        <item x="649"/>
        <item x="716"/>
        <item x="603"/>
        <item x="1107"/>
        <item x="1601"/>
        <item x="1613"/>
        <item x="613"/>
        <item x="213"/>
        <item x="1483"/>
        <item x="1052"/>
        <item x="645"/>
        <item x="1624"/>
        <item x="1346"/>
        <item x="129"/>
        <item x="551"/>
        <item x="532"/>
        <item x="909"/>
        <item x="1092"/>
        <item x="1273"/>
        <item x="179"/>
        <item x="992"/>
        <item x="675"/>
        <item x="346"/>
        <item x="1166"/>
        <item x="1242"/>
        <item x="1128"/>
        <item x="732"/>
        <item x="173"/>
        <item x="624"/>
        <item x="1500"/>
        <item x="1053"/>
        <item x="123"/>
        <item x="899"/>
        <item x="486"/>
        <item x="1672"/>
        <item x="1625"/>
        <item x="1586"/>
        <item x="942"/>
        <item x="1329"/>
        <item x="266"/>
        <item x="1362"/>
        <item x="537"/>
        <item x="1270"/>
        <item x="450"/>
        <item x="1466"/>
        <item x="460"/>
        <item x="715"/>
        <item x="1415"/>
        <item x="609"/>
        <item x="189"/>
        <item x="1267"/>
        <item x="1390"/>
        <item x="1331"/>
        <item x="1446"/>
        <item x="1596"/>
        <item x="960"/>
        <item x="489"/>
        <item x="211"/>
        <item x="1589"/>
        <item x="300"/>
        <item x="176"/>
        <item x="593"/>
        <item x="911"/>
        <item x="654"/>
        <item x="301"/>
        <item x="466"/>
        <item x="1385"/>
        <item x="1159"/>
        <item x="983"/>
        <item x="556"/>
        <item x="1177"/>
        <item x="990"/>
        <item x="1198"/>
        <item x="1469"/>
        <item x="380"/>
        <item x="626"/>
        <item x="310"/>
        <item x="259"/>
        <item x="529"/>
        <item x="1418"/>
        <item x="945"/>
        <item x="193"/>
        <item x="182"/>
        <item x="175"/>
        <item x="600"/>
        <item x="511"/>
        <item x="739"/>
        <item x="311"/>
        <item x="814"/>
        <item x="891"/>
        <item x="239"/>
        <item x="1491"/>
        <item x="545"/>
        <item x="725"/>
        <item x="819"/>
        <item x="1535"/>
        <item x="913"/>
        <item x="703"/>
        <item x="769"/>
        <item x="139"/>
        <item x="1543"/>
        <item x="1347"/>
        <item x="168"/>
        <item x="495"/>
        <item x="1211"/>
        <item x="386"/>
        <item x="844"/>
        <item x="714"/>
        <item x="407"/>
        <item x="1303"/>
        <item x="391"/>
        <item x="1668"/>
        <item x="1278"/>
        <item x="547"/>
        <item x="1173"/>
        <item x="229"/>
        <item x="156"/>
        <item x="1451"/>
        <item x="251"/>
        <item x="653"/>
        <item x="413"/>
        <item x="1071"/>
        <item x="1026"/>
        <item x="1555"/>
        <item x="304"/>
        <item x="101"/>
        <item x="1379"/>
        <item x="1409"/>
        <item x="1411"/>
        <item x="99"/>
        <item x="958"/>
        <item x="735"/>
        <item x="902"/>
        <item x="1083"/>
        <item x="1250"/>
        <item x="508"/>
        <item x="528"/>
        <item x="1344"/>
        <item x="1252"/>
        <item x="451"/>
        <item x="1449"/>
        <item x="1394"/>
        <item x="935"/>
        <item x="289"/>
        <item x="760"/>
        <item x="192"/>
        <item x="583"/>
        <item x="1182"/>
        <item x="1421"/>
        <item x="408"/>
        <item x="417"/>
        <item x="1328"/>
        <item x="720"/>
        <item x="148"/>
        <item x="659"/>
        <item x="1079"/>
        <item x="585"/>
        <item x="1564"/>
        <item x="713"/>
        <item x="307"/>
        <item x="1193"/>
        <item x="860"/>
        <item x="1038"/>
        <item x="1154"/>
        <item x="723"/>
        <item x="1416"/>
        <item x="1298"/>
        <item x="862"/>
        <item x="1621"/>
        <item x="334"/>
        <item x="673"/>
        <item x="1337"/>
        <item x="932"/>
        <item x="832"/>
        <item x="518"/>
        <item x="1375"/>
        <item x="1196"/>
        <item x="1619"/>
        <item x="1410"/>
        <item x="479"/>
        <item x="162"/>
        <item x="1120"/>
        <item x="516"/>
        <item x="1255"/>
        <item x="1332"/>
        <item x="1044"/>
        <item x="1068"/>
        <item x="267"/>
        <item x="1253"/>
        <item x="531"/>
        <item x="1373"/>
        <item x="327"/>
        <item x="174"/>
        <item x="131"/>
        <item x="799"/>
        <item x="1321"/>
        <item x="867"/>
        <item x="1049"/>
        <item x="365"/>
        <item x="621"/>
        <item x="1205"/>
        <item x="1627"/>
        <item x="103"/>
        <item x="1024"/>
        <item x="616"/>
        <item x="485"/>
        <item x="1086"/>
        <item x="1534"/>
        <item x="253"/>
        <item x="1200"/>
        <item x="866"/>
        <item x="798"/>
        <item x="1629"/>
        <item x="1247"/>
        <item x="1285"/>
        <item x="751"/>
        <item x="356"/>
        <item x="1333"/>
        <item x="1365"/>
        <item x="1257"/>
        <item x="1239"/>
        <item x="717"/>
        <item x="816"/>
        <item x="807"/>
        <item x="772"/>
        <item x="919"/>
        <item x="1062"/>
        <item x="1502"/>
        <item x="446"/>
        <item x="627"/>
        <item x="321"/>
        <item x="1309"/>
        <item x="552"/>
        <item x="1526"/>
        <item x="1160"/>
        <item x="379"/>
        <item x="1040"/>
        <item x="418"/>
        <item x="1664"/>
        <item x="711"/>
        <item x="1213"/>
        <item x="1175"/>
        <item x="1187"/>
        <item x="1599"/>
        <item x="1141"/>
        <item x="836"/>
        <item x="1050"/>
        <item x="1580"/>
        <item x="271"/>
        <item x="917"/>
        <item x="734"/>
        <item x="347"/>
        <item x="514"/>
        <item x="437"/>
        <item x="1061"/>
        <item x="883"/>
        <item x="1315"/>
        <item x="1367"/>
        <item x="994"/>
        <item x="657"/>
        <item x="1025"/>
        <item x="1622"/>
        <item x="1455"/>
        <item x="1434"/>
        <item x="1146"/>
        <item x="1093"/>
        <item x="1099"/>
        <item x="1171"/>
        <item x="1153"/>
        <item x="1125"/>
        <item x="1151"/>
        <item x="1081"/>
        <item x="679"/>
        <item x="761"/>
        <item x="1220"/>
        <item x="780"/>
        <item x="539"/>
        <item x="1246"/>
        <item x="1176"/>
        <item x="1268"/>
        <item x="513"/>
        <item x="1443"/>
        <item x="1325"/>
        <item x="549"/>
        <item x="664"/>
        <item x="676"/>
        <item x="783"/>
        <item x="1339"/>
        <item x="995"/>
        <item x="1569"/>
        <item x="848"/>
        <item x="1406"/>
        <item x="521"/>
        <item x="501"/>
        <item x="794"/>
        <item x="1005"/>
        <item x="1123"/>
        <item x="590"/>
        <item x="474"/>
        <item x="1076"/>
        <item x="1565"/>
        <item x="937"/>
        <item x="809"/>
        <item x="1450"/>
        <item x="207"/>
        <item x="389"/>
        <item x="1352"/>
        <item x="1291"/>
        <item x="322"/>
        <item x="650"/>
        <item x="1122"/>
        <item x="868"/>
        <item x="977"/>
        <item x="1310"/>
        <item x="1631"/>
        <item x="1554"/>
        <item x="689"/>
        <item x="1056"/>
        <item x="314"/>
        <item x="509"/>
        <item x="758"/>
        <item x="1378"/>
        <item x="628"/>
        <item x="1135"/>
        <item x="208"/>
        <item x="383"/>
        <item x="1222"/>
        <item x="543"/>
        <item x="750"/>
        <item x="546"/>
        <item x="1051"/>
        <item x="187"/>
        <item x="455"/>
        <item x="1003"/>
        <item x="232"/>
        <item x="1461"/>
        <item x="1403"/>
        <item x="851"/>
        <item x="1661"/>
        <item x="1169"/>
        <item x="1431"/>
        <item x="234"/>
        <item x="201"/>
        <item x="565"/>
        <item x="1313"/>
        <item x="1290"/>
        <item x="257"/>
        <item x="857"/>
        <item x="55"/>
        <item x="1180"/>
        <item x="340"/>
        <item x="639"/>
        <item x="766"/>
        <item x="111"/>
        <item x="1106"/>
        <item x="1510"/>
        <item x="559"/>
        <item x="184"/>
        <item x="377"/>
        <item x="1366"/>
        <item x="871"/>
        <item x="1349"/>
        <item x="1532"/>
        <item x="1095"/>
        <item x="124"/>
        <item x="1413"/>
        <item x="1004"/>
        <item x="1623"/>
        <item x="49"/>
        <item x="1480"/>
        <item x="352"/>
        <item x="1033"/>
        <item x="375"/>
        <item x="1612"/>
        <item x="1566"/>
        <item x="210"/>
        <item x="1560"/>
        <item x="968"/>
        <item x="1615"/>
        <item x="1157"/>
        <item x="109"/>
        <item x="746"/>
        <item x="876"/>
        <item x="696"/>
        <item x="1131"/>
        <item x="1579"/>
        <item x="500"/>
        <item x="682"/>
        <item x="1115"/>
        <item x="1578"/>
        <item x="568"/>
        <item x="473"/>
        <item x="106"/>
        <item x="1425"/>
        <item x="1000"/>
        <item x="197"/>
        <item x="1671"/>
        <item x="510"/>
        <item x="199"/>
        <item x="225"/>
        <item x="1460"/>
        <item x="1655"/>
        <item x="1412"/>
        <item x="1544"/>
        <item x="348"/>
        <item x="1110"/>
        <item x="282"/>
        <item x="933"/>
        <item x="1584"/>
        <item x="122"/>
        <item x="1364"/>
        <item x="1260"/>
        <item x="478"/>
        <item x="1138"/>
        <item x="1181"/>
        <item x="361"/>
        <item x="145"/>
        <item x="1318"/>
        <item x="1108"/>
        <item x="1274"/>
        <item x="666"/>
        <item x="1334"/>
        <item x="231"/>
        <item x="1059"/>
        <item x="1399"/>
        <item x="76"/>
        <item x="1660"/>
        <item x="606"/>
        <item x="1514"/>
        <item x="1539"/>
        <item x="1420"/>
        <item x="1404"/>
        <item x="1136"/>
        <item x="194"/>
        <item x="1188"/>
        <item x="1628"/>
        <item x="1389"/>
        <item x="1553"/>
        <item x="1609"/>
        <item x="595"/>
        <item x="1359"/>
        <item x="461"/>
        <item x="1237"/>
        <item x="1085"/>
        <item x="228"/>
        <item x="1402"/>
        <item x="215"/>
        <item x="82"/>
        <item x="1276"/>
        <item x="1632"/>
        <item x="957"/>
        <item x="1644"/>
        <item x="1559"/>
        <item x="1547"/>
        <item x="778"/>
        <item x="169"/>
        <item x="164"/>
        <item x="1031"/>
        <item x="313"/>
        <item x="370"/>
        <item x="75"/>
        <item x="1386"/>
        <item x="1144"/>
        <item x="61"/>
        <item x="1114"/>
        <item x="1293"/>
        <item x="291"/>
        <item x="1156"/>
        <item x="835"/>
        <item x="491"/>
        <item x="856"/>
        <item x="1089"/>
        <item x="1172"/>
        <item x="1199"/>
        <item x="1648"/>
        <item x="1651"/>
        <item x="299"/>
        <item x="395"/>
        <item x="1084"/>
        <item x="573"/>
        <item x="143"/>
        <item x="1008"/>
        <item x="1082"/>
        <item x="390"/>
        <item x="237"/>
        <item x="1259"/>
        <item x="1575"/>
        <item x="1656"/>
        <item x="422"/>
        <item x="1288"/>
        <item x="116"/>
        <item x="151"/>
        <item x="133"/>
        <item x="667"/>
        <item x="1287"/>
        <item x="1345"/>
        <item x="86"/>
        <item x="1577"/>
        <item x="1361"/>
        <item x="454"/>
        <item x="155"/>
        <item x="1456"/>
        <item x="1533"/>
        <item x="894"/>
        <item x="681"/>
        <item x="515"/>
        <item x="1556"/>
        <item x="1186"/>
        <item x="642"/>
        <item x="578"/>
        <item x="589"/>
        <item x="878"/>
        <item x="137"/>
        <item x="323"/>
        <item x="34"/>
        <item x="1150"/>
        <item x="202"/>
        <item x="1463"/>
        <item x="918"/>
        <item x="439"/>
        <item x="1496"/>
        <item x="1006"/>
        <item x="665"/>
        <item x="813"/>
        <item x="1091"/>
        <item x="830"/>
        <item x="493"/>
        <item x="338"/>
        <item x="605"/>
        <item x="1236"/>
        <item x="840"/>
        <item x="806"/>
        <item x="1597"/>
        <item x="333"/>
        <item x="699"/>
        <item x="1384"/>
        <item x="140"/>
        <item x="1531"/>
        <item x="576"/>
        <item x="1297"/>
        <item x="849"/>
        <item x="254"/>
        <item x="290"/>
        <item x="1178"/>
        <item x="393"/>
        <item x="1080"/>
        <item x="325"/>
        <item x="1283"/>
        <item x="1305"/>
        <item x="1667"/>
        <item x="1573"/>
        <item x="959"/>
        <item x="1676"/>
        <item x="966"/>
        <item x="1165"/>
        <item x="1614"/>
        <item x="989"/>
        <item x="636"/>
        <item x="1066"/>
        <item x="1641"/>
        <item x="962"/>
        <item x="252"/>
        <item x="946"/>
        <item x="406"/>
        <item x="1428"/>
        <item x="852"/>
        <item x="562"/>
        <item x="273"/>
        <item x="242"/>
        <item x="786"/>
        <item x="185"/>
        <item x="1464"/>
        <item x="1286"/>
        <item x="1021"/>
        <item x="757"/>
        <item x="695"/>
        <item x="1662"/>
        <item x="1380"/>
        <item x="908"/>
        <item x="707"/>
        <item x="974"/>
        <item x="936"/>
        <item x="661"/>
        <item x="1249"/>
        <item x="108"/>
        <item x="619"/>
        <item x="524"/>
        <item x="428"/>
        <item x="1447"/>
        <item x="268"/>
        <item x="494"/>
        <item x="980"/>
        <item x="1241"/>
        <item x="165"/>
        <item x="530"/>
        <item x="1643"/>
        <item x="1263"/>
        <item x="308"/>
        <item x="931"/>
        <item x="1069"/>
        <item x="14"/>
        <item x="1561"/>
        <item x="838"/>
        <item x="371"/>
        <item x="517"/>
        <item x="236"/>
        <item x="1441"/>
        <item x="498"/>
        <item x="1454"/>
        <item x="797"/>
        <item x="372"/>
        <item x="1170"/>
        <item x="1363"/>
        <item x="381"/>
        <item x="1351"/>
        <item x="317"/>
        <item x="1645"/>
        <item x="42"/>
        <item x="1184"/>
        <item x="970"/>
        <item x="1430"/>
        <item x="705"/>
        <item x="833"/>
        <item x="46"/>
        <item x="818"/>
        <item x="928"/>
        <item x="1610"/>
        <item x="850"/>
        <item x="480"/>
        <item x="67"/>
        <item x="748"/>
        <item x="964"/>
        <item x="260"/>
        <item x="1395"/>
        <item x="1035"/>
        <item x="1400"/>
        <item x="571"/>
        <item x="337"/>
        <item x="672"/>
        <item x="1300"/>
        <item x="163"/>
        <item x="674"/>
        <item x="1100"/>
        <item x="903"/>
        <item x="476"/>
        <item x="646"/>
        <item x="471"/>
        <item x="345"/>
        <item x="1659"/>
        <item x="1633"/>
        <item x="392"/>
        <item x="1218"/>
        <item x="1238"/>
        <item x="901"/>
        <item x="1478"/>
        <item x="885"/>
        <item x="523"/>
        <item x="934"/>
        <item x="651"/>
        <item x="53"/>
        <item x="690"/>
        <item x="742"/>
        <item x="1607"/>
        <item x="965"/>
        <item x="1212"/>
        <item x="847"/>
        <item x="754"/>
        <item x="1168"/>
        <item x="981"/>
        <item x="369"/>
        <item x="1576"/>
        <item x="1102"/>
        <item x="172"/>
        <item x="1063"/>
        <item x="855"/>
        <item x="520"/>
        <item x="788"/>
        <item x="1243"/>
        <item x="618"/>
        <item x="764"/>
        <item x="792"/>
        <item x="982"/>
        <item x="1261"/>
        <item x="297"/>
        <item x="149"/>
        <item x="634"/>
        <item x="1360"/>
        <item x="841"/>
        <item x="1640"/>
        <item x="771"/>
        <item x="1016"/>
        <item x="306"/>
        <item x="1264"/>
        <item x="296"/>
        <item x="350"/>
        <item x="1189"/>
        <item x="359"/>
        <item x="1626"/>
        <item x="1520"/>
        <item x="729"/>
        <item x="1487"/>
        <item x="741"/>
        <item x="1002"/>
        <item x="916"/>
        <item x="497"/>
        <item x="1057"/>
        <item x="1581"/>
        <item x="475"/>
        <item x="1296"/>
        <item x="1499"/>
        <item x="429"/>
        <item x="490"/>
        <item x="226"/>
        <item x="1397"/>
        <item x="1308"/>
        <item x="285"/>
        <item x="1111"/>
        <item x="24"/>
        <item x="607"/>
        <item x="1097"/>
        <item x="1277"/>
        <item x="1312"/>
        <item x="27"/>
        <item x="1479"/>
        <item x="448"/>
        <item x="828"/>
        <item x="221"/>
        <item x="142"/>
        <item x="846"/>
        <item x="1294"/>
        <item x="280"/>
        <item x="209"/>
        <item x="1511"/>
        <item x="98"/>
        <item x="427"/>
        <item x="1557"/>
        <item x="845"/>
        <item x="1563"/>
        <item x="1043"/>
        <item x="1265"/>
        <item x="1042"/>
        <item x="161"/>
        <item x="1227"/>
        <item x="1324"/>
        <item x="465"/>
        <item x="1512"/>
        <item x="694"/>
        <item x="1417"/>
        <item x="1194"/>
        <item x="33"/>
        <item x="1468"/>
        <item x="462"/>
        <item x="1132"/>
        <item x="1462"/>
        <item x="424"/>
        <item x="890"/>
        <item x="1055"/>
        <item x="1494"/>
        <item x="57"/>
        <item x="784"/>
        <item x="1541"/>
        <item x="1304"/>
        <item x="1048"/>
        <item x="1327"/>
        <item x="214"/>
        <item x="1465"/>
        <item x="1047"/>
        <item x="727"/>
        <item x="320"/>
        <item x="584"/>
        <item x="1018"/>
        <item x="633"/>
        <item x="749"/>
        <item x="25"/>
        <item x="153"/>
        <item x="59"/>
        <item x="1326"/>
        <item x="1060"/>
        <item x="1183"/>
        <item x="341"/>
        <item x="1134"/>
        <item x="1495"/>
        <item x="397"/>
        <item x="1350"/>
        <item x="599"/>
        <item x="191"/>
        <item x="1289"/>
        <item x="35"/>
        <item x="614"/>
        <item x="373"/>
        <item x="1010"/>
        <item x="1017"/>
        <item x="944"/>
        <item x="1436"/>
        <item x="1678"/>
        <item x="1023"/>
        <item x="1552"/>
        <item x="770"/>
        <item x="648"/>
        <item x="470"/>
        <item x="1506"/>
        <item x="1388"/>
        <item x="1370"/>
        <item x="134"/>
        <item x="1192"/>
        <item x="1335"/>
        <item x="203"/>
        <item x="150"/>
        <item x="1341"/>
        <item x="1458"/>
        <item x="110"/>
        <item x="887"/>
        <item x="577"/>
        <item x="1302"/>
        <item x="579"/>
        <item x="1256"/>
        <item x="1634"/>
        <item x="1444"/>
        <item x="1275"/>
        <item x="791"/>
        <item x="752"/>
        <item x="1140"/>
        <item x="888"/>
        <item x="610"/>
        <item x="662"/>
        <item x="1354"/>
        <item x="287"/>
        <item x="574"/>
        <item x="759"/>
        <item x="560"/>
        <item x="587"/>
        <item x="1595"/>
        <item x="1088"/>
        <item x="1190"/>
        <item x="941"/>
        <item x="364"/>
        <item x="808"/>
        <item x="104"/>
        <item x="623"/>
        <item x="1497"/>
        <item x="248"/>
        <item x="456"/>
        <item x="702"/>
        <item x="355"/>
        <item x="1223"/>
        <item x="622"/>
        <item x="247"/>
        <item x="482"/>
        <item x="1133"/>
        <item x="724"/>
        <item x="1244"/>
        <item x="147"/>
        <item x="647"/>
        <item x="1372"/>
        <item x="1498"/>
        <item x="967"/>
        <item x="503"/>
        <item x="235"/>
        <item x="956"/>
        <item x="1202"/>
        <item x="115"/>
        <item x="943"/>
        <item x="656"/>
        <item x="877"/>
        <item x="357"/>
        <item x="1369"/>
        <item x="195"/>
        <item x="1505"/>
        <item x="1438"/>
        <item x="691"/>
        <item x="837"/>
        <item x="443"/>
        <item x="1235"/>
        <item x="158"/>
        <item x="178"/>
        <item x="643"/>
        <item x="1414"/>
        <item x="1103"/>
        <item x="411"/>
        <item x="1471"/>
        <item x="864"/>
        <item x="107"/>
        <item x="1582"/>
        <item x="660"/>
        <item x="1490"/>
        <item x="1295"/>
        <item x="1075"/>
        <item x="700"/>
        <item x="776"/>
        <item x="984"/>
        <item x="572"/>
        <item x="119"/>
        <item x="1391"/>
        <item x="396"/>
        <item x="1090"/>
        <item x="1096"/>
        <item x="243"/>
        <item x="948"/>
        <item x="384"/>
        <item x="955"/>
        <item x="305"/>
        <item x="895"/>
        <item x="467"/>
        <item x="399"/>
        <item x="1551"/>
        <item x="426"/>
        <item x="294"/>
        <item x="701"/>
        <item x="686"/>
        <item x="1030"/>
        <item x="11"/>
        <item x="805"/>
        <item x="1470"/>
        <item x="1407"/>
        <item x="598"/>
        <item x="71"/>
        <item x="1299"/>
        <item x="1149"/>
        <item x="1104"/>
        <item x="1355"/>
        <item x="1204"/>
        <item x="1143"/>
        <item x="1240"/>
        <item x="469"/>
        <item x="144"/>
        <item x="535"/>
        <item x="206"/>
        <item x="1419"/>
        <item x="540"/>
        <item x="1383"/>
        <item x="652"/>
        <item x="190"/>
        <item x="834"/>
        <item x="1162"/>
        <item x="1034"/>
        <item x="567"/>
        <item x="762"/>
        <item x="502"/>
        <item x="527"/>
        <item x="1338"/>
        <item x="1546"/>
        <item x="1658"/>
        <item x="84"/>
        <item x="1137"/>
        <item x="1348"/>
        <item x="1567"/>
        <item x="442"/>
        <item x="1670"/>
        <item x="1530"/>
        <item x="768"/>
        <item x="1330"/>
        <item x="892"/>
        <item x="120"/>
        <item x="21"/>
        <item x="136"/>
        <item x="1583"/>
        <item x="87"/>
        <item x="496"/>
        <item x="362"/>
        <item x="507"/>
        <item x="1437"/>
        <item x="923"/>
        <item x="810"/>
        <item x="755"/>
        <item x="244"/>
        <item x="1459"/>
        <item x="940"/>
        <item x="557"/>
        <item x="1109"/>
        <item x="824"/>
        <item x="1608"/>
        <item x="292"/>
        <item x="484"/>
        <item x="897"/>
        <item x="1336"/>
        <item x="950"/>
        <item x="95"/>
        <item x="1197"/>
        <item x="8"/>
        <item x="1453"/>
        <item x="1592"/>
        <item x="914"/>
        <item x="1538"/>
        <item x="872"/>
        <item x="1058"/>
        <item x="581"/>
        <item x="693"/>
        <item x="1590"/>
        <item x="258"/>
        <item x="767"/>
        <item x="553"/>
        <item x="817"/>
        <item x="1477"/>
        <item x="1282"/>
        <item x="440"/>
        <item x="1147"/>
        <item x="898"/>
        <item x="889"/>
        <item x="1224"/>
        <item x="1452"/>
        <item x="973"/>
        <item x="975"/>
        <item x="1280"/>
        <item x="861"/>
        <item x="929"/>
        <item x="787"/>
        <item x="353"/>
        <item x="1067"/>
        <item x="423"/>
        <item x="684"/>
        <item x="938"/>
        <item x="949"/>
        <item x="812"/>
        <item x="112"/>
        <item x="1219"/>
        <item x="785"/>
        <item x="1292"/>
        <item x="1488"/>
        <item x="880"/>
        <item x="1508"/>
        <item x="240"/>
        <item x="580"/>
        <item x="385"/>
        <item x="731"/>
        <item x="288"/>
        <item x="1433"/>
        <item x="472"/>
        <item x="1568"/>
        <item x="1271"/>
        <item x="827"/>
        <item x="180"/>
        <item x="1013"/>
        <item x="4"/>
        <item x="1301"/>
        <item x="223"/>
        <item x="736"/>
        <item x="113"/>
        <item x="302"/>
        <item x="712"/>
        <item x="335"/>
        <item x="492"/>
        <item x="1440"/>
        <item x="1185"/>
        <item x="601"/>
        <item x="1472"/>
        <item x="1620"/>
        <item x="1340"/>
        <item x="436"/>
        <item x="1167"/>
        <item x="1127"/>
        <item x="1045"/>
        <item x="775"/>
        <item x="363"/>
        <item x="555"/>
        <item x="550"/>
        <item x="431"/>
        <item x="425"/>
        <item x="1442"/>
        <item x="19"/>
        <item x="452"/>
        <item x="874"/>
        <item x="1248"/>
        <item x="275"/>
        <item x="64"/>
        <item x="403"/>
        <item x="920"/>
        <item x="721"/>
        <item x="1019"/>
        <item x="1600"/>
        <item x="1164"/>
        <item x="1001"/>
        <item x="315"/>
        <item x="41"/>
        <item x="255"/>
        <item x="1518"/>
        <item x="94"/>
        <item x="865"/>
        <item x="245"/>
        <item x="54"/>
        <item x="719"/>
        <item x="324"/>
        <item x="316"/>
        <item x="1029"/>
        <item x="1376"/>
        <item x="536"/>
        <item x="374"/>
        <item x="563"/>
        <item x="218"/>
        <item x="262"/>
        <item x="800"/>
        <item x="343"/>
        <item x="790"/>
        <item x="241"/>
        <item x="1139"/>
        <item x="779"/>
        <item x="655"/>
        <item x="160"/>
        <item x="504"/>
        <item x="293"/>
        <item x="1316"/>
        <item x="1098"/>
        <item x="249"/>
        <item x="68"/>
        <item x="1022"/>
        <item x="683"/>
        <item x="1445"/>
        <item x="401"/>
        <item x="1054"/>
        <item x="32"/>
        <item x="1015"/>
        <item x="822"/>
        <item x="1429"/>
        <item x="747"/>
        <item x="843"/>
        <item x="36"/>
        <item x="745"/>
        <item x="358"/>
        <item x="740"/>
        <item x="997"/>
        <item x="821"/>
        <item x="668"/>
        <item x="873"/>
        <item x="815"/>
        <item x="1489"/>
        <item x="83"/>
        <item x="344"/>
        <item x="1007"/>
        <item x="1673"/>
        <item x="487"/>
        <item x="1666"/>
        <item x="1158"/>
        <item x="1427"/>
        <item x="1467"/>
        <item x="171"/>
        <item x="1598"/>
        <item x="870"/>
        <item x="1509"/>
        <item x="1065"/>
        <item x="1423"/>
        <item x="1032"/>
        <item x="1405"/>
        <item x="96"/>
        <item x="635"/>
        <item x="121"/>
        <item x="78"/>
        <item x="1616"/>
        <item x="416"/>
        <item x="18"/>
        <item x="637"/>
        <item x="114"/>
        <item x="256"/>
        <item x="250"/>
        <item x="1130"/>
        <item x="678"/>
        <item x="927"/>
        <item x="1652"/>
        <item x="922"/>
        <item x="17"/>
        <item x="900"/>
        <item x="620"/>
        <item x="825"/>
        <item x="154"/>
        <item x="186"/>
        <item x="1486"/>
        <item x="907"/>
        <item x="737"/>
        <item x="303"/>
        <item x="1604"/>
        <item x="541"/>
        <item x="430"/>
        <item x="954"/>
        <item x="1562"/>
        <item x="612"/>
        <item x="183"/>
        <item x="538"/>
        <item x="414"/>
        <item x="1398"/>
        <item x="1522"/>
        <item x="1272"/>
        <item x="1646"/>
        <item x="881"/>
        <item x="319"/>
        <item x="953"/>
        <item x="1585"/>
        <item x="969"/>
        <item x="1094"/>
        <item x="839"/>
        <item x="74"/>
        <item x="1528"/>
        <item x="753"/>
        <item x="519"/>
        <item x="91"/>
        <item x="1228"/>
        <item x="1529"/>
        <item x="993"/>
        <item x="789"/>
        <item x="279"/>
        <item x="1636"/>
        <item x="854"/>
        <item x="1401"/>
        <item x="882"/>
        <item x="7"/>
        <item x="896"/>
        <item x="283"/>
        <item x="1195"/>
        <item x="1245"/>
        <item x="602"/>
        <item x="1570"/>
        <item x="38"/>
        <item x="570"/>
        <item x="117"/>
        <item x="963"/>
        <item x="1485"/>
        <item x="951"/>
        <item x="597"/>
        <item x="79"/>
        <item x="522"/>
        <item x="405"/>
        <item x="1474"/>
        <item x="1314"/>
        <item x="415"/>
        <item x="972"/>
        <item x="62"/>
        <item x="1077"/>
        <item x="1517"/>
        <item x="204"/>
        <item x="159"/>
        <item x="331"/>
        <item x="853"/>
        <item x="1550"/>
        <item x="23"/>
        <item x="1493"/>
        <item x="781"/>
        <item x="40"/>
        <item x="31"/>
        <item x="1064"/>
        <item x="1422"/>
        <item x="196"/>
        <item x="1163"/>
        <item x="640"/>
        <item x="220"/>
        <item x="630"/>
        <item x="608"/>
        <item x="10"/>
        <item x="904"/>
        <item x="1382"/>
        <item x="233"/>
        <item x="157"/>
        <item x="669"/>
        <item x="804"/>
        <item x="1574"/>
        <item x="688"/>
        <item x="611"/>
        <item x="1381"/>
        <item x="1036"/>
        <item x="1012"/>
        <item x="1475"/>
        <item x="859"/>
        <item x="128"/>
        <item x="1650"/>
        <item x="803"/>
        <item x="512"/>
        <item x="1217"/>
        <item x="481"/>
        <item x="459"/>
        <item x="1225"/>
        <item x="1591"/>
        <item x="6"/>
        <item x="269"/>
        <item x="1311"/>
        <item x="875"/>
        <item x="222"/>
        <item x="842"/>
        <item x="230"/>
        <item x="438"/>
        <item x="328"/>
        <item x="9"/>
        <item x="561"/>
        <item x="763"/>
        <item x="146"/>
        <item x="644"/>
        <item x="1231"/>
        <item x="398"/>
        <item x="434"/>
        <item x="505"/>
        <item x="276"/>
        <item x="632"/>
        <item x="987"/>
        <item x="132"/>
        <item x="1642"/>
        <item x="367"/>
        <item x="1343"/>
        <item x="588"/>
        <item x="733"/>
        <item x="1342"/>
        <item x="85"/>
        <item x="1542"/>
        <item x="105"/>
        <item x="1070"/>
        <item x="1307"/>
        <item x="604"/>
        <item x="130"/>
        <item x="433"/>
        <item x="1524"/>
        <item x="349"/>
        <item x="1101"/>
        <item x="680"/>
        <item x="97"/>
        <item x="1113"/>
        <item x="915"/>
        <item x="420"/>
        <item x="1638"/>
        <item x="697"/>
        <item x="1507"/>
        <item x="952"/>
        <item x="404"/>
        <item x="264"/>
        <item x="575"/>
        <item x="1669"/>
        <item x="447"/>
        <item x="1118"/>
        <item x="499"/>
        <item x="378"/>
        <item x="1028"/>
        <item x="1588"/>
        <item x="1393"/>
        <item x="687"/>
        <item x="1503"/>
        <item x="1215"/>
        <item x="1377"/>
        <item x="1322"/>
        <item x="1476"/>
        <item x="261"/>
        <item x="246"/>
        <item x="1148"/>
        <item x="138"/>
        <item x="1284"/>
        <item x="1117"/>
        <item x="1602"/>
        <item x="525"/>
        <item x="1232"/>
        <item x="1262"/>
        <item x="342"/>
        <item x="354"/>
        <item x="409"/>
        <item x="978"/>
        <item x="677"/>
        <item x="1549"/>
        <item x="1606"/>
        <item x="295"/>
        <item x="796"/>
        <item x="387"/>
        <item x="12"/>
        <item x="400"/>
        <item x="1482"/>
        <item x="706"/>
        <item x="166"/>
        <item x="526"/>
        <item x="1523"/>
        <item x="376"/>
        <item x="278"/>
        <item x="1663"/>
        <item x="1124"/>
        <item x="826"/>
        <item x="360"/>
        <item x="1221"/>
        <item x="212"/>
        <item x="991"/>
        <item x="795"/>
        <item x="26"/>
        <item x="1317"/>
        <item x="1072"/>
        <item x="1392"/>
        <item x="1515"/>
        <item x="1605"/>
        <item x="52"/>
        <item x="802"/>
        <item x="1116"/>
        <item x="939"/>
        <item x="548"/>
        <item x="912"/>
        <item x="641"/>
        <item x="1014"/>
        <item x="1037"/>
        <item x="961"/>
        <item x="1654"/>
        <item x="63"/>
        <item x="309"/>
        <item x="811"/>
        <item x="70"/>
        <item x="1617"/>
        <item x="127"/>
        <item x="16"/>
        <item x="988"/>
        <item x="449"/>
        <item x="1"/>
        <item x="533"/>
        <item x="44"/>
        <item x="782"/>
        <item x="1229"/>
        <item x="126"/>
        <item x="458"/>
        <item x="93"/>
        <item x="200"/>
        <item x="947"/>
        <item x="773"/>
        <item x="284"/>
        <item x="1424"/>
        <item x="43"/>
        <item x="744"/>
        <item x="591"/>
        <item x="722"/>
        <item x="544"/>
        <item x="1011"/>
        <item x="1519"/>
        <item x="39"/>
        <item x="1353"/>
        <item x="1374"/>
        <item x="1639"/>
        <item x="1041"/>
        <item x="1674"/>
        <item x="542"/>
        <item x="312"/>
        <item x="1208"/>
        <item x="831"/>
        <item x="793"/>
        <item x="394"/>
        <item x="351"/>
        <item x="1457"/>
        <item x="1319"/>
        <item x="1258"/>
        <item x="1306"/>
        <item x="1073"/>
        <item x="20"/>
        <item x="998"/>
        <item x="1435"/>
        <item x="444"/>
        <item x="1279"/>
        <item x="3"/>
        <item x="51"/>
        <item x="801"/>
        <item x="73"/>
        <item x="971"/>
        <item x="125"/>
        <item x="1537"/>
        <item x="100"/>
        <item x="1216"/>
        <item x="582"/>
        <item x="263"/>
        <item x="1126"/>
        <item x="569"/>
        <item x="77"/>
        <item x="1521"/>
        <item x="1677"/>
        <item x="1323"/>
        <item x="1142"/>
        <item x="858"/>
        <item x="1112"/>
        <item x="708"/>
        <item x="506"/>
        <item x="704"/>
        <item x="412"/>
        <item x="558"/>
        <item x="1161"/>
        <item x="224"/>
        <item x="270"/>
        <item x="1020"/>
        <item x="999"/>
        <item x="730"/>
        <item x="238"/>
        <item x="445"/>
        <item x="453"/>
        <item x="1525"/>
        <item x="1281"/>
        <item x="564"/>
        <item x="216"/>
        <item x="1009"/>
        <item x="1501"/>
        <item x="219"/>
        <item x="441"/>
        <item x="1039"/>
        <item x="1371"/>
        <item x="1657"/>
        <item x="37"/>
        <item x="1226"/>
        <item x="1481"/>
        <item x="1516"/>
        <item x="658"/>
        <item x="1266"/>
        <item x="893"/>
        <item x="336"/>
        <item x="72"/>
        <item x="1630"/>
        <item x="281"/>
        <item x="1426"/>
        <item x="1558"/>
        <item x="1653"/>
        <item x="1251"/>
        <item x="1587"/>
        <item x="29"/>
        <item x="924"/>
        <item x="615"/>
        <item x="457"/>
        <item x="1046"/>
        <item x="205"/>
        <item x="566"/>
        <item x="1603"/>
        <item x="382"/>
        <item x="829"/>
        <item x="692"/>
        <item x="463"/>
        <item x="0"/>
        <item x="298"/>
        <item x="671"/>
        <item x="728"/>
        <item x="368"/>
        <item x="66"/>
        <item x="1439"/>
        <item x="906"/>
        <item x="1637"/>
        <item x="638"/>
        <item x="986"/>
        <item x="1214"/>
        <item x="718"/>
        <item x="15"/>
        <item x="286"/>
        <item x="925"/>
        <item x="823"/>
        <item x="670"/>
        <item x="432"/>
        <item x="1448"/>
        <item x="1269"/>
        <item x="388"/>
        <item x="318"/>
        <item x="1129"/>
        <item x="152"/>
        <item x="1155"/>
        <item x="1191"/>
        <item x="1665"/>
        <item x="586"/>
        <item x="435"/>
        <item x="756"/>
        <item x="879"/>
        <item x="272"/>
        <item x="92"/>
        <item x="926"/>
        <item x="1647"/>
        <item x="698"/>
        <item x="1618"/>
        <item x="332"/>
        <item x="921"/>
        <item x="483"/>
        <item x="1207"/>
        <item x="339"/>
        <item x="60"/>
        <item x="81"/>
        <item x="167"/>
        <item x="596"/>
        <item x="170"/>
        <item x="1358"/>
        <item x="863"/>
        <item x="1473"/>
        <item x="28"/>
        <item x="65"/>
        <item x="774"/>
        <item x="738"/>
        <item x="930"/>
        <item x="181"/>
        <item x="410"/>
        <item x="1234"/>
        <item x="1492"/>
        <item x="1152"/>
        <item x="1545"/>
        <item x="886"/>
        <item x="1209"/>
        <item x="1484"/>
        <item x="1027"/>
        <item x="402"/>
        <item x="709"/>
        <item x="777"/>
        <item x="1320"/>
        <item x="743"/>
        <item x="1540"/>
        <item x="685"/>
        <item x="330"/>
        <item x="69"/>
        <item x="468"/>
        <item x="1432"/>
        <item x="1527"/>
        <item x="188"/>
        <item x="1201"/>
        <item x="1611"/>
        <item x="47"/>
        <item x="80"/>
        <item x="326"/>
        <item x="1356"/>
        <item x="1387"/>
        <item x="1504"/>
        <item x="985"/>
        <item x="13"/>
        <item x="89"/>
        <item x="135"/>
        <item x="1087"/>
        <item x="1078"/>
        <item x="1357"/>
        <item x="1119"/>
        <item x="910"/>
        <item x="1536"/>
        <item x="1548"/>
        <item x="820"/>
        <item x="869"/>
        <item x="477"/>
        <item x="366"/>
        <item x="625"/>
        <item x="1593"/>
        <item x="594"/>
        <item x="1572"/>
        <item x="1408"/>
        <item x="421"/>
        <item x="274"/>
        <item x="141"/>
        <item x="663"/>
        <item x="2"/>
        <item x="22"/>
        <item x="30"/>
        <item x="1396"/>
        <item x="1105"/>
        <item x="726"/>
        <item x="488"/>
        <item x="1368"/>
        <item x="45"/>
        <item x="5"/>
        <item x="710"/>
        <item x="1635"/>
        <item x="1210"/>
        <item x="1203"/>
        <item x="905"/>
        <item x="592"/>
        <item x="419"/>
        <item x="631"/>
        <item x="1145"/>
        <item x="329"/>
        <item x="50"/>
        <item x="265"/>
        <item x="1513"/>
        <item x="1206"/>
        <item x="1649"/>
        <item x="1174"/>
        <item x="554"/>
        <item x="1230"/>
        <item x="198"/>
        <item x="464"/>
        <item x="534"/>
        <item x="56"/>
        <item x="1571"/>
        <item x="1121"/>
        <item x="976"/>
        <item x="217"/>
        <item x="48"/>
        <item x="1594"/>
        <item x="90"/>
        <item x="1254"/>
        <item x="996"/>
        <item x="1179"/>
        <item x="1675"/>
        <item x="88"/>
        <item x="1233"/>
        <item x="102"/>
        <item x="629"/>
        <item x="765"/>
        <item x="118"/>
        <item x="979"/>
        <item x="884"/>
        <item x="58"/>
        <item x="1074"/>
        <item t="default"/>
      </items>
    </pivotField>
    <pivotField showAll="0">
      <items count="3">
        <item x="1"/>
        <item x="0"/>
        <item t="default"/>
      </items>
    </pivotField>
    <pivotField showAll="0">
      <items count="4">
        <item x="0"/>
        <item x="2"/>
        <item x="1"/>
        <item t="default"/>
      </items>
    </pivotField>
    <pivotField showAll="0">
      <items count="3">
        <item x="0"/>
        <item x="1"/>
        <item t="default"/>
      </items>
    </pivotField>
  </pivotFields>
  <rowFields count="1">
    <field x="0"/>
  </rowFields>
  <rowItems count="10">
    <i>
      <x v="1230"/>
    </i>
    <i>
      <x v="317"/>
    </i>
    <i>
      <x v="962"/>
    </i>
    <i>
      <x v="1094"/>
    </i>
    <i>
      <x v="21"/>
    </i>
    <i>
      <x v="801"/>
    </i>
    <i>
      <x v="617"/>
    </i>
    <i>
      <x v="4"/>
    </i>
    <i>
      <x v="1451"/>
    </i>
    <i>
      <x v="1702"/>
    </i>
  </rowItems>
  <colItems count="1">
    <i/>
  </colItems>
  <dataFields count="1">
    <dataField name=" Price Range" fld="12" baseField="0" baseItem="123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80884C-BB1D-4300-A6FC-0845C15571B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0:B22" firstHeaderRow="1" firstDataRow="1" firstDataCol="1"/>
  <pivotFields count="16">
    <pivotField showAll="0">
      <items count="2123">
        <item x="100"/>
        <item x="101"/>
        <item x="102"/>
        <item x="103"/>
        <item x="104"/>
        <item x="105"/>
        <item x="106"/>
        <item x="107"/>
        <item x="108"/>
        <item x="109"/>
        <item x="110"/>
        <item x="111"/>
        <item x="112"/>
        <item x="113"/>
        <item x="114"/>
        <item x="115"/>
        <item x="116"/>
        <item x="117"/>
        <item x="118"/>
        <item x="119"/>
        <item x="50"/>
        <item x="120"/>
        <item x="121"/>
        <item x="122"/>
        <item x="123"/>
        <item x="124"/>
        <item x="125"/>
        <item x="126"/>
        <item x="127"/>
        <item x="128"/>
        <item x="129"/>
        <item x="130"/>
        <item x="131"/>
        <item x="132"/>
        <item x="133"/>
        <item x="134"/>
        <item x="135"/>
        <item x="136"/>
        <item x="137"/>
        <item x="51"/>
        <item x="0"/>
        <item x="52"/>
        <item x="1"/>
        <item x="53"/>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54"/>
        <item x="207"/>
        <item x="208"/>
        <item x="209"/>
        <item x="210"/>
        <item x="211"/>
        <item x="212"/>
        <item x="213"/>
        <item x="214"/>
        <item x="215"/>
        <item x="216"/>
        <item x="217"/>
        <item x="218"/>
        <item x="219"/>
        <item x="220"/>
        <item x="221"/>
        <item x="222"/>
        <item x="223"/>
        <item x="224"/>
        <item x="225"/>
        <item x="226"/>
        <item x="227"/>
        <item x="228"/>
        <item x="229"/>
        <item x="230"/>
        <item x="2"/>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3"/>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4"/>
        <item x="307"/>
        <item x="308"/>
        <item x="309"/>
        <item x="310"/>
        <item x="311"/>
        <item x="312"/>
        <item x="313"/>
        <item x="5"/>
        <item x="314"/>
        <item x="315"/>
        <item x="6"/>
        <item x="316"/>
        <item x="55"/>
        <item x="317"/>
        <item x="56"/>
        <item x="318"/>
        <item x="319"/>
        <item x="7"/>
        <item x="320"/>
        <item x="321"/>
        <item x="322"/>
        <item x="323"/>
        <item x="324"/>
        <item x="325"/>
        <item x="326"/>
        <item x="327"/>
        <item x="328"/>
        <item x="329"/>
        <item x="330"/>
        <item x="331"/>
        <item x="332"/>
        <item x="333"/>
        <item x="334"/>
        <item x="335"/>
        <item x="57"/>
        <item x="336"/>
        <item x="337"/>
        <item x="338"/>
        <item x="339"/>
        <item x="340"/>
        <item x="341"/>
        <item x="342"/>
        <item x="343"/>
        <item x="344"/>
        <item x="345"/>
        <item x="346"/>
        <item x="347"/>
        <item x="348"/>
        <item x="349"/>
        <item x="350"/>
        <item x="351"/>
        <item x="8"/>
        <item x="352"/>
        <item x="353"/>
        <item x="354"/>
        <item x="355"/>
        <item x="356"/>
        <item x="357"/>
        <item x="358"/>
        <item x="359"/>
        <item x="360"/>
        <item x="361"/>
        <item x="362"/>
        <item x="363"/>
        <item x="364"/>
        <item x="365"/>
        <item x="366"/>
        <item x="367"/>
        <item x="368"/>
        <item x="9"/>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58"/>
        <item x="59"/>
        <item x="399"/>
        <item x="400"/>
        <item x="401"/>
        <item x="60"/>
        <item x="402"/>
        <item x="403"/>
        <item x="404"/>
        <item x="405"/>
        <item x="406"/>
        <item x="407"/>
        <item x="408"/>
        <item x="409"/>
        <item x="410"/>
        <item x="411"/>
        <item x="412"/>
        <item x="413"/>
        <item x="414"/>
        <item x="415"/>
        <item x="416"/>
        <item x="61"/>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62"/>
        <item x="451"/>
        <item x="452"/>
        <item x="453"/>
        <item x="454"/>
        <item x="455"/>
        <item x="456"/>
        <item x="457"/>
        <item x="458"/>
        <item x="459"/>
        <item x="460"/>
        <item x="63"/>
        <item x="461"/>
        <item x="462"/>
        <item x="463"/>
        <item x="464"/>
        <item x="465"/>
        <item x="466"/>
        <item x="10"/>
        <item x="467"/>
        <item x="468"/>
        <item x="469"/>
        <item x="470"/>
        <item x="471"/>
        <item x="1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64"/>
        <item x="571"/>
        <item x="65"/>
        <item x="572"/>
        <item x="66"/>
        <item x="573"/>
        <item x="574"/>
        <item x="575"/>
        <item x="576"/>
        <item x="577"/>
        <item x="578"/>
        <item x="579"/>
        <item x="580"/>
        <item x="581"/>
        <item x="582"/>
        <item x="583"/>
        <item x="584"/>
        <item x="585"/>
        <item x="586"/>
        <item x="12"/>
        <item x="587"/>
        <item x="588"/>
        <item x="589"/>
        <item x="590"/>
        <item x="591"/>
        <item x="592"/>
        <item x="593"/>
        <item x="594"/>
        <item x="595"/>
        <item x="596"/>
        <item x="597"/>
        <item x="598"/>
        <item x="599"/>
        <item x="600"/>
        <item x="601"/>
        <item x="13"/>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7"/>
        <item x="631"/>
        <item x="632"/>
        <item x="633"/>
        <item x="634"/>
        <item x="635"/>
        <item x="636"/>
        <item x="637"/>
        <item x="638"/>
        <item x="639"/>
        <item x="640"/>
        <item x="641"/>
        <item x="642"/>
        <item x="643"/>
        <item x="14"/>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8"/>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69"/>
        <item x="756"/>
        <item x="757"/>
        <item x="758"/>
        <item x="759"/>
        <item x="760"/>
        <item x="761"/>
        <item x="762"/>
        <item x="763"/>
        <item x="764"/>
        <item x="765"/>
        <item x="766"/>
        <item x="767"/>
        <item x="768"/>
        <item x="769"/>
        <item x="770"/>
        <item x="15"/>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70"/>
        <item x="804"/>
        <item x="805"/>
        <item x="806"/>
        <item x="807"/>
        <item x="808"/>
        <item x="809"/>
        <item x="810"/>
        <item x="811"/>
        <item x="812"/>
        <item x="71"/>
        <item x="813"/>
        <item x="814"/>
        <item x="815"/>
        <item x="816"/>
        <item x="817"/>
        <item x="818"/>
        <item x="16"/>
        <item x="819"/>
        <item x="820"/>
        <item x="17"/>
        <item x="18"/>
        <item x="821"/>
        <item x="822"/>
        <item x="823"/>
        <item x="824"/>
        <item x="825"/>
        <item x="826"/>
        <item x="827"/>
        <item x="828"/>
        <item x="829"/>
        <item x="830"/>
        <item x="831"/>
        <item x="832"/>
        <item x="833"/>
        <item x="834"/>
        <item x="835"/>
        <item x="836"/>
        <item x="837"/>
        <item x="838"/>
        <item x="839"/>
        <item x="19"/>
        <item x="840"/>
        <item x="841"/>
        <item x="842"/>
        <item x="843"/>
        <item x="844"/>
        <item x="20"/>
        <item x="845"/>
        <item x="72"/>
        <item x="846"/>
        <item x="847"/>
        <item x="848"/>
        <item x="849"/>
        <item x="850"/>
        <item x="851"/>
        <item x="852"/>
        <item x="853"/>
        <item x="854"/>
        <item x="855"/>
        <item x="856"/>
        <item x="857"/>
        <item x="858"/>
        <item x="859"/>
        <item x="860"/>
        <item x="861"/>
        <item x="862"/>
        <item x="863"/>
        <item x="864"/>
        <item x="865"/>
        <item x="866"/>
        <item x="867"/>
        <item x="73"/>
        <item x="868"/>
        <item x="869"/>
        <item x="870"/>
        <item x="21"/>
        <item x="74"/>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75"/>
        <item x="900"/>
        <item x="901"/>
        <item x="902"/>
        <item x="903"/>
        <item x="904"/>
        <item x="905"/>
        <item x="906"/>
        <item x="22"/>
        <item x="907"/>
        <item x="908"/>
        <item x="909"/>
        <item x="910"/>
        <item x="911"/>
        <item x="912"/>
        <item x="913"/>
        <item x="914"/>
        <item x="915"/>
        <item x="916"/>
        <item x="917"/>
        <item x="918"/>
        <item x="919"/>
        <item x="920"/>
        <item x="921"/>
        <item x="922"/>
        <item x="923"/>
        <item x="924"/>
        <item x="925"/>
        <item x="926"/>
        <item x="23"/>
        <item x="927"/>
        <item x="928"/>
        <item x="929"/>
        <item x="930"/>
        <item x="931"/>
        <item x="932"/>
        <item x="933"/>
        <item x="934"/>
        <item x="935"/>
        <item x="936"/>
        <item x="937"/>
        <item x="938"/>
        <item x="939"/>
        <item x="940"/>
        <item x="76"/>
        <item x="941"/>
        <item x="942"/>
        <item x="943"/>
        <item x="944"/>
        <item x="945"/>
        <item x="946"/>
        <item x="947"/>
        <item x="948"/>
        <item x="77"/>
        <item x="949"/>
        <item x="950"/>
        <item x="951"/>
        <item x="952"/>
        <item x="953"/>
        <item x="954"/>
        <item x="2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78"/>
        <item x="985"/>
        <item x="986"/>
        <item x="25"/>
        <item x="987"/>
        <item x="988"/>
        <item x="989"/>
        <item x="990"/>
        <item x="991"/>
        <item x="992"/>
        <item x="993"/>
        <item x="994"/>
        <item x="995"/>
        <item x="996"/>
        <item x="997"/>
        <item x="998"/>
        <item x="999"/>
        <item x="1000"/>
        <item x="1001"/>
        <item x="1002"/>
        <item x="1003"/>
        <item x="1004"/>
        <item x="1005"/>
        <item x="79"/>
        <item x="1006"/>
        <item x="1007"/>
        <item x="26"/>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27"/>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80"/>
        <item x="1128"/>
        <item x="1129"/>
        <item x="1130"/>
        <item x="1131"/>
        <item x="1132"/>
        <item x="1133"/>
        <item x="1134"/>
        <item x="1135"/>
        <item x="81"/>
        <item x="1136"/>
        <item x="1137"/>
        <item x="1138"/>
        <item x="1139"/>
        <item x="1140"/>
        <item x="1141"/>
        <item x="28"/>
        <item x="1142"/>
        <item x="1143"/>
        <item x="82"/>
        <item x="1144"/>
        <item x="1145"/>
        <item x="1146"/>
        <item x="1147"/>
        <item x="1148"/>
        <item x="1149"/>
        <item x="1150"/>
        <item x="1151"/>
        <item x="29"/>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30"/>
        <item x="1195"/>
        <item x="1196"/>
        <item x="1197"/>
        <item x="1198"/>
        <item x="1199"/>
        <item x="1200"/>
        <item x="1201"/>
        <item x="31"/>
        <item x="1202"/>
        <item x="1203"/>
        <item x="1204"/>
        <item x="83"/>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84"/>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85"/>
        <item x="1297"/>
        <item x="1298"/>
        <item x="1299"/>
        <item x="1300"/>
        <item x="1301"/>
        <item x="1302"/>
        <item x="1303"/>
        <item x="1304"/>
        <item x="1305"/>
        <item x="1306"/>
        <item x="1307"/>
        <item x="1308"/>
        <item x="1309"/>
        <item x="1310"/>
        <item x="1311"/>
        <item x="1312"/>
        <item x="1313"/>
        <item x="1314"/>
        <item x="1315"/>
        <item x="1316"/>
        <item x="1317"/>
        <item x="1318"/>
        <item x="32"/>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33"/>
        <item x="1357"/>
        <item x="1358"/>
        <item x="1359"/>
        <item x="1360"/>
        <item x="1361"/>
        <item x="1362"/>
        <item x="1363"/>
        <item x="1364"/>
        <item x="1365"/>
        <item x="1366"/>
        <item x="1367"/>
        <item x="1368"/>
        <item x="1369"/>
        <item x="1370"/>
        <item x="1371"/>
        <item x="1372"/>
        <item x="1373"/>
        <item x="1374"/>
        <item x="1375"/>
        <item x="1376"/>
        <item x="1377"/>
        <item x="1378"/>
        <item x="1379"/>
        <item x="1380"/>
        <item x="34"/>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86"/>
        <item x="1439"/>
        <item x="1440"/>
        <item x="1441"/>
        <item x="1442"/>
        <item x="1443"/>
        <item x="1444"/>
        <item x="1445"/>
        <item x="1446"/>
        <item x="1447"/>
        <item x="87"/>
        <item x="1448"/>
        <item x="1449"/>
        <item x="1450"/>
        <item x="1451"/>
        <item x="1452"/>
        <item x="1453"/>
        <item x="1454"/>
        <item x="1455"/>
        <item x="1456"/>
        <item x="1457"/>
        <item x="1458"/>
        <item x="1459"/>
        <item x="1460"/>
        <item x="88"/>
        <item x="1461"/>
        <item x="1462"/>
        <item x="1463"/>
        <item x="1464"/>
        <item x="1465"/>
        <item x="1466"/>
        <item x="1467"/>
        <item x="1468"/>
        <item x="1469"/>
        <item x="1470"/>
        <item x="1471"/>
        <item x="1472"/>
        <item x="1473"/>
        <item x="1474"/>
        <item x="1475"/>
        <item x="3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89"/>
        <item x="1558"/>
        <item x="1559"/>
        <item x="1560"/>
        <item x="1561"/>
        <item x="1562"/>
        <item x="1563"/>
        <item x="1564"/>
        <item x="1565"/>
        <item x="36"/>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37"/>
        <item x="3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90"/>
        <item x="1723"/>
        <item x="1724"/>
        <item x="1725"/>
        <item x="1726"/>
        <item x="1727"/>
        <item x="1728"/>
        <item x="39"/>
        <item x="1729"/>
        <item x="1730"/>
        <item x="1731"/>
        <item x="1732"/>
        <item x="91"/>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92"/>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40"/>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41"/>
        <item x="1885"/>
        <item x="1886"/>
        <item x="93"/>
        <item x="42"/>
        <item x="1887"/>
        <item x="1888"/>
        <item x="1889"/>
        <item x="1890"/>
        <item x="1891"/>
        <item x="1892"/>
        <item x="1893"/>
        <item x="1894"/>
        <item x="43"/>
        <item x="1895"/>
        <item x="1896"/>
        <item x="1897"/>
        <item x="44"/>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45"/>
        <item x="1934"/>
        <item x="1935"/>
        <item x="46"/>
        <item x="1936"/>
        <item x="1937"/>
        <item x="1938"/>
        <item x="1939"/>
        <item x="1940"/>
        <item x="94"/>
        <item x="1941"/>
        <item x="1942"/>
        <item x="1943"/>
        <item x="1944"/>
        <item x="1945"/>
        <item x="1946"/>
        <item x="1947"/>
        <item x="1948"/>
        <item x="1949"/>
        <item x="1950"/>
        <item x="1951"/>
        <item x="47"/>
        <item x="1952"/>
        <item x="1953"/>
        <item x="1954"/>
        <item x="1955"/>
        <item x="1956"/>
        <item x="1957"/>
        <item x="1958"/>
        <item x="1959"/>
        <item x="1960"/>
        <item x="1961"/>
        <item x="1962"/>
        <item x="1963"/>
        <item x="1964"/>
        <item x="95"/>
        <item x="1965"/>
        <item x="1966"/>
        <item x="1967"/>
        <item x="1968"/>
        <item x="1969"/>
        <item x="1970"/>
        <item x="1971"/>
        <item x="1972"/>
        <item x="1973"/>
        <item x="1974"/>
        <item x="1975"/>
        <item x="1976"/>
        <item x="1977"/>
        <item x="1978"/>
        <item x="48"/>
        <item x="1979"/>
        <item x="1980"/>
        <item x="1981"/>
        <item x="1982"/>
        <item x="1983"/>
        <item x="1984"/>
        <item x="1985"/>
        <item x="1986"/>
        <item x="1987"/>
        <item x="1988"/>
        <item x="96"/>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97"/>
        <item x="2016"/>
        <item x="98"/>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49"/>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99"/>
        <item x="212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axis="axisRow" showAll="0">
      <items count="3">
        <item x="0"/>
        <item x="1"/>
        <item t="default"/>
      </items>
    </pivotField>
  </pivotFields>
  <rowFields count="1">
    <field x="15"/>
  </rowFields>
  <rowItems count="2">
    <i>
      <x/>
    </i>
    <i>
      <x v="1"/>
    </i>
  </rowItems>
  <colItems count="1">
    <i/>
  </colItems>
  <dataFields count="1">
    <dataField name="Sum of NET_TRDQTY"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5"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5"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EB7210-FEE1-4002-A508-CD35D422146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53:B54" firstHeaderRow="1" firstDataRow="1" firstDataCol="1"/>
  <pivotFields count="16">
    <pivotField axis="axisRow" showAll="0" measureFilter="1" sortType="descending">
      <items count="2123">
        <item x="100"/>
        <item x="101"/>
        <item x="102"/>
        <item x="103"/>
        <item x="104"/>
        <item x="105"/>
        <item x="106"/>
        <item x="107"/>
        <item x="108"/>
        <item x="109"/>
        <item x="110"/>
        <item x="111"/>
        <item x="112"/>
        <item x="113"/>
        <item x="114"/>
        <item x="115"/>
        <item x="116"/>
        <item x="117"/>
        <item x="118"/>
        <item x="119"/>
        <item x="50"/>
        <item x="120"/>
        <item x="121"/>
        <item x="122"/>
        <item x="123"/>
        <item x="124"/>
        <item x="125"/>
        <item x="126"/>
        <item x="127"/>
        <item x="128"/>
        <item x="129"/>
        <item x="130"/>
        <item x="131"/>
        <item x="132"/>
        <item x="133"/>
        <item x="134"/>
        <item x="135"/>
        <item x="136"/>
        <item x="137"/>
        <item x="51"/>
        <item x="0"/>
        <item x="52"/>
        <item x="1"/>
        <item x="53"/>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54"/>
        <item x="207"/>
        <item x="208"/>
        <item x="209"/>
        <item x="210"/>
        <item x="211"/>
        <item x="212"/>
        <item x="213"/>
        <item x="214"/>
        <item x="215"/>
        <item x="216"/>
        <item x="217"/>
        <item x="218"/>
        <item x="219"/>
        <item x="220"/>
        <item x="221"/>
        <item x="222"/>
        <item x="223"/>
        <item x="224"/>
        <item x="225"/>
        <item x="226"/>
        <item x="227"/>
        <item x="228"/>
        <item x="229"/>
        <item x="230"/>
        <item x="2"/>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3"/>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4"/>
        <item x="307"/>
        <item x="308"/>
        <item x="309"/>
        <item x="310"/>
        <item x="311"/>
        <item x="312"/>
        <item x="313"/>
        <item x="5"/>
        <item x="314"/>
        <item x="315"/>
        <item x="6"/>
        <item x="316"/>
        <item x="55"/>
        <item x="317"/>
        <item x="56"/>
        <item x="318"/>
        <item x="319"/>
        <item x="7"/>
        <item x="320"/>
        <item x="321"/>
        <item x="322"/>
        <item x="323"/>
        <item x="324"/>
        <item x="325"/>
        <item x="326"/>
        <item x="327"/>
        <item x="328"/>
        <item x="329"/>
        <item x="330"/>
        <item x="331"/>
        <item x="332"/>
        <item x="333"/>
        <item x="334"/>
        <item x="335"/>
        <item x="57"/>
        <item x="336"/>
        <item x="337"/>
        <item x="338"/>
        <item x="339"/>
        <item x="340"/>
        <item x="341"/>
        <item x="342"/>
        <item x="343"/>
        <item x="344"/>
        <item x="345"/>
        <item x="346"/>
        <item x="347"/>
        <item x="348"/>
        <item x="349"/>
        <item x="350"/>
        <item x="351"/>
        <item x="8"/>
        <item x="352"/>
        <item x="353"/>
        <item x="354"/>
        <item x="355"/>
        <item x="356"/>
        <item x="357"/>
        <item x="358"/>
        <item x="359"/>
        <item x="360"/>
        <item x="361"/>
        <item x="362"/>
        <item x="363"/>
        <item x="364"/>
        <item x="365"/>
        <item x="366"/>
        <item x="367"/>
        <item x="368"/>
        <item x="9"/>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58"/>
        <item x="59"/>
        <item x="399"/>
        <item x="400"/>
        <item x="401"/>
        <item x="60"/>
        <item x="402"/>
        <item x="403"/>
        <item x="404"/>
        <item x="405"/>
        <item x="406"/>
        <item x="407"/>
        <item x="408"/>
        <item x="409"/>
        <item x="410"/>
        <item x="411"/>
        <item x="412"/>
        <item x="413"/>
        <item x="414"/>
        <item x="415"/>
        <item x="416"/>
        <item x="61"/>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62"/>
        <item x="451"/>
        <item x="452"/>
        <item x="453"/>
        <item x="454"/>
        <item x="455"/>
        <item x="456"/>
        <item x="457"/>
        <item x="458"/>
        <item x="459"/>
        <item x="460"/>
        <item x="63"/>
        <item x="461"/>
        <item x="462"/>
        <item x="463"/>
        <item x="464"/>
        <item x="465"/>
        <item x="466"/>
        <item x="10"/>
        <item x="467"/>
        <item x="468"/>
        <item x="469"/>
        <item x="470"/>
        <item x="471"/>
        <item x="1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64"/>
        <item x="571"/>
        <item x="65"/>
        <item x="572"/>
        <item x="66"/>
        <item x="573"/>
        <item x="574"/>
        <item x="575"/>
        <item x="576"/>
        <item x="577"/>
        <item x="578"/>
        <item x="579"/>
        <item x="580"/>
        <item x="581"/>
        <item x="582"/>
        <item x="583"/>
        <item x="584"/>
        <item x="585"/>
        <item x="586"/>
        <item x="12"/>
        <item x="587"/>
        <item x="588"/>
        <item x="589"/>
        <item x="590"/>
        <item x="591"/>
        <item x="592"/>
        <item x="593"/>
        <item x="594"/>
        <item x="595"/>
        <item x="596"/>
        <item x="597"/>
        <item x="598"/>
        <item x="599"/>
        <item x="600"/>
        <item x="601"/>
        <item x="13"/>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7"/>
        <item x="631"/>
        <item x="632"/>
        <item x="633"/>
        <item x="634"/>
        <item x="635"/>
        <item x="636"/>
        <item x="637"/>
        <item x="638"/>
        <item x="639"/>
        <item x="640"/>
        <item x="641"/>
        <item x="642"/>
        <item x="643"/>
        <item x="14"/>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8"/>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69"/>
        <item x="756"/>
        <item x="757"/>
        <item x="758"/>
        <item x="759"/>
        <item x="760"/>
        <item x="761"/>
        <item x="762"/>
        <item x="763"/>
        <item x="764"/>
        <item x="765"/>
        <item x="766"/>
        <item x="767"/>
        <item x="768"/>
        <item x="769"/>
        <item x="770"/>
        <item x="15"/>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70"/>
        <item x="804"/>
        <item x="805"/>
        <item x="806"/>
        <item x="807"/>
        <item x="808"/>
        <item x="809"/>
        <item x="810"/>
        <item x="811"/>
        <item x="812"/>
        <item x="71"/>
        <item x="813"/>
        <item x="814"/>
        <item x="815"/>
        <item x="816"/>
        <item x="817"/>
        <item x="818"/>
        <item x="16"/>
        <item x="819"/>
        <item x="820"/>
        <item x="17"/>
        <item x="18"/>
        <item x="821"/>
        <item x="822"/>
        <item x="823"/>
        <item x="824"/>
        <item x="825"/>
        <item x="826"/>
        <item x="827"/>
        <item x="828"/>
        <item x="829"/>
        <item x="830"/>
        <item x="831"/>
        <item x="832"/>
        <item x="833"/>
        <item x="834"/>
        <item x="835"/>
        <item x="836"/>
        <item x="837"/>
        <item x="838"/>
        <item x="839"/>
        <item x="19"/>
        <item x="840"/>
        <item x="841"/>
        <item x="842"/>
        <item x="843"/>
        <item x="844"/>
        <item x="20"/>
        <item x="845"/>
        <item x="72"/>
        <item x="846"/>
        <item x="847"/>
        <item x="848"/>
        <item x="849"/>
        <item x="850"/>
        <item x="851"/>
        <item x="852"/>
        <item x="853"/>
        <item x="854"/>
        <item x="855"/>
        <item x="856"/>
        <item x="857"/>
        <item x="858"/>
        <item x="859"/>
        <item x="860"/>
        <item x="861"/>
        <item x="862"/>
        <item x="863"/>
        <item x="864"/>
        <item x="865"/>
        <item x="866"/>
        <item x="867"/>
        <item x="73"/>
        <item x="868"/>
        <item x="869"/>
        <item x="870"/>
        <item x="21"/>
        <item x="74"/>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75"/>
        <item x="900"/>
        <item x="901"/>
        <item x="902"/>
        <item x="903"/>
        <item x="904"/>
        <item x="905"/>
        <item x="906"/>
        <item x="22"/>
        <item x="907"/>
        <item x="908"/>
        <item x="909"/>
        <item x="910"/>
        <item x="911"/>
        <item x="912"/>
        <item x="913"/>
        <item x="914"/>
        <item x="915"/>
        <item x="916"/>
        <item x="917"/>
        <item x="918"/>
        <item x="919"/>
        <item x="920"/>
        <item x="921"/>
        <item x="922"/>
        <item x="923"/>
        <item x="924"/>
        <item x="925"/>
        <item x="926"/>
        <item x="23"/>
        <item x="927"/>
        <item x="928"/>
        <item x="929"/>
        <item x="930"/>
        <item x="931"/>
        <item x="932"/>
        <item x="933"/>
        <item x="934"/>
        <item x="935"/>
        <item x="936"/>
        <item x="937"/>
        <item x="938"/>
        <item x="939"/>
        <item x="940"/>
        <item x="76"/>
        <item x="941"/>
        <item x="942"/>
        <item x="943"/>
        <item x="944"/>
        <item x="945"/>
        <item x="946"/>
        <item x="947"/>
        <item x="948"/>
        <item x="77"/>
        <item x="949"/>
        <item x="950"/>
        <item x="951"/>
        <item x="952"/>
        <item x="953"/>
        <item x="954"/>
        <item x="2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78"/>
        <item x="985"/>
        <item x="986"/>
        <item x="25"/>
        <item x="987"/>
        <item x="988"/>
        <item x="989"/>
        <item x="990"/>
        <item x="991"/>
        <item x="992"/>
        <item x="993"/>
        <item x="994"/>
        <item x="995"/>
        <item x="996"/>
        <item x="997"/>
        <item x="998"/>
        <item x="999"/>
        <item x="1000"/>
        <item x="1001"/>
        <item x="1002"/>
        <item x="1003"/>
        <item x="1004"/>
        <item x="1005"/>
        <item x="79"/>
        <item x="1006"/>
        <item x="1007"/>
        <item x="26"/>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27"/>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80"/>
        <item x="1128"/>
        <item x="1129"/>
        <item x="1130"/>
        <item x="1131"/>
        <item x="1132"/>
        <item x="1133"/>
        <item x="1134"/>
        <item x="1135"/>
        <item x="81"/>
        <item x="1136"/>
        <item x="1137"/>
        <item x="1138"/>
        <item x="1139"/>
        <item x="1140"/>
        <item x="1141"/>
        <item x="28"/>
        <item x="1142"/>
        <item x="1143"/>
        <item x="82"/>
        <item x="1144"/>
        <item x="1145"/>
        <item x="1146"/>
        <item x="1147"/>
        <item x="1148"/>
        <item x="1149"/>
        <item x="1150"/>
        <item x="1151"/>
        <item x="29"/>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30"/>
        <item x="1195"/>
        <item x="1196"/>
        <item x="1197"/>
        <item x="1198"/>
        <item x="1199"/>
        <item x="1200"/>
        <item x="1201"/>
        <item x="31"/>
        <item x="1202"/>
        <item x="1203"/>
        <item x="1204"/>
        <item x="83"/>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84"/>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85"/>
        <item x="1297"/>
        <item x="1298"/>
        <item x="1299"/>
        <item x="1300"/>
        <item x="1301"/>
        <item x="1302"/>
        <item x="1303"/>
        <item x="1304"/>
        <item x="1305"/>
        <item x="1306"/>
        <item x="1307"/>
        <item x="1308"/>
        <item x="1309"/>
        <item x="1310"/>
        <item x="1311"/>
        <item x="1312"/>
        <item x="1313"/>
        <item x="1314"/>
        <item x="1315"/>
        <item x="1316"/>
        <item x="1317"/>
        <item x="1318"/>
        <item x="32"/>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33"/>
        <item x="1357"/>
        <item x="1358"/>
        <item x="1359"/>
        <item x="1360"/>
        <item x="1361"/>
        <item x="1362"/>
        <item x="1363"/>
        <item x="1364"/>
        <item x="1365"/>
        <item x="1366"/>
        <item x="1367"/>
        <item x="1368"/>
        <item x="1369"/>
        <item x="1370"/>
        <item x="1371"/>
        <item x="1372"/>
        <item x="1373"/>
        <item x="1374"/>
        <item x="1375"/>
        <item x="1376"/>
        <item x="1377"/>
        <item x="1378"/>
        <item x="1379"/>
        <item x="1380"/>
        <item x="34"/>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86"/>
        <item x="1439"/>
        <item x="1440"/>
        <item x="1441"/>
        <item x="1442"/>
        <item x="1443"/>
        <item x="1444"/>
        <item x="1445"/>
        <item x="1446"/>
        <item x="1447"/>
        <item x="87"/>
        <item x="1448"/>
        <item x="1449"/>
        <item x="1450"/>
        <item x="1451"/>
        <item x="1452"/>
        <item x="1453"/>
        <item x="1454"/>
        <item x="1455"/>
        <item x="1456"/>
        <item x="1457"/>
        <item x="1458"/>
        <item x="1459"/>
        <item x="1460"/>
        <item x="88"/>
        <item x="1461"/>
        <item x="1462"/>
        <item x="1463"/>
        <item x="1464"/>
        <item x="1465"/>
        <item x="1466"/>
        <item x="1467"/>
        <item x="1468"/>
        <item x="1469"/>
        <item x="1470"/>
        <item x="1471"/>
        <item x="1472"/>
        <item x="1473"/>
        <item x="1474"/>
        <item x="1475"/>
        <item x="3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89"/>
        <item x="1558"/>
        <item x="1559"/>
        <item x="1560"/>
        <item x="1561"/>
        <item x="1562"/>
        <item x="1563"/>
        <item x="1564"/>
        <item x="1565"/>
        <item x="36"/>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37"/>
        <item x="3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90"/>
        <item x="1723"/>
        <item x="1724"/>
        <item x="1725"/>
        <item x="1726"/>
        <item x="1727"/>
        <item x="1728"/>
        <item x="39"/>
        <item x="1729"/>
        <item x="1730"/>
        <item x="1731"/>
        <item x="1732"/>
        <item x="91"/>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92"/>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40"/>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41"/>
        <item x="1885"/>
        <item x="1886"/>
        <item x="93"/>
        <item x="42"/>
        <item x="1887"/>
        <item x="1888"/>
        <item x="1889"/>
        <item x="1890"/>
        <item x="1891"/>
        <item x="1892"/>
        <item x="1893"/>
        <item x="1894"/>
        <item x="43"/>
        <item x="1895"/>
        <item x="1896"/>
        <item x="1897"/>
        <item x="44"/>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45"/>
        <item x="1934"/>
        <item x="1935"/>
        <item x="46"/>
        <item x="1936"/>
        <item x="1937"/>
        <item x="1938"/>
        <item x="1939"/>
        <item x="1940"/>
        <item x="94"/>
        <item x="1941"/>
        <item x="1942"/>
        <item x="1943"/>
        <item x="1944"/>
        <item x="1945"/>
        <item x="1946"/>
        <item x="1947"/>
        <item x="1948"/>
        <item x="1949"/>
        <item x="1950"/>
        <item x="1951"/>
        <item x="47"/>
        <item x="1952"/>
        <item x="1953"/>
        <item x="1954"/>
        <item x="1955"/>
        <item x="1956"/>
        <item x="1957"/>
        <item x="1958"/>
        <item x="1959"/>
        <item x="1960"/>
        <item x="1961"/>
        <item x="1962"/>
        <item x="1963"/>
        <item x="1964"/>
        <item x="95"/>
        <item x="1965"/>
        <item x="1966"/>
        <item x="1967"/>
        <item x="1968"/>
        <item x="1969"/>
        <item x="1970"/>
        <item x="1971"/>
        <item x="1972"/>
        <item x="1973"/>
        <item x="1974"/>
        <item x="1975"/>
        <item x="1976"/>
        <item x="1977"/>
        <item x="1978"/>
        <item x="48"/>
        <item x="1979"/>
        <item x="1980"/>
        <item x="1981"/>
        <item x="1982"/>
        <item x="1983"/>
        <item x="1984"/>
        <item x="1985"/>
        <item x="1986"/>
        <item x="1987"/>
        <item x="1988"/>
        <item x="96"/>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97"/>
        <item x="2016"/>
        <item x="98"/>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49"/>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99"/>
        <item x="21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showAll="0">
      <items count="4">
        <item x="0"/>
        <item x="2"/>
        <item x="1"/>
        <item t="default"/>
      </items>
    </pivotField>
    <pivotField showAll="0">
      <items count="3">
        <item x="0"/>
        <item x="1"/>
        <item t="default"/>
      </items>
    </pivotField>
  </pivotFields>
  <rowFields count="1">
    <field x="0"/>
  </rowFields>
  <rowItems count="1">
    <i>
      <x v="822"/>
    </i>
  </rowItems>
  <colItems count="1">
    <i/>
  </colItems>
  <dataFields count="1">
    <dataField name="Max of NET_TRDQTY" fld="7" subtotal="max" baseField="0" baseItem="0" numFmtId="164"/>
  </dataFields>
  <formats count="2">
    <format dxfId="32">
      <pivotArea outline="0" collapsedLevelsAreSubtotals="1" fieldPosition="0"/>
    </format>
    <format dxfId="31">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534CF6-87C5-4093-B413-3681269D16C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47:A48" firstHeaderRow="1" firstDataRow="1" firstDataCol="0"/>
  <pivotFields count="16">
    <pivotField showAll="0" measureFilter="1" sortType="descending">
      <items count="2123">
        <item x="100"/>
        <item x="101"/>
        <item x="102"/>
        <item x="103"/>
        <item x="104"/>
        <item x="105"/>
        <item x="106"/>
        <item x="107"/>
        <item x="108"/>
        <item x="109"/>
        <item x="110"/>
        <item x="111"/>
        <item x="112"/>
        <item x="113"/>
        <item x="114"/>
        <item x="115"/>
        <item x="116"/>
        <item x="117"/>
        <item x="118"/>
        <item x="119"/>
        <item x="50"/>
        <item x="120"/>
        <item x="121"/>
        <item x="122"/>
        <item x="123"/>
        <item x="124"/>
        <item x="125"/>
        <item x="126"/>
        <item x="127"/>
        <item x="128"/>
        <item x="129"/>
        <item x="130"/>
        <item x="131"/>
        <item x="132"/>
        <item x="133"/>
        <item x="134"/>
        <item x="135"/>
        <item x="136"/>
        <item x="137"/>
        <item x="51"/>
        <item x="0"/>
        <item x="52"/>
        <item x="1"/>
        <item x="53"/>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54"/>
        <item x="207"/>
        <item x="208"/>
        <item x="209"/>
        <item x="210"/>
        <item x="211"/>
        <item x="212"/>
        <item x="213"/>
        <item x="214"/>
        <item x="215"/>
        <item x="216"/>
        <item x="217"/>
        <item x="218"/>
        <item x="219"/>
        <item x="220"/>
        <item x="221"/>
        <item x="222"/>
        <item x="223"/>
        <item x="224"/>
        <item x="225"/>
        <item x="226"/>
        <item x="227"/>
        <item x="228"/>
        <item x="229"/>
        <item x="230"/>
        <item x="2"/>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3"/>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4"/>
        <item x="307"/>
        <item x="308"/>
        <item x="309"/>
        <item x="310"/>
        <item x="311"/>
        <item x="312"/>
        <item x="313"/>
        <item x="5"/>
        <item x="314"/>
        <item x="315"/>
        <item x="6"/>
        <item x="316"/>
        <item x="55"/>
        <item x="317"/>
        <item x="56"/>
        <item x="318"/>
        <item x="319"/>
        <item x="7"/>
        <item x="320"/>
        <item x="321"/>
        <item x="322"/>
        <item x="323"/>
        <item x="324"/>
        <item x="325"/>
        <item x="326"/>
        <item x="327"/>
        <item x="328"/>
        <item x="329"/>
        <item x="330"/>
        <item x="331"/>
        <item x="332"/>
        <item x="333"/>
        <item x="334"/>
        <item x="335"/>
        <item x="57"/>
        <item x="336"/>
        <item x="337"/>
        <item x="338"/>
        <item x="339"/>
        <item x="340"/>
        <item x="341"/>
        <item x="342"/>
        <item x="343"/>
        <item x="344"/>
        <item x="345"/>
        <item x="346"/>
        <item x="347"/>
        <item x="348"/>
        <item x="349"/>
        <item x="350"/>
        <item x="351"/>
        <item x="8"/>
        <item x="352"/>
        <item x="353"/>
        <item x="354"/>
        <item x="355"/>
        <item x="356"/>
        <item x="357"/>
        <item x="358"/>
        <item x="359"/>
        <item x="360"/>
        <item x="361"/>
        <item x="362"/>
        <item x="363"/>
        <item x="364"/>
        <item x="365"/>
        <item x="366"/>
        <item x="367"/>
        <item x="368"/>
        <item x="9"/>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58"/>
        <item x="59"/>
        <item x="399"/>
        <item x="400"/>
        <item x="401"/>
        <item x="60"/>
        <item x="402"/>
        <item x="403"/>
        <item x="404"/>
        <item x="405"/>
        <item x="406"/>
        <item x="407"/>
        <item x="408"/>
        <item x="409"/>
        <item x="410"/>
        <item x="411"/>
        <item x="412"/>
        <item x="413"/>
        <item x="414"/>
        <item x="415"/>
        <item x="416"/>
        <item x="61"/>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62"/>
        <item x="451"/>
        <item x="452"/>
        <item x="453"/>
        <item x="454"/>
        <item x="455"/>
        <item x="456"/>
        <item x="457"/>
        <item x="458"/>
        <item x="459"/>
        <item x="460"/>
        <item x="63"/>
        <item x="461"/>
        <item x="462"/>
        <item x="463"/>
        <item x="464"/>
        <item x="465"/>
        <item x="466"/>
        <item x="10"/>
        <item x="467"/>
        <item x="468"/>
        <item x="469"/>
        <item x="470"/>
        <item x="471"/>
        <item x="1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64"/>
        <item x="571"/>
        <item x="65"/>
        <item x="572"/>
        <item x="66"/>
        <item x="573"/>
        <item x="574"/>
        <item x="575"/>
        <item x="576"/>
        <item x="577"/>
        <item x="578"/>
        <item x="579"/>
        <item x="580"/>
        <item x="581"/>
        <item x="582"/>
        <item x="583"/>
        <item x="584"/>
        <item x="585"/>
        <item x="586"/>
        <item x="12"/>
        <item x="587"/>
        <item x="588"/>
        <item x="589"/>
        <item x="590"/>
        <item x="591"/>
        <item x="592"/>
        <item x="593"/>
        <item x="594"/>
        <item x="595"/>
        <item x="596"/>
        <item x="597"/>
        <item x="598"/>
        <item x="599"/>
        <item x="600"/>
        <item x="601"/>
        <item x="13"/>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7"/>
        <item x="631"/>
        <item x="632"/>
        <item x="633"/>
        <item x="634"/>
        <item x="635"/>
        <item x="636"/>
        <item x="637"/>
        <item x="638"/>
        <item x="639"/>
        <item x="640"/>
        <item x="641"/>
        <item x="642"/>
        <item x="643"/>
        <item x="14"/>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8"/>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69"/>
        <item x="756"/>
        <item x="757"/>
        <item x="758"/>
        <item x="759"/>
        <item x="760"/>
        <item x="761"/>
        <item x="762"/>
        <item x="763"/>
        <item x="764"/>
        <item x="765"/>
        <item x="766"/>
        <item x="767"/>
        <item x="768"/>
        <item x="769"/>
        <item x="770"/>
        <item x="15"/>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70"/>
        <item x="804"/>
        <item x="805"/>
        <item x="806"/>
        <item x="807"/>
        <item x="808"/>
        <item x="809"/>
        <item x="810"/>
        <item x="811"/>
        <item x="812"/>
        <item x="71"/>
        <item x="813"/>
        <item x="814"/>
        <item x="815"/>
        <item x="816"/>
        <item x="817"/>
        <item x="818"/>
        <item x="16"/>
        <item x="819"/>
        <item x="820"/>
        <item x="17"/>
        <item x="18"/>
        <item x="821"/>
        <item x="822"/>
        <item x="823"/>
        <item x="824"/>
        <item x="825"/>
        <item x="826"/>
        <item x="827"/>
        <item x="828"/>
        <item x="829"/>
        <item x="830"/>
        <item x="831"/>
        <item x="832"/>
        <item x="833"/>
        <item x="834"/>
        <item x="835"/>
        <item x="836"/>
        <item x="837"/>
        <item x="838"/>
        <item x="839"/>
        <item x="19"/>
        <item x="840"/>
        <item x="841"/>
        <item x="842"/>
        <item x="843"/>
        <item x="844"/>
        <item x="20"/>
        <item x="845"/>
        <item x="72"/>
        <item x="846"/>
        <item x="847"/>
        <item x="848"/>
        <item x="849"/>
        <item x="850"/>
        <item x="851"/>
        <item x="852"/>
        <item x="853"/>
        <item x="854"/>
        <item x="855"/>
        <item x="856"/>
        <item x="857"/>
        <item x="858"/>
        <item x="859"/>
        <item x="860"/>
        <item x="861"/>
        <item x="862"/>
        <item x="863"/>
        <item x="864"/>
        <item x="865"/>
        <item x="866"/>
        <item x="867"/>
        <item x="73"/>
        <item x="868"/>
        <item x="869"/>
        <item x="870"/>
        <item x="21"/>
        <item x="74"/>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75"/>
        <item x="900"/>
        <item x="901"/>
        <item x="902"/>
        <item x="903"/>
        <item x="904"/>
        <item x="905"/>
        <item x="906"/>
        <item x="22"/>
        <item x="907"/>
        <item x="908"/>
        <item x="909"/>
        <item x="910"/>
        <item x="911"/>
        <item x="912"/>
        <item x="913"/>
        <item x="914"/>
        <item x="915"/>
        <item x="916"/>
        <item x="917"/>
        <item x="918"/>
        <item x="919"/>
        <item x="920"/>
        <item x="921"/>
        <item x="922"/>
        <item x="923"/>
        <item x="924"/>
        <item x="925"/>
        <item x="926"/>
        <item x="23"/>
        <item x="927"/>
        <item x="928"/>
        <item x="929"/>
        <item x="930"/>
        <item x="931"/>
        <item x="932"/>
        <item x="933"/>
        <item x="934"/>
        <item x="935"/>
        <item x="936"/>
        <item x="937"/>
        <item x="938"/>
        <item x="939"/>
        <item x="940"/>
        <item x="76"/>
        <item x="941"/>
        <item x="942"/>
        <item x="943"/>
        <item x="944"/>
        <item x="945"/>
        <item x="946"/>
        <item x="947"/>
        <item x="948"/>
        <item x="77"/>
        <item x="949"/>
        <item x="950"/>
        <item x="951"/>
        <item x="952"/>
        <item x="953"/>
        <item x="954"/>
        <item x="2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78"/>
        <item x="985"/>
        <item x="986"/>
        <item x="25"/>
        <item x="987"/>
        <item x="988"/>
        <item x="989"/>
        <item x="990"/>
        <item x="991"/>
        <item x="992"/>
        <item x="993"/>
        <item x="994"/>
        <item x="995"/>
        <item x="996"/>
        <item x="997"/>
        <item x="998"/>
        <item x="999"/>
        <item x="1000"/>
        <item x="1001"/>
        <item x="1002"/>
        <item x="1003"/>
        <item x="1004"/>
        <item x="1005"/>
        <item x="79"/>
        <item x="1006"/>
        <item x="1007"/>
        <item x="26"/>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27"/>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80"/>
        <item x="1128"/>
        <item x="1129"/>
        <item x="1130"/>
        <item x="1131"/>
        <item x="1132"/>
        <item x="1133"/>
        <item x="1134"/>
        <item x="1135"/>
        <item x="81"/>
        <item x="1136"/>
        <item x="1137"/>
        <item x="1138"/>
        <item x="1139"/>
        <item x="1140"/>
        <item x="1141"/>
        <item x="28"/>
        <item x="1142"/>
        <item x="1143"/>
        <item x="82"/>
        <item x="1144"/>
        <item x="1145"/>
        <item x="1146"/>
        <item x="1147"/>
        <item x="1148"/>
        <item x="1149"/>
        <item x="1150"/>
        <item x="1151"/>
        <item x="29"/>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30"/>
        <item x="1195"/>
        <item x="1196"/>
        <item x="1197"/>
        <item x="1198"/>
        <item x="1199"/>
        <item x="1200"/>
        <item x="1201"/>
        <item x="31"/>
        <item x="1202"/>
        <item x="1203"/>
        <item x="1204"/>
        <item x="83"/>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84"/>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85"/>
        <item x="1297"/>
        <item x="1298"/>
        <item x="1299"/>
        <item x="1300"/>
        <item x="1301"/>
        <item x="1302"/>
        <item x="1303"/>
        <item x="1304"/>
        <item x="1305"/>
        <item x="1306"/>
        <item x="1307"/>
        <item x="1308"/>
        <item x="1309"/>
        <item x="1310"/>
        <item x="1311"/>
        <item x="1312"/>
        <item x="1313"/>
        <item x="1314"/>
        <item x="1315"/>
        <item x="1316"/>
        <item x="1317"/>
        <item x="1318"/>
        <item x="32"/>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33"/>
        <item x="1357"/>
        <item x="1358"/>
        <item x="1359"/>
        <item x="1360"/>
        <item x="1361"/>
        <item x="1362"/>
        <item x="1363"/>
        <item x="1364"/>
        <item x="1365"/>
        <item x="1366"/>
        <item x="1367"/>
        <item x="1368"/>
        <item x="1369"/>
        <item x="1370"/>
        <item x="1371"/>
        <item x="1372"/>
        <item x="1373"/>
        <item x="1374"/>
        <item x="1375"/>
        <item x="1376"/>
        <item x="1377"/>
        <item x="1378"/>
        <item x="1379"/>
        <item x="1380"/>
        <item x="34"/>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86"/>
        <item x="1439"/>
        <item x="1440"/>
        <item x="1441"/>
        <item x="1442"/>
        <item x="1443"/>
        <item x="1444"/>
        <item x="1445"/>
        <item x="1446"/>
        <item x="1447"/>
        <item x="87"/>
        <item x="1448"/>
        <item x="1449"/>
        <item x="1450"/>
        <item x="1451"/>
        <item x="1452"/>
        <item x="1453"/>
        <item x="1454"/>
        <item x="1455"/>
        <item x="1456"/>
        <item x="1457"/>
        <item x="1458"/>
        <item x="1459"/>
        <item x="1460"/>
        <item x="88"/>
        <item x="1461"/>
        <item x="1462"/>
        <item x="1463"/>
        <item x="1464"/>
        <item x="1465"/>
        <item x="1466"/>
        <item x="1467"/>
        <item x="1468"/>
        <item x="1469"/>
        <item x="1470"/>
        <item x="1471"/>
        <item x="1472"/>
        <item x="1473"/>
        <item x="1474"/>
        <item x="1475"/>
        <item x="3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89"/>
        <item x="1558"/>
        <item x="1559"/>
        <item x="1560"/>
        <item x="1561"/>
        <item x="1562"/>
        <item x="1563"/>
        <item x="1564"/>
        <item x="1565"/>
        <item x="36"/>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37"/>
        <item x="3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90"/>
        <item x="1723"/>
        <item x="1724"/>
        <item x="1725"/>
        <item x="1726"/>
        <item x="1727"/>
        <item x="1728"/>
        <item x="39"/>
        <item x="1729"/>
        <item x="1730"/>
        <item x="1731"/>
        <item x="1732"/>
        <item x="91"/>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92"/>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40"/>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41"/>
        <item x="1885"/>
        <item x="1886"/>
        <item x="93"/>
        <item x="42"/>
        <item x="1887"/>
        <item x="1888"/>
        <item x="1889"/>
        <item x="1890"/>
        <item x="1891"/>
        <item x="1892"/>
        <item x="1893"/>
        <item x="1894"/>
        <item x="43"/>
        <item x="1895"/>
        <item x="1896"/>
        <item x="1897"/>
        <item x="44"/>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45"/>
        <item x="1934"/>
        <item x="1935"/>
        <item x="46"/>
        <item x="1936"/>
        <item x="1937"/>
        <item x="1938"/>
        <item x="1939"/>
        <item x="1940"/>
        <item x="94"/>
        <item x="1941"/>
        <item x="1942"/>
        <item x="1943"/>
        <item x="1944"/>
        <item x="1945"/>
        <item x="1946"/>
        <item x="1947"/>
        <item x="1948"/>
        <item x="1949"/>
        <item x="1950"/>
        <item x="1951"/>
        <item x="47"/>
        <item x="1952"/>
        <item x="1953"/>
        <item x="1954"/>
        <item x="1955"/>
        <item x="1956"/>
        <item x="1957"/>
        <item x="1958"/>
        <item x="1959"/>
        <item x="1960"/>
        <item x="1961"/>
        <item x="1962"/>
        <item x="1963"/>
        <item x="1964"/>
        <item x="95"/>
        <item x="1965"/>
        <item x="1966"/>
        <item x="1967"/>
        <item x="1968"/>
        <item x="1969"/>
        <item x="1970"/>
        <item x="1971"/>
        <item x="1972"/>
        <item x="1973"/>
        <item x="1974"/>
        <item x="1975"/>
        <item x="1976"/>
        <item x="1977"/>
        <item x="1978"/>
        <item x="48"/>
        <item x="1979"/>
        <item x="1980"/>
        <item x="1981"/>
        <item x="1982"/>
        <item x="1983"/>
        <item x="1984"/>
        <item x="1985"/>
        <item x="1986"/>
        <item x="1987"/>
        <item x="1988"/>
        <item x="96"/>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97"/>
        <item x="2016"/>
        <item x="98"/>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49"/>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99"/>
        <item x="21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items count="4">
        <item x="0"/>
        <item x="2"/>
        <item x="1"/>
        <item t="default"/>
      </items>
    </pivotField>
    <pivotField showAll="0">
      <items count="3">
        <item x="0"/>
        <item x="1"/>
        <item t="default"/>
      </items>
    </pivotField>
  </pivotFields>
  <rowItems count="1">
    <i/>
  </rowItems>
  <colItems count="1">
    <i/>
  </colItems>
  <dataFields count="1">
    <dataField name="Average of Daily Return" fld="11" subtotal="average"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7F38DB-8B4F-4EF7-9721-3A6857141BD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Cap Category">
  <location ref="A11:B14" firstHeaderRow="1" firstDataRow="1" firstDataCol="1"/>
  <pivotFields count="16">
    <pivotField showAll="0">
      <items count="2123">
        <item x="100"/>
        <item x="101"/>
        <item x="102"/>
        <item x="103"/>
        <item x="104"/>
        <item x="105"/>
        <item x="106"/>
        <item x="107"/>
        <item x="108"/>
        <item x="109"/>
        <item x="110"/>
        <item x="111"/>
        <item x="112"/>
        <item x="113"/>
        <item x="114"/>
        <item x="115"/>
        <item x="116"/>
        <item x="117"/>
        <item x="118"/>
        <item x="119"/>
        <item x="50"/>
        <item x="120"/>
        <item x="121"/>
        <item x="122"/>
        <item x="123"/>
        <item x="124"/>
        <item x="125"/>
        <item x="126"/>
        <item x="127"/>
        <item x="128"/>
        <item x="129"/>
        <item x="130"/>
        <item x="131"/>
        <item x="132"/>
        <item x="133"/>
        <item x="134"/>
        <item x="135"/>
        <item x="136"/>
        <item x="137"/>
        <item x="51"/>
        <item x="0"/>
        <item x="52"/>
        <item x="1"/>
        <item x="53"/>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54"/>
        <item x="207"/>
        <item x="208"/>
        <item x="209"/>
        <item x="210"/>
        <item x="211"/>
        <item x="212"/>
        <item x="213"/>
        <item x="214"/>
        <item x="215"/>
        <item x="216"/>
        <item x="217"/>
        <item x="218"/>
        <item x="219"/>
        <item x="220"/>
        <item x="221"/>
        <item x="222"/>
        <item x="223"/>
        <item x="224"/>
        <item x="225"/>
        <item x="226"/>
        <item x="227"/>
        <item x="228"/>
        <item x="229"/>
        <item x="230"/>
        <item x="2"/>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3"/>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4"/>
        <item x="307"/>
        <item x="308"/>
        <item x="309"/>
        <item x="310"/>
        <item x="311"/>
        <item x="312"/>
        <item x="313"/>
        <item x="5"/>
        <item x="314"/>
        <item x="315"/>
        <item x="6"/>
        <item x="316"/>
        <item x="55"/>
        <item x="317"/>
        <item x="56"/>
        <item x="318"/>
        <item x="319"/>
        <item x="7"/>
        <item x="320"/>
        <item x="321"/>
        <item x="322"/>
        <item x="323"/>
        <item x="324"/>
        <item x="325"/>
        <item x="326"/>
        <item x="327"/>
        <item x="328"/>
        <item x="329"/>
        <item x="330"/>
        <item x="331"/>
        <item x="332"/>
        <item x="333"/>
        <item x="334"/>
        <item x="335"/>
        <item x="57"/>
        <item x="336"/>
        <item x="337"/>
        <item x="338"/>
        <item x="339"/>
        <item x="340"/>
        <item x="341"/>
        <item x="342"/>
        <item x="343"/>
        <item x="344"/>
        <item x="345"/>
        <item x="346"/>
        <item x="347"/>
        <item x="348"/>
        <item x="349"/>
        <item x="350"/>
        <item x="351"/>
        <item x="8"/>
        <item x="352"/>
        <item x="353"/>
        <item x="354"/>
        <item x="355"/>
        <item x="356"/>
        <item x="357"/>
        <item x="358"/>
        <item x="359"/>
        <item x="360"/>
        <item x="361"/>
        <item x="362"/>
        <item x="363"/>
        <item x="364"/>
        <item x="365"/>
        <item x="366"/>
        <item x="367"/>
        <item x="368"/>
        <item x="9"/>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58"/>
        <item x="59"/>
        <item x="399"/>
        <item x="400"/>
        <item x="401"/>
        <item x="60"/>
        <item x="402"/>
        <item x="403"/>
        <item x="404"/>
        <item x="405"/>
        <item x="406"/>
        <item x="407"/>
        <item x="408"/>
        <item x="409"/>
        <item x="410"/>
        <item x="411"/>
        <item x="412"/>
        <item x="413"/>
        <item x="414"/>
        <item x="415"/>
        <item x="416"/>
        <item x="61"/>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62"/>
        <item x="451"/>
        <item x="452"/>
        <item x="453"/>
        <item x="454"/>
        <item x="455"/>
        <item x="456"/>
        <item x="457"/>
        <item x="458"/>
        <item x="459"/>
        <item x="460"/>
        <item x="63"/>
        <item x="461"/>
        <item x="462"/>
        <item x="463"/>
        <item x="464"/>
        <item x="465"/>
        <item x="466"/>
        <item x="10"/>
        <item x="467"/>
        <item x="468"/>
        <item x="469"/>
        <item x="470"/>
        <item x="471"/>
        <item x="1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64"/>
        <item x="571"/>
        <item x="65"/>
        <item x="572"/>
        <item x="66"/>
        <item x="573"/>
        <item x="574"/>
        <item x="575"/>
        <item x="576"/>
        <item x="577"/>
        <item x="578"/>
        <item x="579"/>
        <item x="580"/>
        <item x="581"/>
        <item x="582"/>
        <item x="583"/>
        <item x="584"/>
        <item x="585"/>
        <item x="586"/>
        <item x="12"/>
        <item x="587"/>
        <item x="588"/>
        <item x="589"/>
        <item x="590"/>
        <item x="591"/>
        <item x="592"/>
        <item x="593"/>
        <item x="594"/>
        <item x="595"/>
        <item x="596"/>
        <item x="597"/>
        <item x="598"/>
        <item x="599"/>
        <item x="600"/>
        <item x="601"/>
        <item x="13"/>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7"/>
        <item x="631"/>
        <item x="632"/>
        <item x="633"/>
        <item x="634"/>
        <item x="635"/>
        <item x="636"/>
        <item x="637"/>
        <item x="638"/>
        <item x="639"/>
        <item x="640"/>
        <item x="641"/>
        <item x="642"/>
        <item x="643"/>
        <item x="14"/>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8"/>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69"/>
        <item x="756"/>
        <item x="757"/>
        <item x="758"/>
        <item x="759"/>
        <item x="760"/>
        <item x="761"/>
        <item x="762"/>
        <item x="763"/>
        <item x="764"/>
        <item x="765"/>
        <item x="766"/>
        <item x="767"/>
        <item x="768"/>
        <item x="769"/>
        <item x="770"/>
        <item x="15"/>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70"/>
        <item x="804"/>
        <item x="805"/>
        <item x="806"/>
        <item x="807"/>
        <item x="808"/>
        <item x="809"/>
        <item x="810"/>
        <item x="811"/>
        <item x="812"/>
        <item x="71"/>
        <item x="813"/>
        <item x="814"/>
        <item x="815"/>
        <item x="816"/>
        <item x="817"/>
        <item x="818"/>
        <item x="16"/>
        <item x="819"/>
        <item x="820"/>
        <item x="17"/>
        <item x="18"/>
        <item x="821"/>
        <item x="822"/>
        <item x="823"/>
        <item x="824"/>
        <item x="825"/>
        <item x="826"/>
        <item x="827"/>
        <item x="828"/>
        <item x="829"/>
        <item x="830"/>
        <item x="831"/>
        <item x="832"/>
        <item x="833"/>
        <item x="834"/>
        <item x="835"/>
        <item x="836"/>
        <item x="837"/>
        <item x="838"/>
        <item x="839"/>
        <item x="19"/>
        <item x="840"/>
        <item x="841"/>
        <item x="842"/>
        <item x="843"/>
        <item x="844"/>
        <item x="20"/>
        <item x="845"/>
        <item x="72"/>
        <item x="846"/>
        <item x="847"/>
        <item x="848"/>
        <item x="849"/>
        <item x="850"/>
        <item x="851"/>
        <item x="852"/>
        <item x="853"/>
        <item x="854"/>
        <item x="855"/>
        <item x="856"/>
        <item x="857"/>
        <item x="858"/>
        <item x="859"/>
        <item x="860"/>
        <item x="861"/>
        <item x="862"/>
        <item x="863"/>
        <item x="864"/>
        <item x="865"/>
        <item x="866"/>
        <item x="867"/>
        <item x="73"/>
        <item x="868"/>
        <item x="869"/>
        <item x="870"/>
        <item x="21"/>
        <item x="74"/>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75"/>
        <item x="900"/>
        <item x="901"/>
        <item x="902"/>
        <item x="903"/>
        <item x="904"/>
        <item x="905"/>
        <item x="906"/>
        <item x="22"/>
        <item x="907"/>
        <item x="908"/>
        <item x="909"/>
        <item x="910"/>
        <item x="911"/>
        <item x="912"/>
        <item x="913"/>
        <item x="914"/>
        <item x="915"/>
        <item x="916"/>
        <item x="917"/>
        <item x="918"/>
        <item x="919"/>
        <item x="920"/>
        <item x="921"/>
        <item x="922"/>
        <item x="923"/>
        <item x="924"/>
        <item x="925"/>
        <item x="926"/>
        <item x="23"/>
        <item x="927"/>
        <item x="928"/>
        <item x="929"/>
        <item x="930"/>
        <item x="931"/>
        <item x="932"/>
        <item x="933"/>
        <item x="934"/>
        <item x="935"/>
        <item x="936"/>
        <item x="937"/>
        <item x="938"/>
        <item x="939"/>
        <item x="940"/>
        <item x="76"/>
        <item x="941"/>
        <item x="942"/>
        <item x="943"/>
        <item x="944"/>
        <item x="945"/>
        <item x="946"/>
        <item x="947"/>
        <item x="948"/>
        <item x="77"/>
        <item x="949"/>
        <item x="950"/>
        <item x="951"/>
        <item x="952"/>
        <item x="953"/>
        <item x="954"/>
        <item x="2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78"/>
        <item x="985"/>
        <item x="986"/>
        <item x="25"/>
        <item x="987"/>
        <item x="988"/>
        <item x="989"/>
        <item x="990"/>
        <item x="991"/>
        <item x="992"/>
        <item x="993"/>
        <item x="994"/>
        <item x="995"/>
        <item x="996"/>
        <item x="997"/>
        <item x="998"/>
        <item x="999"/>
        <item x="1000"/>
        <item x="1001"/>
        <item x="1002"/>
        <item x="1003"/>
        <item x="1004"/>
        <item x="1005"/>
        <item x="79"/>
        <item x="1006"/>
        <item x="1007"/>
        <item x="26"/>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27"/>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80"/>
        <item x="1128"/>
        <item x="1129"/>
        <item x="1130"/>
        <item x="1131"/>
        <item x="1132"/>
        <item x="1133"/>
        <item x="1134"/>
        <item x="1135"/>
        <item x="81"/>
        <item x="1136"/>
        <item x="1137"/>
        <item x="1138"/>
        <item x="1139"/>
        <item x="1140"/>
        <item x="1141"/>
        <item x="28"/>
        <item x="1142"/>
        <item x="1143"/>
        <item x="82"/>
        <item x="1144"/>
        <item x="1145"/>
        <item x="1146"/>
        <item x="1147"/>
        <item x="1148"/>
        <item x="1149"/>
        <item x="1150"/>
        <item x="1151"/>
        <item x="29"/>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30"/>
        <item x="1195"/>
        <item x="1196"/>
        <item x="1197"/>
        <item x="1198"/>
        <item x="1199"/>
        <item x="1200"/>
        <item x="1201"/>
        <item x="31"/>
        <item x="1202"/>
        <item x="1203"/>
        <item x="1204"/>
        <item x="83"/>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84"/>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85"/>
        <item x="1297"/>
        <item x="1298"/>
        <item x="1299"/>
        <item x="1300"/>
        <item x="1301"/>
        <item x="1302"/>
        <item x="1303"/>
        <item x="1304"/>
        <item x="1305"/>
        <item x="1306"/>
        <item x="1307"/>
        <item x="1308"/>
        <item x="1309"/>
        <item x="1310"/>
        <item x="1311"/>
        <item x="1312"/>
        <item x="1313"/>
        <item x="1314"/>
        <item x="1315"/>
        <item x="1316"/>
        <item x="1317"/>
        <item x="1318"/>
        <item x="32"/>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33"/>
        <item x="1357"/>
        <item x="1358"/>
        <item x="1359"/>
        <item x="1360"/>
        <item x="1361"/>
        <item x="1362"/>
        <item x="1363"/>
        <item x="1364"/>
        <item x="1365"/>
        <item x="1366"/>
        <item x="1367"/>
        <item x="1368"/>
        <item x="1369"/>
        <item x="1370"/>
        <item x="1371"/>
        <item x="1372"/>
        <item x="1373"/>
        <item x="1374"/>
        <item x="1375"/>
        <item x="1376"/>
        <item x="1377"/>
        <item x="1378"/>
        <item x="1379"/>
        <item x="1380"/>
        <item x="34"/>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86"/>
        <item x="1439"/>
        <item x="1440"/>
        <item x="1441"/>
        <item x="1442"/>
        <item x="1443"/>
        <item x="1444"/>
        <item x="1445"/>
        <item x="1446"/>
        <item x="1447"/>
        <item x="87"/>
        <item x="1448"/>
        <item x="1449"/>
        <item x="1450"/>
        <item x="1451"/>
        <item x="1452"/>
        <item x="1453"/>
        <item x="1454"/>
        <item x="1455"/>
        <item x="1456"/>
        <item x="1457"/>
        <item x="1458"/>
        <item x="1459"/>
        <item x="1460"/>
        <item x="88"/>
        <item x="1461"/>
        <item x="1462"/>
        <item x="1463"/>
        <item x="1464"/>
        <item x="1465"/>
        <item x="1466"/>
        <item x="1467"/>
        <item x="1468"/>
        <item x="1469"/>
        <item x="1470"/>
        <item x="1471"/>
        <item x="1472"/>
        <item x="1473"/>
        <item x="1474"/>
        <item x="1475"/>
        <item x="3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89"/>
        <item x="1558"/>
        <item x="1559"/>
        <item x="1560"/>
        <item x="1561"/>
        <item x="1562"/>
        <item x="1563"/>
        <item x="1564"/>
        <item x="1565"/>
        <item x="36"/>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37"/>
        <item x="3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90"/>
        <item x="1723"/>
        <item x="1724"/>
        <item x="1725"/>
        <item x="1726"/>
        <item x="1727"/>
        <item x="1728"/>
        <item x="39"/>
        <item x="1729"/>
        <item x="1730"/>
        <item x="1731"/>
        <item x="1732"/>
        <item x="91"/>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92"/>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40"/>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41"/>
        <item x="1885"/>
        <item x="1886"/>
        <item x="93"/>
        <item x="42"/>
        <item x="1887"/>
        <item x="1888"/>
        <item x="1889"/>
        <item x="1890"/>
        <item x="1891"/>
        <item x="1892"/>
        <item x="1893"/>
        <item x="1894"/>
        <item x="43"/>
        <item x="1895"/>
        <item x="1896"/>
        <item x="1897"/>
        <item x="44"/>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45"/>
        <item x="1934"/>
        <item x="1935"/>
        <item x="46"/>
        <item x="1936"/>
        <item x="1937"/>
        <item x="1938"/>
        <item x="1939"/>
        <item x="1940"/>
        <item x="94"/>
        <item x="1941"/>
        <item x="1942"/>
        <item x="1943"/>
        <item x="1944"/>
        <item x="1945"/>
        <item x="1946"/>
        <item x="1947"/>
        <item x="1948"/>
        <item x="1949"/>
        <item x="1950"/>
        <item x="1951"/>
        <item x="47"/>
        <item x="1952"/>
        <item x="1953"/>
        <item x="1954"/>
        <item x="1955"/>
        <item x="1956"/>
        <item x="1957"/>
        <item x="1958"/>
        <item x="1959"/>
        <item x="1960"/>
        <item x="1961"/>
        <item x="1962"/>
        <item x="1963"/>
        <item x="1964"/>
        <item x="95"/>
        <item x="1965"/>
        <item x="1966"/>
        <item x="1967"/>
        <item x="1968"/>
        <item x="1969"/>
        <item x="1970"/>
        <item x="1971"/>
        <item x="1972"/>
        <item x="1973"/>
        <item x="1974"/>
        <item x="1975"/>
        <item x="1976"/>
        <item x="1977"/>
        <item x="1978"/>
        <item x="48"/>
        <item x="1979"/>
        <item x="1980"/>
        <item x="1981"/>
        <item x="1982"/>
        <item x="1983"/>
        <item x="1984"/>
        <item x="1985"/>
        <item x="1986"/>
        <item x="1987"/>
        <item x="1988"/>
        <item x="96"/>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97"/>
        <item x="2016"/>
        <item x="98"/>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49"/>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99"/>
        <item x="212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axis="axisRow" showAll="0">
      <items count="4">
        <item x="0"/>
        <item x="2"/>
        <item x="1"/>
        <item t="default"/>
      </items>
    </pivotField>
    <pivotField showAll="0">
      <items count="3">
        <item x="0"/>
        <item x="1"/>
        <item t="default"/>
      </items>
    </pivotField>
  </pivotFields>
  <rowFields count="1">
    <field x="14"/>
  </rowFields>
  <rowItems count="3">
    <i>
      <x/>
    </i>
    <i>
      <x v="1"/>
    </i>
    <i>
      <x v="2"/>
    </i>
  </rowItems>
  <colItems count="1">
    <i/>
  </colItems>
  <dataFields count="1">
    <dataField name=" Daily Return in %" fld="11" subtotal="average" baseField="14" baseItem="0" numFmtId="2"/>
  </dataFields>
  <formats count="2">
    <format dxfId="34">
      <pivotArea outline="0" collapsedLevelsAreSubtotals="1" fieldPosition="0"/>
    </format>
    <format dxfId="3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550CF5-BF4F-457F-A165-0A54435A7D0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42:B43" firstHeaderRow="1" firstDataRow="1" firstDataCol="1"/>
  <pivotFields count="16">
    <pivotField axis="axisRow" showAll="0" measureFilter="1" sortType="descending">
      <items count="2123">
        <item x="100"/>
        <item x="101"/>
        <item x="102"/>
        <item x="103"/>
        <item x="104"/>
        <item x="105"/>
        <item x="106"/>
        <item x="107"/>
        <item x="108"/>
        <item x="109"/>
        <item x="110"/>
        <item x="111"/>
        <item x="112"/>
        <item x="113"/>
        <item x="114"/>
        <item x="115"/>
        <item x="116"/>
        <item x="117"/>
        <item x="118"/>
        <item x="119"/>
        <item x="50"/>
        <item x="120"/>
        <item x="121"/>
        <item x="122"/>
        <item x="123"/>
        <item x="124"/>
        <item x="125"/>
        <item x="126"/>
        <item x="127"/>
        <item x="128"/>
        <item x="129"/>
        <item x="130"/>
        <item x="131"/>
        <item x="132"/>
        <item x="133"/>
        <item x="134"/>
        <item x="135"/>
        <item x="136"/>
        <item x="137"/>
        <item x="51"/>
        <item x="0"/>
        <item x="52"/>
        <item x="1"/>
        <item x="53"/>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54"/>
        <item x="207"/>
        <item x="208"/>
        <item x="209"/>
        <item x="210"/>
        <item x="211"/>
        <item x="212"/>
        <item x="213"/>
        <item x="214"/>
        <item x="215"/>
        <item x="216"/>
        <item x="217"/>
        <item x="218"/>
        <item x="219"/>
        <item x="220"/>
        <item x="221"/>
        <item x="222"/>
        <item x="223"/>
        <item x="224"/>
        <item x="225"/>
        <item x="226"/>
        <item x="227"/>
        <item x="228"/>
        <item x="229"/>
        <item x="230"/>
        <item x="2"/>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3"/>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4"/>
        <item x="307"/>
        <item x="308"/>
        <item x="309"/>
        <item x="310"/>
        <item x="311"/>
        <item x="312"/>
        <item x="313"/>
        <item x="5"/>
        <item x="314"/>
        <item x="315"/>
        <item x="6"/>
        <item x="316"/>
        <item x="55"/>
        <item x="317"/>
        <item x="56"/>
        <item x="318"/>
        <item x="319"/>
        <item x="7"/>
        <item x="320"/>
        <item x="321"/>
        <item x="322"/>
        <item x="323"/>
        <item x="324"/>
        <item x="325"/>
        <item x="326"/>
        <item x="327"/>
        <item x="328"/>
        <item x="329"/>
        <item x="330"/>
        <item x="331"/>
        <item x="332"/>
        <item x="333"/>
        <item x="334"/>
        <item x="335"/>
        <item x="57"/>
        <item x="336"/>
        <item x="337"/>
        <item x="338"/>
        <item x="339"/>
        <item x="340"/>
        <item x="341"/>
        <item x="342"/>
        <item x="343"/>
        <item x="344"/>
        <item x="345"/>
        <item x="346"/>
        <item x="347"/>
        <item x="348"/>
        <item x="349"/>
        <item x="350"/>
        <item x="351"/>
        <item x="8"/>
        <item x="352"/>
        <item x="353"/>
        <item x="354"/>
        <item x="355"/>
        <item x="356"/>
        <item x="357"/>
        <item x="358"/>
        <item x="359"/>
        <item x="360"/>
        <item x="361"/>
        <item x="362"/>
        <item x="363"/>
        <item x="364"/>
        <item x="365"/>
        <item x="366"/>
        <item x="367"/>
        <item x="368"/>
        <item x="9"/>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58"/>
        <item x="59"/>
        <item x="399"/>
        <item x="400"/>
        <item x="401"/>
        <item x="60"/>
        <item x="402"/>
        <item x="403"/>
        <item x="404"/>
        <item x="405"/>
        <item x="406"/>
        <item x="407"/>
        <item x="408"/>
        <item x="409"/>
        <item x="410"/>
        <item x="411"/>
        <item x="412"/>
        <item x="413"/>
        <item x="414"/>
        <item x="415"/>
        <item x="416"/>
        <item x="61"/>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62"/>
        <item x="451"/>
        <item x="452"/>
        <item x="453"/>
        <item x="454"/>
        <item x="455"/>
        <item x="456"/>
        <item x="457"/>
        <item x="458"/>
        <item x="459"/>
        <item x="460"/>
        <item x="63"/>
        <item x="461"/>
        <item x="462"/>
        <item x="463"/>
        <item x="464"/>
        <item x="465"/>
        <item x="466"/>
        <item x="10"/>
        <item x="467"/>
        <item x="468"/>
        <item x="469"/>
        <item x="470"/>
        <item x="471"/>
        <item x="1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64"/>
        <item x="571"/>
        <item x="65"/>
        <item x="572"/>
        <item x="66"/>
        <item x="573"/>
        <item x="574"/>
        <item x="575"/>
        <item x="576"/>
        <item x="577"/>
        <item x="578"/>
        <item x="579"/>
        <item x="580"/>
        <item x="581"/>
        <item x="582"/>
        <item x="583"/>
        <item x="584"/>
        <item x="585"/>
        <item x="586"/>
        <item x="12"/>
        <item x="587"/>
        <item x="588"/>
        <item x="589"/>
        <item x="590"/>
        <item x="591"/>
        <item x="592"/>
        <item x="593"/>
        <item x="594"/>
        <item x="595"/>
        <item x="596"/>
        <item x="597"/>
        <item x="598"/>
        <item x="599"/>
        <item x="600"/>
        <item x="601"/>
        <item x="13"/>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7"/>
        <item x="631"/>
        <item x="632"/>
        <item x="633"/>
        <item x="634"/>
        <item x="635"/>
        <item x="636"/>
        <item x="637"/>
        <item x="638"/>
        <item x="639"/>
        <item x="640"/>
        <item x="641"/>
        <item x="642"/>
        <item x="643"/>
        <item x="14"/>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8"/>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69"/>
        <item x="756"/>
        <item x="757"/>
        <item x="758"/>
        <item x="759"/>
        <item x="760"/>
        <item x="761"/>
        <item x="762"/>
        <item x="763"/>
        <item x="764"/>
        <item x="765"/>
        <item x="766"/>
        <item x="767"/>
        <item x="768"/>
        <item x="769"/>
        <item x="770"/>
        <item x="15"/>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70"/>
        <item x="804"/>
        <item x="805"/>
        <item x="806"/>
        <item x="807"/>
        <item x="808"/>
        <item x="809"/>
        <item x="810"/>
        <item x="811"/>
        <item x="812"/>
        <item x="71"/>
        <item x="813"/>
        <item x="814"/>
        <item x="815"/>
        <item x="816"/>
        <item x="817"/>
        <item x="818"/>
        <item x="16"/>
        <item x="819"/>
        <item x="820"/>
        <item x="17"/>
        <item x="18"/>
        <item x="821"/>
        <item x="822"/>
        <item x="823"/>
        <item x="824"/>
        <item x="825"/>
        <item x="826"/>
        <item x="827"/>
        <item x="828"/>
        <item x="829"/>
        <item x="830"/>
        <item x="831"/>
        <item x="832"/>
        <item x="833"/>
        <item x="834"/>
        <item x="835"/>
        <item x="836"/>
        <item x="837"/>
        <item x="838"/>
        <item x="839"/>
        <item x="19"/>
        <item x="840"/>
        <item x="841"/>
        <item x="842"/>
        <item x="843"/>
        <item x="844"/>
        <item x="20"/>
        <item x="845"/>
        <item x="72"/>
        <item x="846"/>
        <item x="847"/>
        <item x="848"/>
        <item x="849"/>
        <item x="850"/>
        <item x="851"/>
        <item x="852"/>
        <item x="853"/>
        <item x="854"/>
        <item x="855"/>
        <item x="856"/>
        <item x="857"/>
        <item x="858"/>
        <item x="859"/>
        <item x="860"/>
        <item x="861"/>
        <item x="862"/>
        <item x="863"/>
        <item x="864"/>
        <item x="865"/>
        <item x="866"/>
        <item x="867"/>
        <item x="73"/>
        <item x="868"/>
        <item x="869"/>
        <item x="870"/>
        <item x="21"/>
        <item x="74"/>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75"/>
        <item x="900"/>
        <item x="901"/>
        <item x="902"/>
        <item x="903"/>
        <item x="904"/>
        <item x="905"/>
        <item x="906"/>
        <item x="22"/>
        <item x="907"/>
        <item x="908"/>
        <item x="909"/>
        <item x="910"/>
        <item x="911"/>
        <item x="912"/>
        <item x="913"/>
        <item x="914"/>
        <item x="915"/>
        <item x="916"/>
        <item x="917"/>
        <item x="918"/>
        <item x="919"/>
        <item x="920"/>
        <item x="921"/>
        <item x="922"/>
        <item x="923"/>
        <item x="924"/>
        <item x="925"/>
        <item x="926"/>
        <item x="23"/>
        <item x="927"/>
        <item x="928"/>
        <item x="929"/>
        <item x="930"/>
        <item x="931"/>
        <item x="932"/>
        <item x="933"/>
        <item x="934"/>
        <item x="935"/>
        <item x="936"/>
        <item x="937"/>
        <item x="938"/>
        <item x="939"/>
        <item x="940"/>
        <item x="76"/>
        <item x="941"/>
        <item x="942"/>
        <item x="943"/>
        <item x="944"/>
        <item x="945"/>
        <item x="946"/>
        <item x="947"/>
        <item x="948"/>
        <item x="77"/>
        <item x="949"/>
        <item x="950"/>
        <item x="951"/>
        <item x="952"/>
        <item x="953"/>
        <item x="954"/>
        <item x="2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78"/>
        <item x="985"/>
        <item x="986"/>
        <item x="25"/>
        <item x="987"/>
        <item x="988"/>
        <item x="989"/>
        <item x="990"/>
        <item x="991"/>
        <item x="992"/>
        <item x="993"/>
        <item x="994"/>
        <item x="995"/>
        <item x="996"/>
        <item x="997"/>
        <item x="998"/>
        <item x="999"/>
        <item x="1000"/>
        <item x="1001"/>
        <item x="1002"/>
        <item x="1003"/>
        <item x="1004"/>
        <item x="1005"/>
        <item x="79"/>
        <item x="1006"/>
        <item x="1007"/>
        <item x="26"/>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27"/>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80"/>
        <item x="1128"/>
        <item x="1129"/>
        <item x="1130"/>
        <item x="1131"/>
        <item x="1132"/>
        <item x="1133"/>
        <item x="1134"/>
        <item x="1135"/>
        <item x="81"/>
        <item x="1136"/>
        <item x="1137"/>
        <item x="1138"/>
        <item x="1139"/>
        <item x="1140"/>
        <item x="1141"/>
        <item x="28"/>
        <item x="1142"/>
        <item x="1143"/>
        <item x="82"/>
        <item x="1144"/>
        <item x="1145"/>
        <item x="1146"/>
        <item x="1147"/>
        <item x="1148"/>
        <item x="1149"/>
        <item x="1150"/>
        <item x="1151"/>
        <item x="29"/>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30"/>
        <item x="1195"/>
        <item x="1196"/>
        <item x="1197"/>
        <item x="1198"/>
        <item x="1199"/>
        <item x="1200"/>
        <item x="1201"/>
        <item x="31"/>
        <item x="1202"/>
        <item x="1203"/>
        <item x="1204"/>
        <item x="83"/>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84"/>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85"/>
        <item x="1297"/>
        <item x="1298"/>
        <item x="1299"/>
        <item x="1300"/>
        <item x="1301"/>
        <item x="1302"/>
        <item x="1303"/>
        <item x="1304"/>
        <item x="1305"/>
        <item x="1306"/>
        <item x="1307"/>
        <item x="1308"/>
        <item x="1309"/>
        <item x="1310"/>
        <item x="1311"/>
        <item x="1312"/>
        <item x="1313"/>
        <item x="1314"/>
        <item x="1315"/>
        <item x="1316"/>
        <item x="1317"/>
        <item x="1318"/>
        <item x="32"/>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33"/>
        <item x="1357"/>
        <item x="1358"/>
        <item x="1359"/>
        <item x="1360"/>
        <item x="1361"/>
        <item x="1362"/>
        <item x="1363"/>
        <item x="1364"/>
        <item x="1365"/>
        <item x="1366"/>
        <item x="1367"/>
        <item x="1368"/>
        <item x="1369"/>
        <item x="1370"/>
        <item x="1371"/>
        <item x="1372"/>
        <item x="1373"/>
        <item x="1374"/>
        <item x="1375"/>
        <item x="1376"/>
        <item x="1377"/>
        <item x="1378"/>
        <item x="1379"/>
        <item x="1380"/>
        <item x="34"/>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86"/>
        <item x="1439"/>
        <item x="1440"/>
        <item x="1441"/>
        <item x="1442"/>
        <item x="1443"/>
        <item x="1444"/>
        <item x="1445"/>
        <item x="1446"/>
        <item x="1447"/>
        <item x="87"/>
        <item x="1448"/>
        <item x="1449"/>
        <item x="1450"/>
        <item x="1451"/>
        <item x="1452"/>
        <item x="1453"/>
        <item x="1454"/>
        <item x="1455"/>
        <item x="1456"/>
        <item x="1457"/>
        <item x="1458"/>
        <item x="1459"/>
        <item x="1460"/>
        <item x="88"/>
        <item x="1461"/>
        <item x="1462"/>
        <item x="1463"/>
        <item x="1464"/>
        <item x="1465"/>
        <item x="1466"/>
        <item x="1467"/>
        <item x="1468"/>
        <item x="1469"/>
        <item x="1470"/>
        <item x="1471"/>
        <item x="1472"/>
        <item x="1473"/>
        <item x="1474"/>
        <item x="1475"/>
        <item x="3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89"/>
        <item x="1558"/>
        <item x="1559"/>
        <item x="1560"/>
        <item x="1561"/>
        <item x="1562"/>
        <item x="1563"/>
        <item x="1564"/>
        <item x="1565"/>
        <item x="36"/>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37"/>
        <item x="3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90"/>
        <item x="1723"/>
        <item x="1724"/>
        <item x="1725"/>
        <item x="1726"/>
        <item x="1727"/>
        <item x="1728"/>
        <item x="39"/>
        <item x="1729"/>
        <item x="1730"/>
        <item x="1731"/>
        <item x="1732"/>
        <item x="91"/>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92"/>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40"/>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41"/>
        <item x="1885"/>
        <item x="1886"/>
        <item x="93"/>
        <item x="42"/>
        <item x="1887"/>
        <item x="1888"/>
        <item x="1889"/>
        <item x="1890"/>
        <item x="1891"/>
        <item x="1892"/>
        <item x="1893"/>
        <item x="1894"/>
        <item x="43"/>
        <item x="1895"/>
        <item x="1896"/>
        <item x="1897"/>
        <item x="44"/>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45"/>
        <item x="1934"/>
        <item x="1935"/>
        <item x="46"/>
        <item x="1936"/>
        <item x="1937"/>
        <item x="1938"/>
        <item x="1939"/>
        <item x="1940"/>
        <item x="94"/>
        <item x="1941"/>
        <item x="1942"/>
        <item x="1943"/>
        <item x="1944"/>
        <item x="1945"/>
        <item x="1946"/>
        <item x="1947"/>
        <item x="1948"/>
        <item x="1949"/>
        <item x="1950"/>
        <item x="1951"/>
        <item x="47"/>
        <item x="1952"/>
        <item x="1953"/>
        <item x="1954"/>
        <item x="1955"/>
        <item x="1956"/>
        <item x="1957"/>
        <item x="1958"/>
        <item x="1959"/>
        <item x="1960"/>
        <item x="1961"/>
        <item x="1962"/>
        <item x="1963"/>
        <item x="1964"/>
        <item x="95"/>
        <item x="1965"/>
        <item x="1966"/>
        <item x="1967"/>
        <item x="1968"/>
        <item x="1969"/>
        <item x="1970"/>
        <item x="1971"/>
        <item x="1972"/>
        <item x="1973"/>
        <item x="1974"/>
        <item x="1975"/>
        <item x="1976"/>
        <item x="1977"/>
        <item x="1978"/>
        <item x="48"/>
        <item x="1979"/>
        <item x="1980"/>
        <item x="1981"/>
        <item x="1982"/>
        <item x="1983"/>
        <item x="1984"/>
        <item x="1985"/>
        <item x="1986"/>
        <item x="1987"/>
        <item x="1988"/>
        <item x="96"/>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97"/>
        <item x="2016"/>
        <item x="98"/>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49"/>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99"/>
        <item x="21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items count="4">
        <item x="0"/>
        <item x="2"/>
        <item x="1"/>
        <item t="default"/>
      </items>
    </pivotField>
    <pivotField showAll="0">
      <items count="3">
        <item x="0"/>
        <item x="1"/>
        <item t="default"/>
      </items>
    </pivotField>
  </pivotFields>
  <rowFields count="1">
    <field x="0"/>
  </rowFields>
  <rowItems count="1">
    <i>
      <x v="775"/>
    </i>
  </rowItems>
  <colItems count="1">
    <i/>
  </colItems>
  <dataFields count="1">
    <dataField name="Sum of Daily Return" fld="11"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ement" xr10:uid="{2AA7621C-F9C9-4D26-A0B8-72B67AC3F029}" sourceName="Movement">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51871537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p_Category" xr10:uid="{2494A9A7-31A0-4274-AD9C-32B6AF2B6BDC}" sourceName="Cap Category">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51871537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me_Category" xr10:uid="{93EED21D-6BF6-4C29-ACCA-493E6DF45ADB}" sourceName="Volume Category">
  <pivotTables>
    <pivotTable tabId="3" name="PivotTable3"/>
    <pivotTable tabId="3" name="PivotTable1"/>
    <pivotTable tabId="3" name="PivotTable2"/>
    <pivotTable tabId="3" name="PivotTable4"/>
    <pivotTable tabId="3" name="PivotTable5"/>
    <pivotTable tabId="3" name="PivotTable6"/>
    <pivotTable tabId="3" name="PivotTable7"/>
  </pivotTables>
  <data>
    <tabular pivotCacheId="51871537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vement" xr10:uid="{7BCCFEAC-6928-4107-828B-577AE3B69A9F}" cache="Slicer_Movement" caption="Movement" rowHeight="234950"/>
  <slicer name="Cap Category" xr10:uid="{D5A2AB2C-D8C4-413D-A472-60726F989A22}" cache="Slicer_Cap_Category" caption="Cap Category" rowHeight="234950"/>
  <slicer name="Volume Category" xr10:uid="{C44F5499-7070-4A69-B07B-6376F9F1D952}" cache="Slicer_Volume_Category" caption="Volume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B2E536-3D68-4754-ABD4-EA1C99A39542}" name="Table1" displayName="Table1" ref="A1:P2123" totalsRowShown="0">
  <autoFilter ref="A1:P2123" xr:uid="{20B2E536-3D68-4754-ABD4-EA1C99A39542}"/>
  <tableColumns count="16">
    <tableColumn id="1" xr3:uid="{2B1623AB-7C49-48FE-B001-DB2AD9122F78}" name="SYMBOL"/>
    <tableColumn id="2" xr3:uid="{9DADDC6B-E9D6-4240-AE88-93861E5D0422}" name="COMPANY_NAME"/>
    <tableColumn id="3" xr3:uid="{083FE8B0-8818-451D-A617-A1F200567B02}" name="OPEN_PRICE"/>
    <tableColumn id="4" xr3:uid="{6819C640-174E-4AF1-95AD-0D2CCC7F43C3}" name="HIGH_PRICE"/>
    <tableColumn id="5" xr3:uid="{0ECA49F8-D94E-4F98-808A-2295B9ECAE66}" name="LOW_PRICE"/>
    <tableColumn id="6" xr3:uid="{8CB9A2D0-3169-4C5B-A698-8FC6AB1914EE}" name="CLOSE_PRICE"/>
    <tableColumn id="7" xr3:uid="{B78AB442-FE86-4321-9FE9-674067ECD617}" name="PREV_CL_PR"/>
    <tableColumn id="8" xr3:uid="{D3F6E01D-B5D3-47E2-A366-5343EFFF3DE6}" name="NET_TRDQTY"/>
    <tableColumn id="9" xr3:uid="{C9812FEA-8258-47C4-97B3-C9B8F4584123}" name="TRADES"/>
    <tableColumn id="10" xr3:uid="{F9727F01-ED53-4E8D-8F72-74C9A87C95F0}" name="MARKET_CAP"/>
    <tableColumn id="11" xr3:uid="{7137DE46-47F0-4890-98EF-6380F879F569}" name="ISSUE_SIZE"/>
    <tableColumn id="12" xr3:uid="{559B50AB-207C-4398-A029-A826A5707A0C}" name="Daily Return" dataDxfId="30">
      <calculatedColumnFormula>(Table1[[#This Row],[CLOSE_PRICE]] - Table1[[#This Row],[PREV_CL_PR]]) / Table1[[#This Row],[PREV_CL_PR]] * 100</calculatedColumnFormula>
    </tableColumn>
    <tableColumn id="13" xr3:uid="{7B6DE199-0BBF-4EE0-8C05-CC4E460E6BB5}" name="Price Range" dataDxfId="29">
      <calculatedColumnFormula>Table1[[#This Row],[HIGH_PRICE]]-Table1[[#This Row],[LOW_PRICE]]</calculatedColumnFormula>
    </tableColumn>
    <tableColumn id="14" xr3:uid="{F3AAE381-0E86-4B8D-A1BA-16D9D9037E2B}" name="Movement" dataDxfId="28">
      <calculatedColumnFormula>IF(Table1[[#This Row],[CLOSE_PRICE]]&gt;Table1[[#This Row],[OPEN_PRICE]],"Gain","Loss")</calculatedColumnFormula>
    </tableColumn>
    <tableColumn id="15" xr3:uid="{08C565C3-4F6B-4E1A-9DDE-60CCB7A79BD6}" name="Cap Category" dataDxfId="27">
      <calculatedColumnFormula>IF(Table1[[#This Row],[MARKET_CAP]]&gt;200000000000,"Large Cap",
IF(Table1[[#This Row],[MARKET_CAP]]&gt;50000000000,"Mid Cap","Small Cap"))</calculatedColumnFormula>
    </tableColumn>
    <tableColumn id="16" xr3:uid="{777BC727-63BD-4F38-8325-74B60EB4BB41}" name="Volume Category" dataDxfId="26">
      <calculatedColumnFormula>IF(Table1[[#This Row],[NET_TRDQTY]]&gt;1000000,"High Volume","Low Volume")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A39C5-E90C-4BAF-B377-9526F004A4CB}">
  <dimension ref="A3:B55"/>
  <sheetViews>
    <sheetView zoomScale="70" zoomScaleNormal="70" workbookViewId="0">
      <selection activeCell="D57" sqref="D57"/>
    </sheetView>
  </sheetViews>
  <sheetFormatPr defaultRowHeight="14.4" x14ac:dyDescent="0.3"/>
  <cols>
    <col min="1" max="1" width="13.88671875" bestFit="1" customWidth="1"/>
    <col min="2" max="2" width="18.88671875" bestFit="1" customWidth="1"/>
  </cols>
  <sheetData>
    <row r="3" spans="1:2" x14ac:dyDescent="0.3">
      <c r="A3" s="1" t="s">
        <v>4256</v>
      </c>
      <c r="B3" t="s">
        <v>4257</v>
      </c>
    </row>
    <row r="4" spans="1:2" x14ac:dyDescent="0.3">
      <c r="A4" s="2" t="s">
        <v>4258</v>
      </c>
      <c r="B4" s="6">
        <v>183</v>
      </c>
    </row>
    <row r="5" spans="1:2" x14ac:dyDescent="0.3">
      <c r="A5" s="2" t="s">
        <v>4259</v>
      </c>
      <c r="B5" s="6">
        <v>1939</v>
      </c>
    </row>
    <row r="11" spans="1:2" x14ac:dyDescent="0.3">
      <c r="A11" s="1" t="s">
        <v>4254</v>
      </c>
      <c r="B11" s="3" t="s">
        <v>4268</v>
      </c>
    </row>
    <row r="12" spans="1:2" x14ac:dyDescent="0.3">
      <c r="A12" s="2" t="s">
        <v>4260</v>
      </c>
      <c r="B12" s="3">
        <v>-3.6251792274372083</v>
      </c>
    </row>
    <row r="13" spans="1:2" x14ac:dyDescent="0.3">
      <c r="A13" s="2" t="s">
        <v>4261</v>
      </c>
      <c r="B13" s="3">
        <v>-4.1089468855539799</v>
      </c>
    </row>
    <row r="14" spans="1:2" x14ac:dyDescent="0.3">
      <c r="A14" s="2" t="s">
        <v>4262</v>
      </c>
      <c r="B14" s="3">
        <v>-4.5295418086921977</v>
      </c>
    </row>
    <row r="20" spans="1:2" x14ac:dyDescent="0.3">
      <c r="A20" s="1" t="s">
        <v>4256</v>
      </c>
      <c r="B20" t="s">
        <v>4265</v>
      </c>
    </row>
    <row r="21" spans="1:2" x14ac:dyDescent="0.3">
      <c r="A21" s="2" t="s">
        <v>4263</v>
      </c>
      <c r="B21" s="6">
        <v>4386505757</v>
      </c>
    </row>
    <row r="22" spans="1:2" x14ac:dyDescent="0.3">
      <c r="A22" s="2" t="s">
        <v>4264</v>
      </c>
      <c r="B22" s="6">
        <v>354839060</v>
      </c>
    </row>
    <row r="28" spans="1:2" x14ac:dyDescent="0.3">
      <c r="A28" s="1" t="s">
        <v>4267</v>
      </c>
      <c r="B28" t="s">
        <v>4266</v>
      </c>
    </row>
    <row r="29" spans="1:2" x14ac:dyDescent="0.3">
      <c r="A29" s="2" t="s">
        <v>2535</v>
      </c>
      <c r="B29" s="6">
        <v>4060</v>
      </c>
    </row>
    <row r="30" spans="1:2" x14ac:dyDescent="0.3">
      <c r="A30" s="2" t="s">
        <v>127</v>
      </c>
      <c r="B30" s="6">
        <v>1300</v>
      </c>
    </row>
    <row r="31" spans="1:2" x14ac:dyDescent="0.3">
      <c r="A31" s="2" t="s">
        <v>2021</v>
      </c>
      <c r="B31" s="6">
        <v>1264</v>
      </c>
    </row>
    <row r="32" spans="1:2" x14ac:dyDescent="0.3">
      <c r="A32" s="2" t="s">
        <v>2279</v>
      </c>
      <c r="B32" s="6">
        <v>1201</v>
      </c>
    </row>
    <row r="33" spans="1:2" x14ac:dyDescent="0.3">
      <c r="A33" s="2" t="s">
        <v>251</v>
      </c>
      <c r="B33" s="6">
        <v>1150</v>
      </c>
    </row>
    <row r="34" spans="1:2" x14ac:dyDescent="0.3">
      <c r="A34" s="2" t="s">
        <v>1723</v>
      </c>
      <c r="B34" s="6">
        <v>1085</v>
      </c>
    </row>
    <row r="35" spans="1:2" x14ac:dyDescent="0.3">
      <c r="A35" s="2" t="s">
        <v>1378</v>
      </c>
      <c r="B35" s="6">
        <v>1060</v>
      </c>
    </row>
    <row r="36" spans="1:2" x14ac:dyDescent="0.3">
      <c r="A36" s="2" t="s">
        <v>219</v>
      </c>
      <c r="B36" s="6">
        <v>1035</v>
      </c>
    </row>
    <row r="37" spans="1:2" x14ac:dyDescent="0.3">
      <c r="A37" s="2" t="s">
        <v>2959</v>
      </c>
      <c r="B37" s="6">
        <v>1000</v>
      </c>
    </row>
    <row r="38" spans="1:2" x14ac:dyDescent="0.3">
      <c r="A38" s="2" t="s">
        <v>191</v>
      </c>
      <c r="B38" s="6">
        <v>945</v>
      </c>
    </row>
    <row r="42" spans="1:2" x14ac:dyDescent="0.3">
      <c r="A42" s="1" t="s">
        <v>4256</v>
      </c>
      <c r="B42" t="s">
        <v>4269</v>
      </c>
    </row>
    <row r="43" spans="1:2" x14ac:dyDescent="0.3">
      <c r="A43" s="2" t="s">
        <v>1677</v>
      </c>
      <c r="B43" s="6">
        <v>19.986631016042779</v>
      </c>
    </row>
    <row r="44" spans="1:2" x14ac:dyDescent="0.3">
      <c r="A44" t="str">
        <f>A43</f>
        <v>HGM</v>
      </c>
      <c r="B44" s="4">
        <f>GETPIVOTDATA("Daily Return",$A$42,"SYMBOL","HGM")/100</f>
        <v>0.19986631016042777</v>
      </c>
    </row>
    <row r="47" spans="1:2" x14ac:dyDescent="0.3">
      <c r="A47" t="s">
        <v>4270</v>
      </c>
    </row>
    <row r="48" spans="1:2" x14ac:dyDescent="0.3">
      <c r="A48" s="6">
        <v>-4.3164372753418903</v>
      </c>
      <c r="B48" s="4">
        <f>GETPIVOTDATA("Daily Return",$A$47)/100</f>
        <v>-4.3164372753418903E-2</v>
      </c>
    </row>
    <row r="53" spans="1:2" x14ac:dyDescent="0.3">
      <c r="A53" s="1" t="s">
        <v>4256</v>
      </c>
      <c r="B53" t="s">
        <v>4271</v>
      </c>
    </row>
    <row r="54" spans="1:2" x14ac:dyDescent="0.3">
      <c r="A54" s="2" t="s">
        <v>1759</v>
      </c>
      <c r="B54" s="5">
        <v>664844250</v>
      </c>
    </row>
    <row r="55" spans="1:2" x14ac:dyDescent="0.3">
      <c r="A55" t="str">
        <f>A54</f>
        <v>IDEA</v>
      </c>
      <c r="B55" s="5">
        <f>GETPIVOTDATA("NET_TRDQTY",$A$53,"SYMBOL","IDEA")</f>
        <v>664844250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0737F-90A1-41C9-BA31-70015FBA7A1C}">
  <dimension ref="A1:P2123"/>
  <sheetViews>
    <sheetView topLeftCell="A2" workbookViewId="0">
      <selection activeCell="G7" sqref="A2:P2123"/>
    </sheetView>
  </sheetViews>
  <sheetFormatPr defaultRowHeight="14.4" x14ac:dyDescent="0.3"/>
  <cols>
    <col min="1" max="1" width="10" customWidth="1"/>
    <col min="2" max="2" width="18.109375" customWidth="1"/>
    <col min="3" max="3" width="13.5546875" customWidth="1"/>
    <col min="4" max="4" width="13" customWidth="1"/>
    <col min="5" max="5" width="12.77734375" customWidth="1"/>
    <col min="6" max="6" width="14.109375" customWidth="1"/>
    <col min="7" max="7" width="13.5546875" customWidth="1"/>
    <col min="8" max="8" width="13.88671875" customWidth="1"/>
    <col min="9" max="9" width="9.44140625" customWidth="1"/>
    <col min="10" max="10" width="14.5546875" customWidth="1"/>
    <col min="11" max="11" width="12.33203125" customWidth="1"/>
  </cols>
  <sheetData>
    <row r="1" spans="1:16" x14ac:dyDescent="0.3">
      <c r="A1" t="s">
        <v>0</v>
      </c>
      <c r="B1" t="s">
        <v>1</v>
      </c>
      <c r="C1" t="s">
        <v>2</v>
      </c>
      <c r="D1" t="s">
        <v>3</v>
      </c>
      <c r="E1" t="s">
        <v>4</v>
      </c>
      <c r="F1" t="s">
        <v>5</v>
      </c>
      <c r="G1" t="s">
        <v>6</v>
      </c>
      <c r="H1" t="s">
        <v>7</v>
      </c>
      <c r="I1" t="s">
        <v>8</v>
      </c>
      <c r="J1" t="s">
        <v>9</v>
      </c>
      <c r="K1" t="s">
        <v>10</v>
      </c>
      <c r="L1" t="s">
        <v>4251</v>
      </c>
      <c r="M1" t="s">
        <v>4252</v>
      </c>
      <c r="N1" t="s">
        <v>4253</v>
      </c>
      <c r="O1" t="s">
        <v>4254</v>
      </c>
      <c r="P1" t="s">
        <v>4255</v>
      </c>
    </row>
    <row r="2" spans="1:16" x14ac:dyDescent="0.3">
      <c r="A2" t="s">
        <v>11</v>
      </c>
      <c r="B2" t="s">
        <v>12</v>
      </c>
      <c r="C2">
        <v>1910</v>
      </c>
      <c r="D2">
        <v>1910.1</v>
      </c>
      <c r="E2">
        <v>1820.5</v>
      </c>
      <c r="F2">
        <v>1833</v>
      </c>
      <c r="G2">
        <v>1927.1</v>
      </c>
      <c r="H2">
        <v>2370668</v>
      </c>
      <c r="I2">
        <v>92190</v>
      </c>
      <c r="J2">
        <v>2120000000000</v>
      </c>
      <c r="K2">
        <v>1154180729</v>
      </c>
      <c r="L2">
        <f>(Table1[[#This Row],[CLOSE_PRICE]] - Table1[[#This Row],[PREV_CL_PR]]) / Table1[[#This Row],[PREV_CL_PR]] * 100</f>
        <v>-4.8829847958071664</v>
      </c>
      <c r="M2">
        <f>Table1[[#This Row],[HIGH_PRICE]]-Table1[[#This Row],[LOW_PRICE]]</f>
        <v>89.599999999999909</v>
      </c>
      <c r="N2" t="str">
        <f>IF(Table1[[#This Row],[CLOSE_PRICE]]&gt;Table1[[#This Row],[OPEN_PRICE]],"Gain","Loss")</f>
        <v>Loss</v>
      </c>
      <c r="O2" t="str">
        <f>IF(Table1[[#This Row],[MARKET_CAP]]&gt;200000000000,"Large Cap",
IF(Table1[[#This Row],[MARKET_CAP]]&gt;50000000000,"Mid Cap","Small Cap"))</f>
        <v>Large Cap</v>
      </c>
      <c r="P2" t="str">
        <f>IF(Table1[[#This Row],[NET_TRDQTY]]&gt;1000000,"High Volume","Low Volume")</f>
        <v>High Volume</v>
      </c>
    </row>
    <row r="3" spans="1:16" x14ac:dyDescent="0.3">
      <c r="A3" t="s">
        <v>13</v>
      </c>
      <c r="B3" t="s">
        <v>14</v>
      </c>
      <c r="C3">
        <v>1350</v>
      </c>
      <c r="D3">
        <v>1350</v>
      </c>
      <c r="E3">
        <v>1293.5</v>
      </c>
      <c r="F3">
        <v>1303.5999999999999</v>
      </c>
      <c r="G3">
        <v>1365.4</v>
      </c>
      <c r="H3">
        <v>3361416</v>
      </c>
      <c r="I3">
        <v>169409</v>
      </c>
      <c r="J3">
        <v>3000000000000</v>
      </c>
      <c r="K3">
        <v>2303959098</v>
      </c>
      <c r="L3">
        <f>(Table1[[#This Row],[CLOSE_PRICE]] - Table1[[#This Row],[PREV_CL_PR]]) / Table1[[#This Row],[PREV_CL_PR]] * 100</f>
        <v>-4.5261461842683595</v>
      </c>
      <c r="M3">
        <f>Table1[[#This Row],[HIGH_PRICE]]-Table1[[#This Row],[LOW_PRICE]]</f>
        <v>56.5</v>
      </c>
      <c r="N3" t="str">
        <f>IF(Table1[[#This Row],[CLOSE_PRICE]]&gt;Table1[[#This Row],[OPEN_PRICE]],"Gain","Loss")</f>
        <v>Loss</v>
      </c>
      <c r="O3" t="str">
        <f>IF(Table1[[#This Row],[MARKET_CAP]]&gt;200000000000,"Large Cap",
IF(Table1[[#This Row],[MARKET_CAP]]&gt;50000000000,"Mid Cap","Small Cap"))</f>
        <v>Large Cap</v>
      </c>
      <c r="P3" t="str">
        <f>IF(Table1[[#This Row],[NET_TRDQTY]]&gt;1000000,"High Volume","Low Volume")</f>
        <v>High Volume</v>
      </c>
    </row>
    <row r="4" spans="1:16" x14ac:dyDescent="0.3">
      <c r="A4" t="s">
        <v>15</v>
      </c>
      <c r="B4" t="s">
        <v>16</v>
      </c>
      <c r="C4">
        <v>7288</v>
      </c>
      <c r="D4">
        <v>7288</v>
      </c>
      <c r="E4">
        <v>7080</v>
      </c>
      <c r="F4">
        <v>7145</v>
      </c>
      <c r="G4">
        <v>7364.5</v>
      </c>
      <c r="H4">
        <v>464969</v>
      </c>
      <c r="I4">
        <v>56488</v>
      </c>
      <c r="J4">
        <v>1030000000000</v>
      </c>
      <c r="K4">
        <v>143784657</v>
      </c>
      <c r="L4">
        <f>(Table1[[#This Row],[CLOSE_PRICE]] - Table1[[#This Row],[PREV_CL_PR]]) / Table1[[#This Row],[PREV_CL_PR]] * 100</f>
        <v>-2.9805146310000681</v>
      </c>
      <c r="M4">
        <f>Table1[[#This Row],[HIGH_PRICE]]-Table1[[#This Row],[LOW_PRICE]]</f>
        <v>208</v>
      </c>
      <c r="N4" t="str">
        <f>IF(Table1[[#This Row],[CLOSE_PRICE]]&gt;Table1[[#This Row],[OPEN_PRICE]],"Gain","Loss")</f>
        <v>Loss</v>
      </c>
      <c r="O4" t="str">
        <f>IF(Table1[[#This Row],[MARKET_CAP]]&gt;200000000000,"Large Cap",
IF(Table1[[#This Row],[MARKET_CAP]]&gt;50000000000,"Mid Cap","Small Cap"))</f>
        <v>Large Cap</v>
      </c>
      <c r="P4" t="str">
        <f>IF(Table1[[#This Row],[NET_TRDQTY]]&gt;1000000,"High Volume","Low Volume")</f>
        <v>Low Volume</v>
      </c>
    </row>
    <row r="5" spans="1:16" x14ac:dyDescent="0.3">
      <c r="A5" t="s">
        <v>17</v>
      </c>
      <c r="B5" t="s">
        <v>18</v>
      </c>
      <c r="C5">
        <v>2180</v>
      </c>
      <c r="D5">
        <v>2180</v>
      </c>
      <c r="E5">
        <v>2115</v>
      </c>
      <c r="F5">
        <v>2121.3000000000002</v>
      </c>
      <c r="G5">
        <v>2195.4</v>
      </c>
      <c r="H5">
        <v>978398</v>
      </c>
      <c r="I5">
        <v>84243</v>
      </c>
      <c r="J5">
        <v>2030000000000</v>
      </c>
      <c r="K5">
        <v>959197790</v>
      </c>
      <c r="L5">
        <f>(Table1[[#This Row],[CLOSE_PRICE]] - Table1[[#This Row],[PREV_CL_PR]]) / Table1[[#This Row],[PREV_CL_PR]] * 100</f>
        <v>-3.375239136376055</v>
      </c>
      <c r="M5">
        <f>Table1[[#This Row],[HIGH_PRICE]]-Table1[[#This Row],[LOW_PRICE]]</f>
        <v>65</v>
      </c>
      <c r="N5" t="str">
        <f>IF(Table1[[#This Row],[CLOSE_PRICE]]&gt;Table1[[#This Row],[OPEN_PRICE]],"Gain","Loss")</f>
        <v>Loss</v>
      </c>
      <c r="O5" t="str">
        <f>IF(Table1[[#This Row],[MARKET_CAP]]&gt;200000000000,"Large Cap",
IF(Table1[[#This Row],[MARKET_CAP]]&gt;50000000000,"Mid Cap","Small Cap"))</f>
        <v>Large Cap</v>
      </c>
      <c r="P5" t="str">
        <f>IF(Table1[[#This Row],[NET_TRDQTY]]&gt;1000000,"High Volume","Low Volume")</f>
        <v>Low Volume</v>
      </c>
    </row>
    <row r="6" spans="1:16" x14ac:dyDescent="0.3">
      <c r="A6" t="s">
        <v>19</v>
      </c>
      <c r="B6" t="s">
        <v>20</v>
      </c>
      <c r="C6">
        <v>1181</v>
      </c>
      <c r="D6">
        <v>1185.0999999999999</v>
      </c>
      <c r="E6">
        <v>1165</v>
      </c>
      <c r="F6">
        <v>1170.5999999999999</v>
      </c>
      <c r="G6">
        <v>1203.9000000000001</v>
      </c>
      <c r="H6">
        <v>6697446</v>
      </c>
      <c r="I6">
        <v>225496</v>
      </c>
      <c r="J6">
        <v>3630000000000</v>
      </c>
      <c r="K6">
        <v>3104488514</v>
      </c>
      <c r="L6">
        <f>(Table1[[#This Row],[CLOSE_PRICE]] - Table1[[#This Row],[PREV_CL_PR]]) / Table1[[#This Row],[PREV_CL_PR]] * 100</f>
        <v>-2.7660104659855618</v>
      </c>
      <c r="M6">
        <f>Table1[[#This Row],[HIGH_PRICE]]-Table1[[#This Row],[LOW_PRICE]]</f>
        <v>20.099999999999909</v>
      </c>
      <c r="N6" t="str">
        <f>IF(Table1[[#This Row],[CLOSE_PRICE]]&gt;Table1[[#This Row],[OPEN_PRICE]],"Gain","Loss")</f>
        <v>Loss</v>
      </c>
      <c r="O6" t="str">
        <f>IF(Table1[[#This Row],[MARKET_CAP]]&gt;200000000000,"Large Cap",
IF(Table1[[#This Row],[MARKET_CAP]]&gt;50000000000,"Mid Cap","Small Cap"))</f>
        <v>Large Cap</v>
      </c>
      <c r="P6" t="str">
        <f>IF(Table1[[#This Row],[NET_TRDQTY]]&gt;1000000,"High Volume","Low Volume")</f>
        <v>High Volume</v>
      </c>
    </row>
    <row r="7" spans="1:16" x14ac:dyDescent="0.3">
      <c r="A7" t="s">
        <v>21</v>
      </c>
      <c r="B7" t="s">
        <v>22</v>
      </c>
      <c r="C7">
        <v>8989.5</v>
      </c>
      <c r="D7">
        <v>8989.5</v>
      </c>
      <c r="E7">
        <v>8752</v>
      </c>
      <c r="F7">
        <v>8776</v>
      </c>
      <c r="G7">
        <v>9051</v>
      </c>
      <c r="H7">
        <v>375189</v>
      </c>
      <c r="I7">
        <v>64073</v>
      </c>
      <c r="J7">
        <v>2450000000000</v>
      </c>
      <c r="K7">
        <v>279257608</v>
      </c>
      <c r="L7">
        <f>(Table1[[#This Row],[CLOSE_PRICE]] - Table1[[#This Row],[PREV_CL_PR]]) / Table1[[#This Row],[PREV_CL_PR]] * 100</f>
        <v>-3.0383383051596509</v>
      </c>
      <c r="M7">
        <f>Table1[[#This Row],[HIGH_PRICE]]-Table1[[#This Row],[LOW_PRICE]]</f>
        <v>237.5</v>
      </c>
      <c r="N7" t="str">
        <f>IF(Table1[[#This Row],[CLOSE_PRICE]]&gt;Table1[[#This Row],[OPEN_PRICE]],"Gain","Loss")</f>
        <v>Loss</v>
      </c>
      <c r="O7" t="str">
        <f>IF(Table1[[#This Row],[MARKET_CAP]]&gt;200000000000,"Large Cap",
IF(Table1[[#This Row],[MARKET_CAP]]&gt;50000000000,"Mid Cap","Small Cap"))</f>
        <v>Large Cap</v>
      </c>
      <c r="P7" t="str">
        <f>IF(Table1[[#This Row],[NET_TRDQTY]]&gt;1000000,"High Volume","Low Volume")</f>
        <v>Low Volume</v>
      </c>
    </row>
    <row r="8" spans="1:16" x14ac:dyDescent="0.3">
      <c r="A8" t="s">
        <v>23</v>
      </c>
      <c r="B8" t="s">
        <v>24</v>
      </c>
      <c r="C8">
        <v>1699.8</v>
      </c>
      <c r="D8">
        <v>1700</v>
      </c>
      <c r="E8">
        <v>1662.7</v>
      </c>
      <c r="F8">
        <v>1675.5</v>
      </c>
      <c r="G8">
        <v>1710.3</v>
      </c>
      <c r="H8">
        <v>2207925</v>
      </c>
      <c r="I8">
        <v>112974</v>
      </c>
      <c r="J8">
        <v>2680000000000</v>
      </c>
      <c r="K8">
        <v>1597813220</v>
      </c>
      <c r="L8">
        <f>(Table1[[#This Row],[CLOSE_PRICE]] - Table1[[#This Row],[PREV_CL_PR]]) / Table1[[#This Row],[PREV_CL_PR]] * 100</f>
        <v>-2.0347307489914024</v>
      </c>
      <c r="M8">
        <f>Table1[[#This Row],[HIGH_PRICE]]-Table1[[#This Row],[LOW_PRICE]]</f>
        <v>37.299999999999955</v>
      </c>
      <c r="N8" t="str">
        <f>IF(Table1[[#This Row],[CLOSE_PRICE]]&gt;Table1[[#This Row],[OPEN_PRICE]],"Gain","Loss")</f>
        <v>Loss</v>
      </c>
      <c r="O8" t="str">
        <f>IF(Table1[[#This Row],[MARKET_CAP]]&gt;200000000000,"Large Cap",
IF(Table1[[#This Row],[MARKET_CAP]]&gt;50000000000,"Mid Cap","Small Cap"))</f>
        <v>Large Cap</v>
      </c>
      <c r="P8" t="str">
        <f>IF(Table1[[#This Row],[NET_TRDQTY]]&gt;1000000,"High Volume","Low Volume")</f>
        <v>High Volume</v>
      </c>
    </row>
    <row r="9" spans="1:16" x14ac:dyDescent="0.3">
      <c r="A9" t="s">
        <v>25</v>
      </c>
      <c r="B9" t="s">
        <v>26</v>
      </c>
      <c r="C9">
        <v>818.1</v>
      </c>
      <c r="D9">
        <v>818.8</v>
      </c>
      <c r="E9">
        <v>787.9</v>
      </c>
      <c r="F9">
        <v>812.6</v>
      </c>
      <c r="G9">
        <v>830.55</v>
      </c>
      <c r="H9">
        <v>15835828</v>
      </c>
      <c r="I9">
        <v>385591</v>
      </c>
      <c r="J9">
        <v>5060000000000</v>
      </c>
      <c r="K9">
        <v>6222481865</v>
      </c>
      <c r="L9">
        <f>(Table1[[#This Row],[CLOSE_PRICE]] - Table1[[#This Row],[PREV_CL_PR]]) / Table1[[#This Row],[PREV_CL_PR]] * 100</f>
        <v>-2.1612184696887522</v>
      </c>
      <c r="M9">
        <f>Table1[[#This Row],[HIGH_PRICE]]-Table1[[#This Row],[LOW_PRICE]]</f>
        <v>30.899999999999977</v>
      </c>
      <c r="N9" t="str">
        <f>IF(Table1[[#This Row],[CLOSE_PRICE]]&gt;Table1[[#This Row],[OPEN_PRICE]],"Gain","Loss")</f>
        <v>Loss</v>
      </c>
      <c r="O9" t="str">
        <f>IF(Table1[[#This Row],[MARKET_CAP]]&gt;200000000000,"Large Cap",
IF(Table1[[#This Row],[MARKET_CAP]]&gt;50000000000,"Mid Cap","Small Cap"))</f>
        <v>Large Cap</v>
      </c>
      <c r="P9" t="str">
        <f>IF(Table1[[#This Row],[NET_TRDQTY]]&gt;1000000,"High Volume","Low Volume")</f>
        <v>High Volume</v>
      </c>
    </row>
    <row r="10" spans="1:16" x14ac:dyDescent="0.3">
      <c r="A10" t="s">
        <v>27</v>
      </c>
      <c r="B10" t="s">
        <v>28</v>
      </c>
      <c r="C10">
        <v>420.6</v>
      </c>
      <c r="D10">
        <v>421.75</v>
      </c>
      <c r="E10">
        <v>404</v>
      </c>
      <c r="F10">
        <v>405.5</v>
      </c>
      <c r="G10">
        <v>426.1</v>
      </c>
      <c r="H10">
        <v>18894757</v>
      </c>
      <c r="I10">
        <v>264954</v>
      </c>
      <c r="J10">
        <v>2960000000000</v>
      </c>
      <c r="K10">
        <v>7309778829</v>
      </c>
      <c r="L10">
        <f>(Table1[[#This Row],[CLOSE_PRICE]] - Table1[[#This Row],[PREV_CL_PR]]) / Table1[[#This Row],[PREV_CL_PR]] * 100</f>
        <v>-4.8345458812485385</v>
      </c>
      <c r="M10">
        <f>Table1[[#This Row],[HIGH_PRICE]]-Table1[[#This Row],[LOW_PRICE]]</f>
        <v>17.75</v>
      </c>
      <c r="N10" t="str">
        <f>IF(Table1[[#This Row],[CLOSE_PRICE]]&gt;Table1[[#This Row],[OPEN_PRICE]],"Gain","Loss")</f>
        <v>Loss</v>
      </c>
      <c r="O10" t="str">
        <f>IF(Table1[[#This Row],[MARKET_CAP]]&gt;200000000000,"Large Cap",
IF(Table1[[#This Row],[MARKET_CAP]]&gt;50000000000,"Mid Cap","Small Cap"))</f>
        <v>Large Cap</v>
      </c>
      <c r="P10" t="str">
        <f>IF(Table1[[#This Row],[NET_TRDQTY]]&gt;1000000,"High Volume","Low Volume")</f>
        <v>High Volume</v>
      </c>
    </row>
    <row r="11" spans="1:16" x14ac:dyDescent="0.3">
      <c r="A11" t="s">
        <v>29</v>
      </c>
      <c r="B11" t="s">
        <v>30</v>
      </c>
      <c r="C11">
        <v>1827</v>
      </c>
      <c r="D11">
        <v>1830</v>
      </c>
      <c r="E11">
        <v>1792</v>
      </c>
      <c r="F11">
        <v>1795.9</v>
      </c>
      <c r="G11">
        <v>1846.1</v>
      </c>
      <c r="H11">
        <v>6874051</v>
      </c>
      <c r="I11">
        <v>246881</v>
      </c>
      <c r="J11">
        <v>10200000000000</v>
      </c>
      <c r="K11">
        <v>5702105319</v>
      </c>
      <c r="L11">
        <f>(Table1[[#This Row],[CLOSE_PRICE]] - Table1[[#This Row],[PREV_CL_PR]]) / Table1[[#This Row],[PREV_CL_PR]] * 100</f>
        <v>-2.7192459780076823</v>
      </c>
      <c r="M11">
        <f>Table1[[#This Row],[HIGH_PRICE]]-Table1[[#This Row],[LOW_PRICE]]</f>
        <v>38</v>
      </c>
      <c r="N11" t="str">
        <f>IF(Table1[[#This Row],[CLOSE_PRICE]]&gt;Table1[[#This Row],[OPEN_PRICE]],"Gain","Loss")</f>
        <v>Loss</v>
      </c>
      <c r="O11" t="str">
        <f>IF(Table1[[#This Row],[MARKET_CAP]]&gt;200000000000,"Large Cap",
IF(Table1[[#This Row],[MARKET_CAP]]&gt;50000000000,"Mid Cap","Small Cap"))</f>
        <v>Large Cap</v>
      </c>
      <c r="P11" t="str">
        <f>IF(Table1[[#This Row],[NET_TRDQTY]]&gt;1000000,"High Volume","Low Volume")</f>
        <v>High Volume</v>
      </c>
    </row>
    <row r="12" spans="1:16" x14ac:dyDescent="0.3">
      <c r="A12" t="s">
        <v>31</v>
      </c>
      <c r="B12" t="s">
        <v>32</v>
      </c>
      <c r="C12">
        <v>1252</v>
      </c>
      <c r="D12">
        <v>1252.7</v>
      </c>
      <c r="E12">
        <v>1217.8</v>
      </c>
      <c r="F12">
        <v>1221.8</v>
      </c>
      <c r="G12">
        <v>1256.4000000000001</v>
      </c>
      <c r="H12">
        <v>1295463</v>
      </c>
      <c r="I12">
        <v>74343</v>
      </c>
      <c r="J12">
        <v>987000000000</v>
      </c>
      <c r="K12">
        <v>807771798</v>
      </c>
      <c r="L12">
        <f>(Table1[[#This Row],[CLOSE_PRICE]] - Table1[[#This Row],[PREV_CL_PR]]) / Table1[[#This Row],[PREV_CL_PR]] * 100</f>
        <v>-2.7539000318370053</v>
      </c>
      <c r="M12">
        <f>Table1[[#This Row],[HIGH_PRICE]]-Table1[[#This Row],[LOW_PRICE]]</f>
        <v>34.900000000000091</v>
      </c>
      <c r="N12" t="str">
        <f>IF(Table1[[#This Row],[CLOSE_PRICE]]&gt;Table1[[#This Row],[OPEN_PRICE]],"Gain","Loss")</f>
        <v>Loss</v>
      </c>
      <c r="O12" t="str">
        <f>IF(Table1[[#This Row],[MARKET_CAP]]&gt;200000000000,"Large Cap",
IF(Table1[[#This Row],[MARKET_CAP]]&gt;50000000000,"Mid Cap","Small Cap"))</f>
        <v>Large Cap</v>
      </c>
      <c r="P12" t="str">
        <f>IF(Table1[[#This Row],[NET_TRDQTY]]&gt;1000000,"High Volume","Low Volume")</f>
        <v>High Volume</v>
      </c>
    </row>
    <row r="13" spans="1:16" x14ac:dyDescent="0.3">
      <c r="A13" t="s">
        <v>33</v>
      </c>
      <c r="B13" t="s">
        <v>34</v>
      </c>
      <c r="C13">
        <v>466</v>
      </c>
      <c r="D13">
        <v>466</v>
      </c>
      <c r="E13">
        <v>450.65</v>
      </c>
      <c r="F13">
        <v>455.25</v>
      </c>
      <c r="G13">
        <v>468.15</v>
      </c>
      <c r="H13">
        <v>10163783</v>
      </c>
      <c r="I13">
        <v>139845</v>
      </c>
      <c r="J13">
        <v>2810000000000</v>
      </c>
      <c r="K13">
        <v>6162728327</v>
      </c>
      <c r="L13">
        <f>(Table1[[#This Row],[CLOSE_PRICE]] - Table1[[#This Row],[PREV_CL_PR]]) / Table1[[#This Row],[PREV_CL_PR]] * 100</f>
        <v>-2.7555270746555545</v>
      </c>
      <c r="M13">
        <f>Table1[[#This Row],[HIGH_PRICE]]-Table1[[#This Row],[LOW_PRICE]]</f>
        <v>15.350000000000023</v>
      </c>
      <c r="N13" t="str">
        <f>IF(Table1[[#This Row],[CLOSE_PRICE]]&gt;Table1[[#This Row],[OPEN_PRICE]],"Gain","Loss")</f>
        <v>Loss</v>
      </c>
      <c r="O13" t="str">
        <f>IF(Table1[[#This Row],[MARKET_CAP]]&gt;200000000000,"Large Cap",
IF(Table1[[#This Row],[MARKET_CAP]]&gt;50000000000,"Mid Cap","Small Cap"))</f>
        <v>Large Cap</v>
      </c>
      <c r="P13" t="str">
        <f>IF(Table1[[#This Row],[NET_TRDQTY]]&gt;1000000,"High Volume","Low Volume")</f>
        <v>High Volume</v>
      </c>
    </row>
    <row r="14" spans="1:16" x14ac:dyDescent="0.3">
      <c r="A14" t="s">
        <v>35</v>
      </c>
      <c r="B14" t="s">
        <v>36</v>
      </c>
      <c r="C14">
        <v>1293</v>
      </c>
      <c r="D14">
        <v>1293</v>
      </c>
      <c r="E14">
        <v>1244.2</v>
      </c>
      <c r="F14">
        <v>1253.3</v>
      </c>
      <c r="G14">
        <v>1298.9000000000001</v>
      </c>
      <c r="H14">
        <v>2112613</v>
      </c>
      <c r="I14">
        <v>70019</v>
      </c>
      <c r="J14">
        <v>1050000000000</v>
      </c>
      <c r="K14">
        <v>834630355</v>
      </c>
      <c r="L14">
        <f>(Table1[[#This Row],[CLOSE_PRICE]] - Table1[[#This Row],[PREV_CL_PR]]) / Table1[[#This Row],[PREV_CL_PR]] * 100</f>
        <v>-3.5106628685811172</v>
      </c>
      <c r="M14">
        <f>Table1[[#This Row],[HIGH_PRICE]]-Table1[[#This Row],[LOW_PRICE]]</f>
        <v>48.799999999999955</v>
      </c>
      <c r="N14" t="str">
        <f>IF(Table1[[#This Row],[CLOSE_PRICE]]&gt;Table1[[#This Row],[OPEN_PRICE]],"Gain","Loss")</f>
        <v>Loss</v>
      </c>
      <c r="O14" t="str">
        <f>IF(Table1[[#This Row],[MARKET_CAP]]&gt;200000000000,"Large Cap",
IF(Table1[[#This Row],[MARKET_CAP]]&gt;50000000000,"Mid Cap","Small Cap"))</f>
        <v>Large Cap</v>
      </c>
      <c r="P14" t="str">
        <f>IF(Table1[[#This Row],[NET_TRDQTY]]&gt;1000000,"High Volume","Low Volume")</f>
        <v>High Volume</v>
      </c>
    </row>
    <row r="15" spans="1:16" x14ac:dyDescent="0.3">
      <c r="A15" t="s">
        <v>37</v>
      </c>
      <c r="B15" t="s">
        <v>38</v>
      </c>
      <c r="C15">
        <v>6790</v>
      </c>
      <c r="D15">
        <v>6831.5</v>
      </c>
      <c r="E15">
        <v>6661</v>
      </c>
      <c r="F15">
        <v>6681.5</v>
      </c>
      <c r="G15">
        <v>6909</v>
      </c>
      <c r="H15">
        <v>380052</v>
      </c>
      <c r="I15">
        <v>64045</v>
      </c>
      <c r="J15">
        <v>1830000000000</v>
      </c>
      <c r="K15">
        <v>274299237</v>
      </c>
      <c r="L15">
        <f>(Table1[[#This Row],[CLOSE_PRICE]] - Table1[[#This Row],[PREV_CL_PR]]) / Table1[[#This Row],[PREV_CL_PR]] * 100</f>
        <v>-3.2928064842958458</v>
      </c>
      <c r="M15">
        <f>Table1[[#This Row],[HIGH_PRICE]]-Table1[[#This Row],[LOW_PRICE]]</f>
        <v>170.5</v>
      </c>
      <c r="N15" t="str">
        <f>IF(Table1[[#This Row],[CLOSE_PRICE]]&gt;Table1[[#This Row],[OPEN_PRICE]],"Gain","Loss")</f>
        <v>Loss</v>
      </c>
      <c r="O15" t="str">
        <f>IF(Table1[[#This Row],[MARKET_CAP]]&gt;200000000000,"Large Cap",
IF(Table1[[#This Row],[MARKET_CAP]]&gt;50000000000,"Mid Cap","Small Cap"))</f>
        <v>Large Cap</v>
      </c>
      <c r="P15" t="str">
        <f>IF(Table1[[#This Row],[NET_TRDQTY]]&gt;1000000,"High Volume","Low Volume")</f>
        <v>Low Volume</v>
      </c>
    </row>
    <row r="16" spans="1:16" x14ac:dyDescent="0.3">
      <c r="A16" t="s">
        <v>39</v>
      </c>
      <c r="B16" t="s">
        <v>40</v>
      </c>
      <c r="C16">
        <v>227.9</v>
      </c>
      <c r="D16">
        <v>231.4</v>
      </c>
      <c r="E16">
        <v>224.21</v>
      </c>
      <c r="F16">
        <v>226.96</v>
      </c>
      <c r="G16">
        <v>232.29</v>
      </c>
      <c r="H16">
        <v>71121843</v>
      </c>
      <c r="I16">
        <v>507043</v>
      </c>
      <c r="J16">
        <v>2190000000000</v>
      </c>
      <c r="K16">
        <v>9650350647</v>
      </c>
      <c r="L16">
        <f>(Table1[[#This Row],[CLOSE_PRICE]] - Table1[[#This Row],[PREV_CL_PR]]) / Table1[[#This Row],[PREV_CL_PR]] * 100</f>
        <v>-2.2945456110895797</v>
      </c>
      <c r="M16">
        <f>Table1[[#This Row],[HIGH_PRICE]]-Table1[[#This Row],[LOW_PRICE]]</f>
        <v>7.1899999999999977</v>
      </c>
      <c r="N16" t="str">
        <f>IF(Table1[[#This Row],[CLOSE_PRICE]]&gt;Table1[[#This Row],[OPEN_PRICE]],"Gain","Loss")</f>
        <v>Loss</v>
      </c>
      <c r="O16" t="str">
        <f>IF(Table1[[#This Row],[MARKET_CAP]]&gt;200000000000,"Large Cap",
IF(Table1[[#This Row],[MARKET_CAP]]&gt;50000000000,"Mid Cap","Small Cap"))</f>
        <v>Large Cap</v>
      </c>
      <c r="P16" t="str">
        <f>IF(Table1[[#This Row],[NET_TRDQTY]]&gt;1000000,"High Volume","Low Volume")</f>
        <v>High Volume</v>
      </c>
    </row>
    <row r="17" spans="1:16" x14ac:dyDescent="0.3">
      <c r="A17" t="s">
        <v>41</v>
      </c>
      <c r="B17" t="s">
        <v>42</v>
      </c>
      <c r="C17">
        <v>2591</v>
      </c>
      <c r="D17">
        <v>2598</v>
      </c>
      <c r="E17">
        <v>2502.5</v>
      </c>
      <c r="F17">
        <v>2531.1</v>
      </c>
      <c r="G17">
        <v>2616.3000000000002</v>
      </c>
      <c r="H17">
        <v>1936926</v>
      </c>
      <c r="I17">
        <v>119360</v>
      </c>
      <c r="J17">
        <v>1720000000000</v>
      </c>
      <c r="K17">
        <v>680521734</v>
      </c>
      <c r="L17">
        <f>(Table1[[#This Row],[CLOSE_PRICE]] - Table1[[#This Row],[PREV_CL_PR]]) / Table1[[#This Row],[PREV_CL_PR]] * 100</f>
        <v>-3.2565072812750935</v>
      </c>
      <c r="M17">
        <f>Table1[[#This Row],[HIGH_PRICE]]-Table1[[#This Row],[LOW_PRICE]]</f>
        <v>95.5</v>
      </c>
      <c r="N17" t="str">
        <f>IF(Table1[[#This Row],[CLOSE_PRICE]]&gt;Table1[[#This Row],[OPEN_PRICE]],"Gain","Loss")</f>
        <v>Loss</v>
      </c>
      <c r="O17" t="str">
        <f>IF(Table1[[#This Row],[MARKET_CAP]]&gt;200000000000,"Large Cap",
IF(Table1[[#This Row],[MARKET_CAP]]&gt;50000000000,"Mid Cap","Small Cap"))</f>
        <v>Large Cap</v>
      </c>
      <c r="P17" t="str">
        <f>IF(Table1[[#This Row],[NET_TRDQTY]]&gt;1000000,"High Volume","Low Volume")</f>
        <v>High Volume</v>
      </c>
    </row>
    <row r="18" spans="1:16" x14ac:dyDescent="0.3">
      <c r="A18" t="s">
        <v>43</v>
      </c>
      <c r="B18" t="s">
        <v>44</v>
      </c>
      <c r="C18">
        <v>1314.8</v>
      </c>
      <c r="D18">
        <v>1365</v>
      </c>
      <c r="E18">
        <v>1310</v>
      </c>
      <c r="F18">
        <v>1358.6</v>
      </c>
      <c r="G18">
        <v>1333.7</v>
      </c>
      <c r="H18">
        <v>5166409</v>
      </c>
      <c r="I18">
        <v>173461</v>
      </c>
      <c r="J18">
        <v>3690000000000</v>
      </c>
      <c r="K18">
        <v>2713665096</v>
      </c>
      <c r="L18">
        <f>(Table1[[#This Row],[CLOSE_PRICE]] - Table1[[#This Row],[PREV_CL_PR]]) / Table1[[#This Row],[PREV_CL_PR]] * 100</f>
        <v>1.8669865786908497</v>
      </c>
      <c r="M18">
        <f>Table1[[#This Row],[HIGH_PRICE]]-Table1[[#This Row],[LOW_PRICE]]</f>
        <v>55</v>
      </c>
      <c r="N18" t="str">
        <f>IF(Table1[[#This Row],[CLOSE_PRICE]]&gt;Table1[[#This Row],[OPEN_PRICE]],"Gain","Loss")</f>
        <v>Gain</v>
      </c>
      <c r="O18" t="str">
        <f>IF(Table1[[#This Row],[MARKET_CAP]]&gt;200000000000,"Large Cap",
IF(Table1[[#This Row],[MARKET_CAP]]&gt;50000000000,"Mid Cap","Small Cap"))</f>
        <v>Large Cap</v>
      </c>
      <c r="P18" t="str">
        <f>IF(Table1[[#This Row],[NET_TRDQTY]]&gt;1000000,"High Volume","Low Volume")</f>
        <v>High Volume</v>
      </c>
    </row>
    <row r="19" spans="1:16" x14ac:dyDescent="0.3">
      <c r="A19" t="s">
        <v>45</v>
      </c>
      <c r="B19" t="s">
        <v>46</v>
      </c>
      <c r="C19">
        <v>763.15</v>
      </c>
      <c r="D19">
        <v>768.7</v>
      </c>
      <c r="E19">
        <v>741.05</v>
      </c>
      <c r="F19">
        <v>744.15</v>
      </c>
      <c r="G19">
        <v>780.45</v>
      </c>
      <c r="H19">
        <v>72341738</v>
      </c>
      <c r="I19">
        <v>872248</v>
      </c>
      <c r="J19">
        <v>11400000000000</v>
      </c>
      <c r="K19">
        <v>15384577216</v>
      </c>
      <c r="L19">
        <f>(Table1[[#This Row],[CLOSE_PRICE]] - Table1[[#This Row],[PREV_CL_PR]]) / Table1[[#This Row],[PREV_CL_PR]] * 100</f>
        <v>-4.6511627906976827</v>
      </c>
      <c r="M19">
        <f>Table1[[#This Row],[HIGH_PRICE]]-Table1[[#This Row],[LOW_PRICE]]</f>
        <v>27.650000000000091</v>
      </c>
      <c r="N19" t="str">
        <f>IF(Table1[[#This Row],[CLOSE_PRICE]]&gt;Table1[[#This Row],[OPEN_PRICE]],"Gain","Loss")</f>
        <v>Loss</v>
      </c>
      <c r="O19" t="str">
        <f>IF(Table1[[#This Row],[MARKET_CAP]]&gt;200000000000,"Large Cap",
IF(Table1[[#This Row],[MARKET_CAP]]&gt;50000000000,"Mid Cap","Small Cap"))</f>
        <v>Large Cap</v>
      </c>
      <c r="P19" t="str">
        <f>IF(Table1[[#This Row],[NET_TRDQTY]]&gt;1000000,"High Volume","Low Volume")</f>
        <v>High Volume</v>
      </c>
    </row>
    <row r="20" spans="1:16" x14ac:dyDescent="0.3">
      <c r="A20" t="s">
        <v>47</v>
      </c>
      <c r="B20" t="s">
        <v>48</v>
      </c>
      <c r="C20">
        <v>615.1</v>
      </c>
      <c r="D20">
        <v>617</v>
      </c>
      <c r="E20">
        <v>590.1</v>
      </c>
      <c r="F20">
        <v>592.1</v>
      </c>
      <c r="G20">
        <v>623.65</v>
      </c>
      <c r="H20">
        <v>4223148</v>
      </c>
      <c r="I20">
        <v>114800</v>
      </c>
      <c r="J20">
        <v>1280000000000</v>
      </c>
      <c r="K20">
        <v>2157615850</v>
      </c>
      <c r="L20">
        <f>(Table1[[#This Row],[CLOSE_PRICE]] - Table1[[#This Row],[PREV_CL_PR]]) / Table1[[#This Row],[PREV_CL_PR]] * 100</f>
        <v>-5.0589272829311245</v>
      </c>
      <c r="M20">
        <f>Table1[[#This Row],[HIGH_PRICE]]-Table1[[#This Row],[LOW_PRICE]]</f>
        <v>26.899999999999977</v>
      </c>
      <c r="N20" t="str">
        <f>IF(Table1[[#This Row],[CLOSE_PRICE]]&gt;Table1[[#This Row],[OPEN_PRICE]],"Gain","Loss")</f>
        <v>Loss</v>
      </c>
      <c r="O20" t="str">
        <f>IF(Table1[[#This Row],[MARKET_CAP]]&gt;200000000000,"Large Cap",
IF(Table1[[#This Row],[MARKET_CAP]]&gt;50000000000,"Mid Cap","Small Cap"))</f>
        <v>Large Cap</v>
      </c>
      <c r="P20" t="str">
        <f>IF(Table1[[#This Row],[NET_TRDQTY]]&gt;1000000,"High Volume","Low Volume")</f>
        <v>High Volume</v>
      </c>
    </row>
    <row r="21" spans="1:16" x14ac:dyDescent="0.3">
      <c r="A21" t="s">
        <v>49</v>
      </c>
      <c r="B21" t="s">
        <v>50</v>
      </c>
      <c r="C21">
        <v>855</v>
      </c>
      <c r="D21">
        <v>857.35</v>
      </c>
      <c r="E21">
        <v>835.95</v>
      </c>
      <c r="F21">
        <v>840.25</v>
      </c>
      <c r="G21">
        <v>874.25</v>
      </c>
      <c r="H21">
        <v>11372786</v>
      </c>
      <c r="I21">
        <v>235268</v>
      </c>
      <c r="J21">
        <v>1890000000000</v>
      </c>
      <c r="K21">
        <v>2247226523</v>
      </c>
      <c r="L21">
        <f>(Table1[[#This Row],[CLOSE_PRICE]] - Table1[[#This Row],[PREV_CL_PR]]) / Table1[[#This Row],[PREV_CL_PR]] * 100</f>
        <v>-3.8890477552187588</v>
      </c>
      <c r="M21">
        <f>Table1[[#This Row],[HIGH_PRICE]]-Table1[[#This Row],[LOW_PRICE]]</f>
        <v>21.399999999999977</v>
      </c>
      <c r="N21" t="str">
        <f>IF(Table1[[#This Row],[CLOSE_PRICE]]&gt;Table1[[#This Row],[OPEN_PRICE]],"Gain","Loss")</f>
        <v>Loss</v>
      </c>
      <c r="O21" t="str">
        <f>IF(Table1[[#This Row],[MARKET_CAP]]&gt;200000000000,"Large Cap",
IF(Table1[[#This Row],[MARKET_CAP]]&gt;50000000000,"Mid Cap","Small Cap"))</f>
        <v>Large Cap</v>
      </c>
      <c r="P21" t="str">
        <f>IF(Table1[[#This Row],[NET_TRDQTY]]&gt;1000000,"High Volume","Low Volume")</f>
        <v>High Volume</v>
      </c>
    </row>
    <row r="22" spans="1:16" x14ac:dyDescent="0.3">
      <c r="A22" t="s">
        <v>51</v>
      </c>
      <c r="B22" t="s">
        <v>52</v>
      </c>
      <c r="C22">
        <v>2062.3000000000002</v>
      </c>
      <c r="D22">
        <v>2097</v>
      </c>
      <c r="E22">
        <v>2033.3</v>
      </c>
      <c r="F22">
        <v>2052.1999999999998</v>
      </c>
      <c r="G22">
        <v>2082.6999999999998</v>
      </c>
      <c r="H22">
        <v>2599535</v>
      </c>
      <c r="I22">
        <v>167567</v>
      </c>
      <c r="J22">
        <v>4820000000000</v>
      </c>
      <c r="K22">
        <v>2349591262</v>
      </c>
      <c r="L22">
        <f>(Table1[[#This Row],[CLOSE_PRICE]] - Table1[[#This Row],[PREV_CL_PR]]) / Table1[[#This Row],[PREV_CL_PR]] * 100</f>
        <v>-1.4644451913381671</v>
      </c>
      <c r="M22">
        <f>Table1[[#This Row],[HIGH_PRICE]]-Table1[[#This Row],[LOW_PRICE]]</f>
        <v>63.700000000000045</v>
      </c>
      <c r="N22" t="str">
        <f>IF(Table1[[#This Row],[CLOSE_PRICE]]&gt;Table1[[#This Row],[OPEN_PRICE]],"Gain","Loss")</f>
        <v>Loss</v>
      </c>
      <c r="O22" t="str">
        <f>IF(Table1[[#This Row],[MARKET_CAP]]&gt;200000000000,"Large Cap",
IF(Table1[[#This Row],[MARKET_CAP]]&gt;50000000000,"Mid Cap","Small Cap"))</f>
        <v>Large Cap</v>
      </c>
      <c r="P22" t="str">
        <f>IF(Table1[[#This Row],[NET_TRDQTY]]&gt;1000000,"High Volume","Low Volume")</f>
        <v>High Volume</v>
      </c>
    </row>
    <row r="23" spans="1:16" x14ac:dyDescent="0.3">
      <c r="A23" t="s">
        <v>53</v>
      </c>
      <c r="B23" t="s">
        <v>54</v>
      </c>
      <c r="C23">
        <v>1226.5999999999999</v>
      </c>
      <c r="D23">
        <v>1234.9000000000001</v>
      </c>
      <c r="E23">
        <v>1218.0999999999999</v>
      </c>
      <c r="F23">
        <v>1222.7</v>
      </c>
      <c r="G23">
        <v>1245.4000000000001</v>
      </c>
      <c r="H23">
        <v>17049534</v>
      </c>
      <c r="I23">
        <v>279421</v>
      </c>
      <c r="J23">
        <v>8740000000000</v>
      </c>
      <c r="K23">
        <v>7150191757</v>
      </c>
      <c r="L23">
        <f>(Table1[[#This Row],[CLOSE_PRICE]] - Table1[[#This Row],[PREV_CL_PR]]) / Table1[[#This Row],[PREV_CL_PR]] * 100</f>
        <v>-1.8227075638349159</v>
      </c>
      <c r="M23">
        <f>Table1[[#This Row],[HIGH_PRICE]]-Table1[[#This Row],[LOW_PRICE]]</f>
        <v>16.800000000000182</v>
      </c>
      <c r="N23" t="str">
        <f>IF(Table1[[#This Row],[CLOSE_PRICE]]&gt;Table1[[#This Row],[OPEN_PRICE]],"Gain","Loss")</f>
        <v>Loss</v>
      </c>
      <c r="O23" t="str">
        <f>IF(Table1[[#This Row],[MARKET_CAP]]&gt;200000000000,"Large Cap",
IF(Table1[[#This Row],[MARKET_CAP]]&gt;50000000000,"Mid Cap","Small Cap"))</f>
        <v>Large Cap</v>
      </c>
      <c r="P23" t="str">
        <f>IF(Table1[[#This Row],[NET_TRDQTY]]&gt;1000000,"High Volume","Low Volume")</f>
        <v>High Volume</v>
      </c>
    </row>
    <row r="24" spans="1:16" x14ac:dyDescent="0.3">
      <c r="A24" t="s">
        <v>55</v>
      </c>
      <c r="B24" t="s">
        <v>56</v>
      </c>
      <c r="C24">
        <v>4069.8</v>
      </c>
      <c r="D24">
        <v>4103.8999999999996</v>
      </c>
      <c r="E24">
        <v>3895.2</v>
      </c>
      <c r="F24">
        <v>3945.3</v>
      </c>
      <c r="G24">
        <v>4149.1000000000004</v>
      </c>
      <c r="H24">
        <v>2919605</v>
      </c>
      <c r="I24">
        <v>214828</v>
      </c>
      <c r="J24">
        <v>1530000000000</v>
      </c>
      <c r="K24">
        <v>386590598</v>
      </c>
      <c r="L24">
        <f>(Table1[[#This Row],[CLOSE_PRICE]] - Table1[[#This Row],[PREV_CL_PR]]) / Table1[[#This Row],[PREV_CL_PR]] * 100</f>
        <v>-4.9119086066857918</v>
      </c>
      <c r="M24">
        <f>Table1[[#This Row],[HIGH_PRICE]]-Table1[[#This Row],[LOW_PRICE]]</f>
        <v>208.69999999999982</v>
      </c>
      <c r="N24" t="str">
        <f>IF(Table1[[#This Row],[CLOSE_PRICE]]&gt;Table1[[#This Row],[OPEN_PRICE]],"Gain","Loss")</f>
        <v>Loss</v>
      </c>
      <c r="O24" t="str">
        <f>IF(Table1[[#This Row],[MARKET_CAP]]&gt;200000000000,"Large Cap",
IF(Table1[[#This Row],[MARKET_CAP]]&gt;50000000000,"Mid Cap","Small Cap"))</f>
        <v>Large Cap</v>
      </c>
      <c r="P24" t="str">
        <f>IF(Table1[[#This Row],[NET_TRDQTY]]&gt;1000000,"High Volume","Low Volume")</f>
        <v>High Volume</v>
      </c>
    </row>
    <row r="25" spans="1:16" x14ac:dyDescent="0.3">
      <c r="A25" t="s">
        <v>57</v>
      </c>
      <c r="B25" t="s">
        <v>58</v>
      </c>
      <c r="C25">
        <v>1238.2</v>
      </c>
      <c r="D25">
        <v>1261.0999999999999</v>
      </c>
      <c r="E25">
        <v>1227.4000000000001</v>
      </c>
      <c r="F25">
        <v>1256.8</v>
      </c>
      <c r="G25">
        <v>1255.9000000000001</v>
      </c>
      <c r="H25">
        <v>12420293</v>
      </c>
      <c r="I25">
        <v>307309</v>
      </c>
      <c r="J25">
        <v>5100000000000</v>
      </c>
      <c r="K25">
        <v>4054624409</v>
      </c>
      <c r="L25">
        <f>(Table1[[#This Row],[CLOSE_PRICE]] - Table1[[#This Row],[PREV_CL_PR]]) / Table1[[#This Row],[PREV_CL_PR]] * 100</f>
        <v>7.1661756509265345E-2</v>
      </c>
      <c r="M25">
        <f>Table1[[#This Row],[HIGH_PRICE]]-Table1[[#This Row],[LOW_PRICE]]</f>
        <v>33.699999999999818</v>
      </c>
      <c r="N25" t="str">
        <f>IF(Table1[[#This Row],[CLOSE_PRICE]]&gt;Table1[[#This Row],[OPEN_PRICE]],"Gain","Loss")</f>
        <v>Gain</v>
      </c>
      <c r="O25" t="str">
        <f>IF(Table1[[#This Row],[MARKET_CAP]]&gt;200000000000,"Large Cap",
IF(Table1[[#This Row],[MARKET_CAP]]&gt;50000000000,"Mid Cap","Small Cap"))</f>
        <v>Large Cap</v>
      </c>
      <c r="P25" t="str">
        <f>IF(Table1[[#This Row],[NET_TRDQTY]]&gt;1000000,"High Volume","Low Volume")</f>
        <v>High Volume</v>
      </c>
    </row>
    <row r="26" spans="1:16" x14ac:dyDescent="0.3">
      <c r="A26" t="s">
        <v>59</v>
      </c>
      <c r="B26" t="s">
        <v>60</v>
      </c>
      <c r="C26">
        <v>298.89999999999998</v>
      </c>
      <c r="D26">
        <v>299</v>
      </c>
      <c r="E26">
        <v>289.55</v>
      </c>
      <c r="F26">
        <v>290.45</v>
      </c>
      <c r="G26">
        <v>299.95</v>
      </c>
      <c r="H26">
        <v>31788160</v>
      </c>
      <c r="I26">
        <v>379322</v>
      </c>
      <c r="J26">
        <v>3640000000000</v>
      </c>
      <c r="K26">
        <v>12528764562</v>
      </c>
      <c r="L26">
        <f>(Table1[[#This Row],[CLOSE_PRICE]] - Table1[[#This Row],[PREV_CL_PR]]) / Table1[[#This Row],[PREV_CL_PR]] * 100</f>
        <v>-3.1671945324220707</v>
      </c>
      <c r="M26">
        <f>Table1[[#This Row],[HIGH_PRICE]]-Table1[[#This Row],[LOW_PRICE]]</f>
        <v>9.4499999999999886</v>
      </c>
      <c r="N26" t="str">
        <f>IF(Table1[[#This Row],[CLOSE_PRICE]]&gt;Table1[[#This Row],[OPEN_PRICE]],"Gain","Loss")</f>
        <v>Loss</v>
      </c>
      <c r="O26" t="str">
        <f>IF(Table1[[#This Row],[MARKET_CAP]]&gt;200000000000,"Large Cap",
IF(Table1[[#This Row],[MARKET_CAP]]&gt;50000000000,"Mid Cap","Small Cap"))</f>
        <v>Large Cap</v>
      </c>
      <c r="P26" t="str">
        <f>IF(Table1[[#This Row],[NET_TRDQTY]]&gt;1000000,"High Volume","Low Volume")</f>
        <v>High Volume</v>
      </c>
    </row>
    <row r="27" spans="1:16" x14ac:dyDescent="0.3">
      <c r="A27" t="s">
        <v>61</v>
      </c>
      <c r="B27" t="s">
        <v>62</v>
      </c>
      <c r="C27">
        <v>236.2</v>
      </c>
      <c r="D27">
        <v>236.3</v>
      </c>
      <c r="E27">
        <v>225.4</v>
      </c>
      <c r="F27">
        <v>226.1</v>
      </c>
      <c r="G27">
        <v>239.3</v>
      </c>
      <c r="H27">
        <v>21172068</v>
      </c>
      <c r="I27">
        <v>192812</v>
      </c>
      <c r="J27">
        <v>1440000000000</v>
      </c>
      <c r="K27">
        <v>6353141623</v>
      </c>
      <c r="L27">
        <f>(Table1[[#This Row],[CLOSE_PRICE]] - Table1[[#This Row],[PREV_CL_PR]]) / Table1[[#This Row],[PREV_CL_PR]] * 100</f>
        <v>-5.5160885917258744</v>
      </c>
      <c r="M27">
        <f>Table1[[#This Row],[HIGH_PRICE]]-Table1[[#This Row],[LOW_PRICE]]</f>
        <v>10.900000000000006</v>
      </c>
      <c r="N27" t="str">
        <f>IF(Table1[[#This Row],[CLOSE_PRICE]]&gt;Table1[[#This Row],[OPEN_PRICE]],"Gain","Loss")</f>
        <v>Loss</v>
      </c>
      <c r="O27" t="str">
        <f>IF(Table1[[#This Row],[MARKET_CAP]]&gt;200000000000,"Large Cap",
IF(Table1[[#This Row],[MARKET_CAP]]&gt;50000000000,"Mid Cap","Small Cap"))</f>
        <v>Large Cap</v>
      </c>
      <c r="P27" t="str">
        <f>IF(Table1[[#This Row],[NET_TRDQTY]]&gt;1000000,"High Volume","Low Volume")</f>
        <v>High Volume</v>
      </c>
    </row>
    <row r="28" spans="1:16" x14ac:dyDescent="0.3">
      <c r="A28" t="s">
        <v>63</v>
      </c>
      <c r="B28" t="s">
        <v>64</v>
      </c>
      <c r="C28">
        <v>1153.8</v>
      </c>
      <c r="D28">
        <v>1153.8</v>
      </c>
      <c r="E28">
        <v>1102.5</v>
      </c>
      <c r="F28">
        <v>1109.5999999999999</v>
      </c>
      <c r="G28">
        <v>1169.5999999999999</v>
      </c>
      <c r="H28">
        <v>2532216</v>
      </c>
      <c r="I28">
        <v>88622</v>
      </c>
      <c r="J28">
        <v>2710000000000</v>
      </c>
      <c r="K28">
        <v>2445453966</v>
      </c>
      <c r="L28">
        <f>(Table1[[#This Row],[CLOSE_PRICE]] - Table1[[#This Row],[PREV_CL_PR]]) / Table1[[#This Row],[PREV_CL_PR]] * 100</f>
        <v>-5.1299589603283184</v>
      </c>
      <c r="M28">
        <f>Table1[[#This Row],[HIGH_PRICE]]-Table1[[#This Row],[LOW_PRICE]]</f>
        <v>51.299999999999955</v>
      </c>
      <c r="N28" t="str">
        <f>IF(Table1[[#This Row],[CLOSE_PRICE]]&gt;Table1[[#This Row],[OPEN_PRICE]],"Gain","Loss")</f>
        <v>Loss</v>
      </c>
      <c r="O28" t="str">
        <f>IF(Table1[[#This Row],[MARKET_CAP]]&gt;200000000000,"Large Cap",
IF(Table1[[#This Row],[MARKET_CAP]]&gt;50000000000,"Mid Cap","Small Cap"))</f>
        <v>Large Cap</v>
      </c>
      <c r="P28" t="str">
        <f>IF(Table1[[#This Row],[NET_TRDQTY]]&gt;1000000,"High Volume","Low Volume")</f>
        <v>High Volume</v>
      </c>
    </row>
    <row r="29" spans="1:16" x14ac:dyDescent="0.3">
      <c r="A29" t="s">
        <v>65</v>
      </c>
      <c r="B29" t="s">
        <v>66</v>
      </c>
      <c r="C29">
        <v>364.85</v>
      </c>
      <c r="D29">
        <v>364.9</v>
      </c>
      <c r="E29">
        <v>355.25</v>
      </c>
      <c r="F29">
        <v>356.55</v>
      </c>
      <c r="G29">
        <v>366.75</v>
      </c>
      <c r="H29">
        <v>16980244</v>
      </c>
      <c r="I29">
        <v>189680</v>
      </c>
      <c r="J29">
        <v>3550000000000</v>
      </c>
      <c r="K29">
        <v>9945492975</v>
      </c>
      <c r="L29">
        <f>(Table1[[#This Row],[CLOSE_PRICE]] - Table1[[#This Row],[PREV_CL_PR]]) / Table1[[#This Row],[PREV_CL_PR]] * 100</f>
        <v>-2.7811860940695263</v>
      </c>
      <c r="M29">
        <f>Table1[[#This Row],[HIGH_PRICE]]-Table1[[#This Row],[LOW_PRICE]]</f>
        <v>9.6499999999999773</v>
      </c>
      <c r="N29" t="str">
        <f>IF(Table1[[#This Row],[CLOSE_PRICE]]&gt;Table1[[#This Row],[OPEN_PRICE]],"Gain","Loss")</f>
        <v>Loss</v>
      </c>
      <c r="O29" t="str">
        <f>IF(Table1[[#This Row],[MARKET_CAP]]&gt;200000000000,"Large Cap",
IF(Table1[[#This Row],[MARKET_CAP]]&gt;50000000000,"Mid Cap","Small Cap"))</f>
        <v>Large Cap</v>
      </c>
      <c r="P29" t="str">
        <f>IF(Table1[[#This Row],[NET_TRDQTY]]&gt;1000000,"High Volume","Low Volume")</f>
        <v>High Volume</v>
      </c>
    </row>
    <row r="30" spans="1:16" x14ac:dyDescent="0.3">
      <c r="A30" t="s">
        <v>67</v>
      </c>
      <c r="B30" t="s">
        <v>68</v>
      </c>
      <c r="C30">
        <v>3405.1</v>
      </c>
      <c r="D30">
        <v>3409.9</v>
      </c>
      <c r="E30">
        <v>3288.1</v>
      </c>
      <c r="F30">
        <v>3342.4</v>
      </c>
      <c r="G30">
        <v>3434.8</v>
      </c>
      <c r="H30">
        <v>5645839</v>
      </c>
      <c r="I30">
        <v>319335</v>
      </c>
      <c r="J30">
        <v>4600000000000</v>
      </c>
      <c r="K30">
        <v>1375580872</v>
      </c>
      <c r="L30">
        <f>(Table1[[#This Row],[CLOSE_PRICE]] - Table1[[#This Row],[PREV_CL_PR]]) / Table1[[#This Row],[PREV_CL_PR]] * 100</f>
        <v>-2.6901129614533623</v>
      </c>
      <c r="M30">
        <f>Table1[[#This Row],[HIGH_PRICE]]-Table1[[#This Row],[LOW_PRICE]]</f>
        <v>121.80000000000018</v>
      </c>
      <c r="N30" t="str">
        <f>IF(Table1[[#This Row],[CLOSE_PRICE]]&gt;Table1[[#This Row],[OPEN_PRICE]],"Gain","Loss")</f>
        <v>Loss</v>
      </c>
      <c r="O30" t="str">
        <f>IF(Table1[[#This Row],[MARKET_CAP]]&gt;200000000000,"Large Cap",
IF(Table1[[#This Row],[MARKET_CAP]]&gt;50000000000,"Mid Cap","Small Cap"))</f>
        <v>Large Cap</v>
      </c>
      <c r="P30" t="str">
        <f>IF(Table1[[#This Row],[NET_TRDQTY]]&gt;1000000,"High Volume","Low Volume")</f>
        <v>High Volume</v>
      </c>
    </row>
    <row r="31" spans="1:16" x14ac:dyDescent="0.3">
      <c r="A31" t="s">
        <v>69</v>
      </c>
      <c r="B31" t="s">
        <v>70</v>
      </c>
      <c r="C31">
        <v>3015.1</v>
      </c>
      <c r="D31">
        <v>3019.7</v>
      </c>
      <c r="E31">
        <v>2935</v>
      </c>
      <c r="F31">
        <v>2955.8</v>
      </c>
      <c r="G31">
        <v>3066.1</v>
      </c>
      <c r="H31">
        <v>3978740</v>
      </c>
      <c r="I31">
        <v>235232</v>
      </c>
      <c r="J31">
        <v>3680000000000</v>
      </c>
      <c r="K31">
        <v>1243528831</v>
      </c>
      <c r="L31">
        <f>(Table1[[#This Row],[CLOSE_PRICE]] - Table1[[#This Row],[PREV_CL_PR]]) / Table1[[#This Row],[PREV_CL_PR]] * 100</f>
        <v>-3.5974038681060541</v>
      </c>
      <c r="M31">
        <f>Table1[[#This Row],[HIGH_PRICE]]-Table1[[#This Row],[LOW_PRICE]]</f>
        <v>84.699999999999818</v>
      </c>
      <c r="N31" t="str">
        <f>IF(Table1[[#This Row],[CLOSE_PRICE]]&gt;Table1[[#This Row],[OPEN_PRICE]],"Gain","Loss")</f>
        <v>Loss</v>
      </c>
      <c r="O31" t="str">
        <f>IF(Table1[[#This Row],[MARKET_CAP]]&gt;200000000000,"Large Cap",
IF(Table1[[#This Row],[MARKET_CAP]]&gt;50000000000,"Mid Cap","Small Cap"))</f>
        <v>Large Cap</v>
      </c>
      <c r="P31" t="str">
        <f>IF(Table1[[#This Row],[NET_TRDQTY]]&gt;1000000,"High Volume","Low Volume")</f>
        <v>High Volume</v>
      </c>
    </row>
    <row r="32" spans="1:16" x14ac:dyDescent="0.3">
      <c r="A32" t="s">
        <v>71</v>
      </c>
      <c r="B32" t="s">
        <v>72</v>
      </c>
      <c r="C32">
        <v>12501</v>
      </c>
      <c r="D32">
        <v>12501</v>
      </c>
      <c r="E32">
        <v>12278</v>
      </c>
      <c r="F32">
        <v>12355</v>
      </c>
      <c r="G32">
        <v>12601</v>
      </c>
      <c r="H32">
        <v>517985</v>
      </c>
      <c r="I32">
        <v>86813</v>
      </c>
      <c r="J32">
        <v>3880000000000</v>
      </c>
      <c r="K32">
        <v>314402574</v>
      </c>
      <c r="L32">
        <f>(Table1[[#This Row],[CLOSE_PRICE]] - Table1[[#This Row],[PREV_CL_PR]]) / Table1[[#This Row],[PREV_CL_PR]] * 100</f>
        <v>-1.952226013808428</v>
      </c>
      <c r="M32">
        <f>Table1[[#This Row],[HIGH_PRICE]]-Table1[[#This Row],[LOW_PRICE]]</f>
        <v>223</v>
      </c>
      <c r="N32" t="str">
        <f>IF(Table1[[#This Row],[CLOSE_PRICE]]&gt;Table1[[#This Row],[OPEN_PRICE]],"Gain","Loss")</f>
        <v>Loss</v>
      </c>
      <c r="O32" t="str">
        <f>IF(Table1[[#This Row],[MARKET_CAP]]&gt;200000000000,"Large Cap",
IF(Table1[[#This Row],[MARKET_CAP]]&gt;50000000000,"Mid Cap","Small Cap"))</f>
        <v>Large Cap</v>
      </c>
      <c r="P32" t="str">
        <f>IF(Table1[[#This Row],[NET_TRDQTY]]&gt;1000000,"High Volume","Low Volume")</f>
        <v>Low Volume</v>
      </c>
    </row>
    <row r="33" spans="1:16" x14ac:dyDescent="0.3">
      <c r="A33" t="s">
        <v>73</v>
      </c>
      <c r="B33" t="s">
        <v>74</v>
      </c>
      <c r="C33">
        <v>964</v>
      </c>
      <c r="D33">
        <v>971.3</v>
      </c>
      <c r="E33">
        <v>937.3</v>
      </c>
      <c r="F33">
        <v>956.9</v>
      </c>
      <c r="G33">
        <v>964.8</v>
      </c>
      <c r="H33">
        <v>3063874</v>
      </c>
      <c r="I33">
        <v>121551</v>
      </c>
      <c r="J33">
        <v>931000000000</v>
      </c>
      <c r="K33">
        <v>972769354</v>
      </c>
      <c r="L33">
        <f>(Table1[[#This Row],[CLOSE_PRICE]] - Table1[[#This Row],[PREV_CL_PR]]) / Table1[[#This Row],[PREV_CL_PR]] * 100</f>
        <v>-0.8188225538971784</v>
      </c>
      <c r="M33">
        <f>Table1[[#This Row],[HIGH_PRICE]]-Table1[[#This Row],[LOW_PRICE]]</f>
        <v>34</v>
      </c>
      <c r="N33" t="str">
        <f>IF(Table1[[#This Row],[CLOSE_PRICE]]&gt;Table1[[#This Row],[OPEN_PRICE]],"Gain","Loss")</f>
        <v>Loss</v>
      </c>
      <c r="O33" t="str">
        <f>IF(Table1[[#This Row],[MARKET_CAP]]&gt;200000000000,"Large Cap",
IF(Table1[[#This Row],[MARKET_CAP]]&gt;50000000000,"Mid Cap","Small Cap"))</f>
        <v>Large Cap</v>
      </c>
      <c r="P33" t="str">
        <f>IF(Table1[[#This Row],[NET_TRDQTY]]&gt;1000000,"High Volume","Low Volume")</f>
        <v>High Volume</v>
      </c>
    </row>
    <row r="34" spans="1:16" x14ac:dyDescent="0.3">
      <c r="A34" t="s">
        <v>75</v>
      </c>
      <c r="B34" t="s">
        <v>76</v>
      </c>
      <c r="C34">
        <v>1189</v>
      </c>
      <c r="D34">
        <v>1189</v>
      </c>
      <c r="E34">
        <v>1164.8</v>
      </c>
      <c r="F34">
        <v>1166.8</v>
      </c>
      <c r="G34">
        <v>1193.5999999999999</v>
      </c>
      <c r="H34">
        <v>944890</v>
      </c>
      <c r="I34">
        <v>67109</v>
      </c>
      <c r="J34">
        <v>2250000000000</v>
      </c>
      <c r="K34">
        <v>1928314320</v>
      </c>
      <c r="L34">
        <f>(Table1[[#This Row],[CLOSE_PRICE]] - Table1[[#This Row],[PREV_CL_PR]]) / Table1[[#This Row],[PREV_CL_PR]] * 100</f>
        <v>-2.2453083109919536</v>
      </c>
      <c r="M34">
        <f>Table1[[#This Row],[HIGH_PRICE]]-Table1[[#This Row],[LOW_PRICE]]</f>
        <v>24.200000000000045</v>
      </c>
      <c r="N34" t="str">
        <f>IF(Table1[[#This Row],[CLOSE_PRICE]]&gt;Table1[[#This Row],[OPEN_PRICE]],"Gain","Loss")</f>
        <v>Loss</v>
      </c>
      <c r="O34" t="str">
        <f>IF(Table1[[#This Row],[MARKET_CAP]]&gt;200000000000,"Large Cap",
IF(Table1[[#This Row],[MARKET_CAP]]&gt;50000000000,"Mid Cap","Small Cap"))</f>
        <v>Large Cap</v>
      </c>
      <c r="P34" t="str">
        <f>IF(Table1[[#This Row],[NET_TRDQTY]]&gt;1000000,"High Volume","Low Volume")</f>
        <v>Low Volume</v>
      </c>
    </row>
    <row r="35" spans="1:16" x14ac:dyDescent="0.3">
      <c r="A35" t="s">
        <v>77</v>
      </c>
      <c r="B35" t="s">
        <v>78</v>
      </c>
      <c r="C35">
        <v>377.1</v>
      </c>
      <c r="D35">
        <v>379.5</v>
      </c>
      <c r="E35">
        <v>369.3</v>
      </c>
      <c r="F35">
        <v>372.4</v>
      </c>
      <c r="G35">
        <v>380.95</v>
      </c>
      <c r="H35">
        <v>13148432</v>
      </c>
      <c r="I35">
        <v>202229</v>
      </c>
      <c r="J35">
        <v>3610000000000</v>
      </c>
      <c r="K35">
        <v>9696666134</v>
      </c>
      <c r="L35">
        <f>(Table1[[#This Row],[CLOSE_PRICE]] - Table1[[#This Row],[PREV_CL_PR]]) / Table1[[#This Row],[PREV_CL_PR]] * 100</f>
        <v>-2.2443890274314247</v>
      </c>
      <c r="M35">
        <f>Table1[[#This Row],[HIGH_PRICE]]-Table1[[#This Row],[LOW_PRICE]]</f>
        <v>10.199999999999989</v>
      </c>
      <c r="N35" t="str">
        <f>IF(Table1[[#This Row],[CLOSE_PRICE]]&gt;Table1[[#This Row],[OPEN_PRICE]],"Gain","Loss")</f>
        <v>Loss</v>
      </c>
      <c r="O35" t="str">
        <f>IF(Table1[[#This Row],[MARKET_CAP]]&gt;200000000000,"Large Cap",
IF(Table1[[#This Row],[MARKET_CAP]]&gt;50000000000,"Mid Cap","Small Cap"))</f>
        <v>Large Cap</v>
      </c>
      <c r="P35" t="str">
        <f>IF(Table1[[#This Row],[NET_TRDQTY]]&gt;1000000,"High Volume","Low Volume")</f>
        <v>High Volume</v>
      </c>
    </row>
    <row r="36" spans="1:16" x14ac:dyDescent="0.3">
      <c r="A36" t="s">
        <v>79</v>
      </c>
      <c r="B36" t="s">
        <v>80</v>
      </c>
      <c r="C36">
        <v>267.3</v>
      </c>
      <c r="D36">
        <v>269.7</v>
      </c>
      <c r="E36">
        <v>263.89999999999998</v>
      </c>
      <c r="F36">
        <v>265.45</v>
      </c>
      <c r="G36">
        <v>265.39999999999998</v>
      </c>
      <c r="H36">
        <v>23991581</v>
      </c>
      <c r="I36">
        <v>181852</v>
      </c>
      <c r="J36">
        <v>3340000000000</v>
      </c>
      <c r="K36">
        <v>12580279206</v>
      </c>
      <c r="L36">
        <f>(Table1[[#This Row],[CLOSE_PRICE]] - Table1[[#This Row],[PREV_CL_PR]]) / Table1[[#This Row],[PREV_CL_PR]] * 100</f>
        <v>1.8839487565942493E-2</v>
      </c>
      <c r="M36">
        <f>Table1[[#This Row],[HIGH_PRICE]]-Table1[[#This Row],[LOW_PRICE]]</f>
        <v>5.8000000000000114</v>
      </c>
      <c r="N36" t="str">
        <f>IF(Table1[[#This Row],[CLOSE_PRICE]]&gt;Table1[[#This Row],[OPEN_PRICE]],"Gain","Loss")</f>
        <v>Loss</v>
      </c>
      <c r="O36" t="str">
        <f>IF(Table1[[#This Row],[MARKET_CAP]]&gt;200000000000,"Large Cap",
IF(Table1[[#This Row],[MARKET_CAP]]&gt;50000000000,"Mid Cap","Small Cap"))</f>
        <v>Large Cap</v>
      </c>
      <c r="P36" t="str">
        <f>IF(Table1[[#This Row],[NET_TRDQTY]]&gt;1000000,"High Volume","Low Volume")</f>
        <v>High Volume</v>
      </c>
    </row>
    <row r="37" spans="1:16" x14ac:dyDescent="0.3">
      <c r="A37" t="s">
        <v>81</v>
      </c>
      <c r="B37" t="s">
        <v>82</v>
      </c>
      <c r="C37">
        <v>298</v>
      </c>
      <c r="D37">
        <v>304.35000000000002</v>
      </c>
      <c r="E37">
        <v>293.10000000000002</v>
      </c>
      <c r="F37">
        <v>302.10000000000002</v>
      </c>
      <c r="G37">
        <v>297.60000000000002</v>
      </c>
      <c r="H37">
        <v>23771660</v>
      </c>
      <c r="I37">
        <v>168908</v>
      </c>
      <c r="J37">
        <v>2810000000000</v>
      </c>
      <c r="K37">
        <v>9300603819</v>
      </c>
      <c r="L37">
        <f>(Table1[[#This Row],[CLOSE_PRICE]] - Table1[[#This Row],[PREV_CL_PR]]) / Table1[[#This Row],[PREV_CL_PR]] * 100</f>
        <v>1.5120967741935483</v>
      </c>
      <c r="M37">
        <f>Table1[[#This Row],[HIGH_PRICE]]-Table1[[#This Row],[LOW_PRICE]]</f>
        <v>11.25</v>
      </c>
      <c r="N37" t="str">
        <f>IF(Table1[[#This Row],[CLOSE_PRICE]]&gt;Table1[[#This Row],[OPEN_PRICE]],"Gain","Loss")</f>
        <v>Gain</v>
      </c>
      <c r="O37" t="str">
        <f>IF(Table1[[#This Row],[MARKET_CAP]]&gt;200000000000,"Large Cap",
IF(Table1[[#This Row],[MARKET_CAP]]&gt;50000000000,"Mid Cap","Small Cap"))</f>
        <v>Large Cap</v>
      </c>
      <c r="P37" t="str">
        <f>IF(Table1[[#This Row],[NET_TRDQTY]]&gt;1000000,"High Volume","Low Volume")</f>
        <v>High Volume</v>
      </c>
    </row>
    <row r="38" spans="1:16" x14ac:dyDescent="0.3">
      <c r="A38" t="s">
        <v>83</v>
      </c>
      <c r="B38" t="s">
        <v>84</v>
      </c>
      <c r="C38">
        <v>1400</v>
      </c>
      <c r="D38">
        <v>1415.6</v>
      </c>
      <c r="E38">
        <v>1391</v>
      </c>
      <c r="F38">
        <v>1407.8</v>
      </c>
      <c r="G38">
        <v>1414.4</v>
      </c>
      <c r="H38">
        <v>18979554</v>
      </c>
      <c r="I38">
        <v>385355</v>
      </c>
      <c r="J38">
        <v>19100000000000</v>
      </c>
      <c r="K38">
        <v>13532472634</v>
      </c>
      <c r="L38">
        <f>(Table1[[#This Row],[CLOSE_PRICE]] - Table1[[#This Row],[PREV_CL_PR]]) / Table1[[#This Row],[PREV_CL_PR]] * 100</f>
        <v>-0.46662895927602771</v>
      </c>
      <c r="M38">
        <f>Table1[[#This Row],[HIGH_PRICE]]-Table1[[#This Row],[LOW_PRICE]]</f>
        <v>24.599999999999909</v>
      </c>
      <c r="N38" t="str">
        <f>IF(Table1[[#This Row],[CLOSE_PRICE]]&gt;Table1[[#This Row],[OPEN_PRICE]],"Gain","Loss")</f>
        <v>Gain</v>
      </c>
      <c r="O38" t="str">
        <f>IF(Table1[[#This Row],[MARKET_CAP]]&gt;200000000000,"Large Cap",
IF(Table1[[#This Row],[MARKET_CAP]]&gt;50000000000,"Mid Cap","Small Cap"))</f>
        <v>Large Cap</v>
      </c>
      <c r="P38" t="str">
        <f>IF(Table1[[#This Row],[NET_TRDQTY]]&gt;1000000,"High Volume","Low Volume")</f>
        <v>High Volume</v>
      </c>
    </row>
    <row r="39" spans="1:16" x14ac:dyDescent="0.3">
      <c r="A39" t="s">
        <v>85</v>
      </c>
      <c r="B39" t="s">
        <v>86</v>
      </c>
      <c r="C39">
        <v>1875</v>
      </c>
      <c r="D39">
        <v>1889.8</v>
      </c>
      <c r="E39">
        <v>1811.5</v>
      </c>
      <c r="F39">
        <v>1832.3</v>
      </c>
      <c r="G39">
        <v>1896.9</v>
      </c>
      <c r="H39">
        <v>1338816</v>
      </c>
      <c r="I39">
        <v>106214</v>
      </c>
      <c r="J39">
        <v>1840000000000</v>
      </c>
      <c r="K39">
        <v>1002829838</v>
      </c>
      <c r="L39">
        <f>(Table1[[#This Row],[CLOSE_PRICE]] - Table1[[#This Row],[PREV_CL_PR]]) / Table1[[#This Row],[PREV_CL_PR]] * 100</f>
        <v>-3.4055564341820936</v>
      </c>
      <c r="M39">
        <f>Table1[[#This Row],[HIGH_PRICE]]-Table1[[#This Row],[LOW_PRICE]]</f>
        <v>78.299999999999955</v>
      </c>
      <c r="N39" t="str">
        <f>IF(Table1[[#This Row],[CLOSE_PRICE]]&gt;Table1[[#This Row],[OPEN_PRICE]],"Gain","Loss")</f>
        <v>Loss</v>
      </c>
      <c r="O39" t="str">
        <f>IF(Table1[[#This Row],[MARKET_CAP]]&gt;200000000000,"Large Cap",
IF(Table1[[#This Row],[MARKET_CAP]]&gt;50000000000,"Mid Cap","Small Cap"))</f>
        <v>Large Cap</v>
      </c>
      <c r="P39" t="str">
        <f>IF(Table1[[#This Row],[NET_TRDQTY]]&gt;1000000,"High Volume","Low Volume")</f>
        <v>High Volume</v>
      </c>
    </row>
    <row r="40" spans="1:16" x14ac:dyDescent="0.3">
      <c r="A40" t="s">
        <v>87</v>
      </c>
      <c r="B40" t="s">
        <v>88</v>
      </c>
      <c r="C40">
        <v>1039</v>
      </c>
      <c r="D40">
        <v>1045.5999999999999</v>
      </c>
      <c r="E40">
        <v>1014.2</v>
      </c>
      <c r="F40">
        <v>1031.9000000000001</v>
      </c>
      <c r="G40">
        <v>1058</v>
      </c>
      <c r="H40">
        <v>16039603</v>
      </c>
      <c r="I40">
        <v>335720</v>
      </c>
      <c r="J40">
        <v>9530000000000</v>
      </c>
      <c r="K40">
        <v>9230617586</v>
      </c>
      <c r="L40">
        <f>(Table1[[#This Row],[CLOSE_PRICE]] - Table1[[#This Row],[PREV_CL_PR]]) / Table1[[#This Row],[PREV_CL_PR]] * 100</f>
        <v>-2.466918714555757</v>
      </c>
      <c r="M40">
        <f>Table1[[#This Row],[HIGH_PRICE]]-Table1[[#This Row],[LOW_PRICE]]</f>
        <v>31.399999999999864</v>
      </c>
      <c r="N40" t="str">
        <f>IF(Table1[[#This Row],[CLOSE_PRICE]]&gt;Table1[[#This Row],[OPEN_PRICE]],"Gain","Loss")</f>
        <v>Loss</v>
      </c>
      <c r="O40" t="str">
        <f>IF(Table1[[#This Row],[MARKET_CAP]]&gt;200000000000,"Large Cap",
IF(Table1[[#This Row],[MARKET_CAP]]&gt;50000000000,"Mid Cap","Small Cap"))</f>
        <v>Large Cap</v>
      </c>
      <c r="P40" t="str">
        <f>IF(Table1[[#This Row],[NET_TRDQTY]]&gt;1000000,"High Volume","Low Volume")</f>
        <v>High Volume</v>
      </c>
    </row>
    <row r="41" spans="1:16" x14ac:dyDescent="0.3">
      <c r="A41" t="s">
        <v>89</v>
      </c>
      <c r="B41" t="s">
        <v>90</v>
      </c>
      <c r="C41">
        <v>930</v>
      </c>
      <c r="D41">
        <v>930.1</v>
      </c>
      <c r="E41">
        <v>870.2</v>
      </c>
      <c r="F41">
        <v>877.7</v>
      </c>
      <c r="G41">
        <v>938.6</v>
      </c>
      <c r="H41">
        <v>10556865</v>
      </c>
      <c r="I41">
        <v>239057</v>
      </c>
      <c r="J41">
        <v>1650000000000</v>
      </c>
      <c r="K41">
        <v>1881362101</v>
      </c>
      <c r="L41">
        <f>(Table1[[#This Row],[CLOSE_PRICE]] - Table1[[#This Row],[PREV_CL_PR]]) / Table1[[#This Row],[PREV_CL_PR]] * 100</f>
        <v>-6.488386959301085</v>
      </c>
      <c r="M41">
        <f>Table1[[#This Row],[HIGH_PRICE]]-Table1[[#This Row],[LOW_PRICE]]</f>
        <v>59.899999999999977</v>
      </c>
      <c r="N41" t="str">
        <f>IF(Table1[[#This Row],[CLOSE_PRICE]]&gt;Table1[[#This Row],[OPEN_PRICE]],"Gain","Loss")</f>
        <v>Loss</v>
      </c>
      <c r="O41" t="str">
        <f>IF(Table1[[#This Row],[MARKET_CAP]]&gt;200000000000,"Large Cap",
IF(Table1[[#This Row],[MARKET_CAP]]&gt;50000000000,"Mid Cap","Small Cap"))</f>
        <v>Large Cap</v>
      </c>
      <c r="P41" t="str">
        <f>IF(Table1[[#This Row],[NET_TRDQTY]]&gt;1000000,"High Volume","Low Volume")</f>
        <v>High Volume</v>
      </c>
    </row>
    <row r="42" spans="1:16" x14ac:dyDescent="0.3">
      <c r="A42" t="s">
        <v>91</v>
      </c>
      <c r="B42" t="s">
        <v>92</v>
      </c>
      <c r="C42">
        <v>1774.8</v>
      </c>
      <c r="D42">
        <v>1775</v>
      </c>
      <c r="E42">
        <v>1741.1</v>
      </c>
      <c r="F42">
        <v>1758.4</v>
      </c>
      <c r="G42">
        <v>1777.1</v>
      </c>
      <c r="H42">
        <v>2783613</v>
      </c>
      <c r="I42">
        <v>121645</v>
      </c>
      <c r="J42">
        <v>4220000000000</v>
      </c>
      <c r="K42">
        <v>2399334970</v>
      </c>
      <c r="L42">
        <f>(Table1[[#This Row],[CLOSE_PRICE]] - Table1[[#This Row],[PREV_CL_PR]]) / Table1[[#This Row],[PREV_CL_PR]] * 100</f>
        <v>-1.0522761802937268</v>
      </c>
      <c r="M42">
        <f>Table1[[#This Row],[HIGH_PRICE]]-Table1[[#This Row],[LOW_PRICE]]</f>
        <v>33.900000000000091</v>
      </c>
      <c r="N42" t="str">
        <f>IF(Table1[[#This Row],[CLOSE_PRICE]]&gt;Table1[[#This Row],[OPEN_PRICE]],"Gain","Loss")</f>
        <v>Loss</v>
      </c>
      <c r="O42" t="str">
        <f>IF(Table1[[#This Row],[MARKET_CAP]]&gt;200000000000,"Large Cap",
IF(Table1[[#This Row],[MARKET_CAP]]&gt;50000000000,"Mid Cap","Small Cap"))</f>
        <v>Large Cap</v>
      </c>
      <c r="P42" t="str">
        <f>IF(Table1[[#This Row],[NET_TRDQTY]]&gt;1000000,"High Volume","Low Volume")</f>
        <v>High Volume</v>
      </c>
    </row>
    <row r="43" spans="1:16" x14ac:dyDescent="0.3">
      <c r="A43" t="s">
        <v>93</v>
      </c>
      <c r="B43" t="s">
        <v>94</v>
      </c>
      <c r="C43">
        <v>1036.0999999999999</v>
      </c>
      <c r="D43">
        <v>1042</v>
      </c>
      <c r="E43">
        <v>1019.6</v>
      </c>
      <c r="F43">
        <v>1023.6</v>
      </c>
      <c r="G43">
        <v>1050.2</v>
      </c>
      <c r="H43">
        <v>2006447</v>
      </c>
      <c r="I43">
        <v>96297</v>
      </c>
      <c r="J43">
        <v>1010000000000</v>
      </c>
      <c r="K43">
        <v>989544308</v>
      </c>
      <c r="L43">
        <f>(Table1[[#This Row],[CLOSE_PRICE]] - Table1[[#This Row],[PREV_CL_PR]]) / Table1[[#This Row],[PREV_CL_PR]] * 100</f>
        <v>-2.5328508855456127</v>
      </c>
      <c r="M43">
        <f>Table1[[#This Row],[HIGH_PRICE]]-Table1[[#This Row],[LOW_PRICE]]</f>
        <v>22.399999999999977</v>
      </c>
      <c r="N43" t="str">
        <f>IF(Table1[[#This Row],[CLOSE_PRICE]]&gt;Table1[[#This Row],[OPEN_PRICE]],"Gain","Loss")</f>
        <v>Loss</v>
      </c>
      <c r="O43" t="str">
        <f>IF(Table1[[#This Row],[MARKET_CAP]]&gt;200000000000,"Large Cap",
IF(Table1[[#This Row],[MARKET_CAP]]&gt;50000000000,"Mid Cap","Small Cap"))</f>
        <v>Large Cap</v>
      </c>
      <c r="P43" t="str">
        <f>IF(Table1[[#This Row],[NET_TRDQTY]]&gt;1000000,"High Volume","Low Volume")</f>
        <v>High Volume</v>
      </c>
    </row>
    <row r="44" spans="1:16" x14ac:dyDescent="0.3">
      <c r="A44" t="s">
        <v>95</v>
      </c>
      <c r="B44" t="s">
        <v>96</v>
      </c>
      <c r="C44">
        <v>193</v>
      </c>
      <c r="D44">
        <v>193.95</v>
      </c>
      <c r="E44">
        <v>186.51</v>
      </c>
      <c r="F44">
        <v>187.17</v>
      </c>
      <c r="G44">
        <v>196.77</v>
      </c>
      <c r="H44">
        <v>44393392</v>
      </c>
      <c r="I44">
        <v>286506</v>
      </c>
      <c r="J44">
        <v>2340000000000</v>
      </c>
      <c r="K44">
        <v>12483527171</v>
      </c>
      <c r="L44">
        <f>(Table1[[#This Row],[CLOSE_PRICE]] - Table1[[#This Row],[PREV_CL_PR]]) / Table1[[#This Row],[PREV_CL_PR]] * 100</f>
        <v>-4.8787924988565443</v>
      </c>
      <c r="M44">
        <f>Table1[[#This Row],[HIGH_PRICE]]-Table1[[#This Row],[LOW_PRICE]]</f>
        <v>7.4399999999999977</v>
      </c>
      <c r="N44" t="str">
        <f>IF(Table1[[#This Row],[CLOSE_PRICE]]&gt;Table1[[#This Row],[OPEN_PRICE]],"Gain","Loss")</f>
        <v>Loss</v>
      </c>
      <c r="O44" t="str">
        <f>IF(Table1[[#This Row],[MARKET_CAP]]&gt;200000000000,"Large Cap",
IF(Table1[[#This Row],[MARKET_CAP]]&gt;50000000000,"Mid Cap","Small Cap"))</f>
        <v>Large Cap</v>
      </c>
      <c r="P44" t="str">
        <f>IF(Table1[[#This Row],[NET_TRDQTY]]&gt;1000000,"High Volume","Low Volume")</f>
        <v>High Volume</v>
      </c>
    </row>
    <row r="45" spans="1:16" x14ac:dyDescent="0.3">
      <c r="A45" t="s">
        <v>97</v>
      </c>
      <c r="B45" t="s">
        <v>98</v>
      </c>
      <c r="C45">
        <v>2365</v>
      </c>
      <c r="D45">
        <v>2406.8000000000002</v>
      </c>
      <c r="E45">
        <v>2348</v>
      </c>
      <c r="F45">
        <v>2383.8000000000002</v>
      </c>
      <c r="G45">
        <v>2390.6</v>
      </c>
      <c r="H45">
        <v>3860515</v>
      </c>
      <c r="I45">
        <v>214767</v>
      </c>
      <c r="J45">
        <v>8620000000000</v>
      </c>
      <c r="K45">
        <v>3618087518</v>
      </c>
      <c r="L45">
        <f>(Table1[[#This Row],[CLOSE_PRICE]] - Table1[[#This Row],[PREV_CL_PR]]) / Table1[[#This Row],[PREV_CL_PR]] * 100</f>
        <v>-0.28444741905796567</v>
      </c>
      <c r="M45">
        <f>Table1[[#This Row],[HIGH_PRICE]]-Table1[[#This Row],[LOW_PRICE]]</f>
        <v>58.800000000000182</v>
      </c>
      <c r="N45" t="str">
        <f>IF(Table1[[#This Row],[CLOSE_PRICE]]&gt;Table1[[#This Row],[OPEN_PRICE]],"Gain","Loss")</f>
        <v>Gain</v>
      </c>
      <c r="O45" t="str">
        <f>IF(Table1[[#This Row],[MARKET_CAP]]&gt;200000000000,"Large Cap",
IF(Table1[[#This Row],[MARKET_CAP]]&gt;50000000000,"Mid Cap","Small Cap"))</f>
        <v>Large Cap</v>
      </c>
      <c r="P45" t="str">
        <f>IF(Table1[[#This Row],[NET_TRDQTY]]&gt;1000000,"High Volume","Low Volume")</f>
        <v>High Volume</v>
      </c>
    </row>
    <row r="46" spans="1:16" x14ac:dyDescent="0.3">
      <c r="A46" t="s">
        <v>99</v>
      </c>
      <c r="B46" t="s">
        <v>100</v>
      </c>
      <c r="C46">
        <v>1366</v>
      </c>
      <c r="D46">
        <v>1414.6</v>
      </c>
      <c r="E46">
        <v>1357.6</v>
      </c>
      <c r="F46">
        <v>1384</v>
      </c>
      <c r="G46">
        <v>1384.8</v>
      </c>
      <c r="H46">
        <v>3647386</v>
      </c>
      <c r="I46">
        <v>169241</v>
      </c>
      <c r="J46">
        <v>1360000000000</v>
      </c>
      <c r="K46">
        <v>979721333</v>
      </c>
      <c r="L46">
        <f>(Table1[[#This Row],[CLOSE_PRICE]] - Table1[[#This Row],[PREV_CL_PR]]) / Table1[[#This Row],[PREV_CL_PR]] * 100</f>
        <v>-5.7770075101094352E-2</v>
      </c>
      <c r="M46">
        <f>Table1[[#This Row],[HIGH_PRICE]]-Table1[[#This Row],[LOW_PRICE]]</f>
        <v>57</v>
      </c>
      <c r="N46" t="str">
        <f>IF(Table1[[#This Row],[CLOSE_PRICE]]&gt;Table1[[#This Row],[OPEN_PRICE]],"Gain","Loss")</f>
        <v>Gain</v>
      </c>
      <c r="O46" t="str">
        <f>IF(Table1[[#This Row],[MARKET_CAP]]&gt;200000000000,"Large Cap",
IF(Table1[[#This Row],[MARKET_CAP]]&gt;50000000000,"Mid Cap","Small Cap"))</f>
        <v>Large Cap</v>
      </c>
      <c r="P46" t="str">
        <f>IF(Table1[[#This Row],[NET_TRDQTY]]&gt;1000000,"High Volume","Low Volume")</f>
        <v>High Volume</v>
      </c>
    </row>
    <row r="47" spans="1:16" x14ac:dyDescent="0.3">
      <c r="A47" t="s">
        <v>101</v>
      </c>
      <c r="B47" t="s">
        <v>102</v>
      </c>
      <c r="C47">
        <v>4056.6</v>
      </c>
      <c r="D47">
        <v>4059</v>
      </c>
      <c r="E47">
        <v>3825</v>
      </c>
      <c r="F47">
        <v>3853.1</v>
      </c>
      <c r="G47">
        <v>4106.6000000000004</v>
      </c>
      <c r="H47">
        <v>1533645</v>
      </c>
      <c r="I47">
        <v>146663</v>
      </c>
      <c r="J47">
        <v>3420000000000</v>
      </c>
      <c r="K47">
        <v>887786160</v>
      </c>
      <c r="L47">
        <f>(Table1[[#This Row],[CLOSE_PRICE]] - Table1[[#This Row],[PREV_CL_PR]]) / Table1[[#This Row],[PREV_CL_PR]] * 100</f>
        <v>-6.1729898212633429</v>
      </c>
      <c r="M47">
        <f>Table1[[#This Row],[HIGH_PRICE]]-Table1[[#This Row],[LOW_PRICE]]</f>
        <v>234</v>
      </c>
      <c r="N47" t="str">
        <f>IF(Table1[[#This Row],[CLOSE_PRICE]]&gt;Table1[[#This Row],[OPEN_PRICE]],"Gain","Loss")</f>
        <v>Loss</v>
      </c>
      <c r="O47" t="str">
        <f>IF(Table1[[#This Row],[MARKET_CAP]]&gt;200000000000,"Large Cap",
IF(Table1[[#This Row],[MARKET_CAP]]&gt;50000000000,"Mid Cap","Small Cap"))</f>
        <v>Large Cap</v>
      </c>
      <c r="P47" t="str">
        <f>IF(Table1[[#This Row],[NET_TRDQTY]]&gt;1000000,"High Volume","Low Volume")</f>
        <v>High Volume</v>
      </c>
    </row>
    <row r="48" spans="1:16" x14ac:dyDescent="0.3">
      <c r="A48" t="s">
        <v>103</v>
      </c>
      <c r="B48" t="s">
        <v>104</v>
      </c>
      <c r="C48">
        <v>311.05</v>
      </c>
      <c r="D48">
        <v>311.05</v>
      </c>
      <c r="E48">
        <v>303.5</v>
      </c>
      <c r="F48">
        <v>305.25</v>
      </c>
      <c r="G48">
        <v>314.10000000000002</v>
      </c>
      <c r="H48">
        <v>10816349</v>
      </c>
      <c r="I48">
        <v>144969</v>
      </c>
      <c r="J48">
        <v>1120000000000</v>
      </c>
      <c r="K48">
        <v>3682579382</v>
      </c>
      <c r="L48">
        <f>(Table1[[#This Row],[CLOSE_PRICE]] - Table1[[#This Row],[PREV_CL_PR]]) / Table1[[#This Row],[PREV_CL_PR]] * 100</f>
        <v>-2.8175740210124234</v>
      </c>
      <c r="M48">
        <f>Table1[[#This Row],[HIGH_PRICE]]-Table1[[#This Row],[LOW_PRICE]]</f>
        <v>7.5500000000000114</v>
      </c>
      <c r="N48" t="str">
        <f>IF(Table1[[#This Row],[CLOSE_PRICE]]&gt;Table1[[#This Row],[OPEN_PRICE]],"Gain","Loss")</f>
        <v>Loss</v>
      </c>
      <c r="O48" t="str">
        <f>IF(Table1[[#This Row],[MARKET_CAP]]&gt;200000000000,"Large Cap",
IF(Table1[[#This Row],[MARKET_CAP]]&gt;50000000000,"Mid Cap","Small Cap"))</f>
        <v>Large Cap</v>
      </c>
      <c r="P48" t="str">
        <f>IF(Table1[[#This Row],[NET_TRDQTY]]&gt;1000000,"High Volume","Low Volume")</f>
        <v>High Volume</v>
      </c>
    </row>
    <row r="49" spans="1:16" x14ac:dyDescent="0.3">
      <c r="A49" t="s">
        <v>105</v>
      </c>
      <c r="B49" t="s">
        <v>106</v>
      </c>
      <c r="C49">
        <v>3502.2</v>
      </c>
      <c r="D49">
        <v>3502.2</v>
      </c>
      <c r="E49">
        <v>3340.3</v>
      </c>
      <c r="F49">
        <v>3356.7</v>
      </c>
      <c r="G49">
        <v>3559.6</v>
      </c>
      <c r="H49">
        <v>959711</v>
      </c>
      <c r="I49">
        <v>85170</v>
      </c>
      <c r="J49">
        <v>1190000000000</v>
      </c>
      <c r="K49">
        <v>355487461</v>
      </c>
      <c r="L49">
        <f>(Table1[[#This Row],[CLOSE_PRICE]] - Table1[[#This Row],[PREV_CL_PR]]) / Table1[[#This Row],[PREV_CL_PR]] * 100</f>
        <v>-5.7000786605236575</v>
      </c>
      <c r="M49">
        <f>Table1[[#This Row],[HIGH_PRICE]]-Table1[[#This Row],[LOW_PRICE]]</f>
        <v>161.89999999999964</v>
      </c>
      <c r="N49" t="str">
        <f>IF(Table1[[#This Row],[CLOSE_PRICE]]&gt;Table1[[#This Row],[OPEN_PRICE]],"Gain","Loss")</f>
        <v>Loss</v>
      </c>
      <c r="O49" t="str">
        <f>IF(Table1[[#This Row],[MARKET_CAP]]&gt;200000000000,"Large Cap",
IF(Table1[[#This Row],[MARKET_CAP]]&gt;50000000000,"Mid Cap","Small Cap"))</f>
        <v>Large Cap</v>
      </c>
      <c r="P49" t="str">
        <f>IF(Table1[[#This Row],[NET_TRDQTY]]&gt;1000000,"High Volume","Low Volume")</f>
        <v>Low Volume</v>
      </c>
    </row>
    <row r="50" spans="1:16" x14ac:dyDescent="0.3">
      <c r="A50" t="s">
        <v>107</v>
      </c>
      <c r="B50" t="s">
        <v>108</v>
      </c>
      <c r="C50">
        <v>10877</v>
      </c>
      <c r="D50">
        <v>10877</v>
      </c>
      <c r="E50">
        <v>10325</v>
      </c>
      <c r="F50">
        <v>10362</v>
      </c>
      <c r="G50">
        <v>10934</v>
      </c>
      <c r="H50">
        <v>644386</v>
      </c>
      <c r="I50">
        <v>90481</v>
      </c>
      <c r="J50">
        <v>3050000000000</v>
      </c>
      <c r="K50">
        <v>294679171</v>
      </c>
      <c r="L50">
        <f>(Table1[[#This Row],[CLOSE_PRICE]] - Table1[[#This Row],[PREV_CL_PR]]) / Table1[[#This Row],[PREV_CL_PR]] * 100</f>
        <v>-5.2313883299798798</v>
      </c>
      <c r="M50">
        <f>Table1[[#This Row],[HIGH_PRICE]]-Table1[[#This Row],[LOW_PRICE]]</f>
        <v>552</v>
      </c>
      <c r="N50" t="str">
        <f>IF(Table1[[#This Row],[CLOSE_PRICE]]&gt;Table1[[#This Row],[OPEN_PRICE]],"Gain","Loss")</f>
        <v>Loss</v>
      </c>
      <c r="O50" t="str">
        <f>IF(Table1[[#This Row],[MARKET_CAP]]&gt;200000000000,"Large Cap",
IF(Table1[[#This Row],[MARKET_CAP]]&gt;50000000000,"Mid Cap","Small Cap"))</f>
        <v>Large Cap</v>
      </c>
      <c r="P50" t="str">
        <f>IF(Table1[[#This Row],[NET_TRDQTY]]&gt;1000000,"High Volume","Low Volume")</f>
        <v>Low Volume</v>
      </c>
    </row>
    <row r="51" spans="1:16" x14ac:dyDescent="0.3">
      <c r="A51" t="s">
        <v>109</v>
      </c>
      <c r="B51" t="s">
        <v>110</v>
      </c>
      <c r="C51">
        <v>189.41</v>
      </c>
      <c r="D51">
        <v>190.62</v>
      </c>
      <c r="E51">
        <v>187</v>
      </c>
      <c r="F51">
        <v>187.54</v>
      </c>
      <c r="G51">
        <v>190.9</v>
      </c>
      <c r="H51">
        <v>12014988</v>
      </c>
      <c r="I51">
        <v>120117</v>
      </c>
      <c r="J51">
        <v>1970000000000</v>
      </c>
      <c r="K51">
        <v>10486718754</v>
      </c>
      <c r="L51">
        <f>(Table1[[#This Row],[CLOSE_PRICE]] - Table1[[#This Row],[PREV_CL_PR]]) / Table1[[#This Row],[PREV_CL_PR]] * 100</f>
        <v>-1.7600838135149364</v>
      </c>
      <c r="M51">
        <f>Table1[[#This Row],[HIGH_PRICE]]-Table1[[#This Row],[LOW_PRICE]]</f>
        <v>3.6200000000000045</v>
      </c>
      <c r="N51" t="str">
        <f>IF(Table1[[#This Row],[CLOSE_PRICE]]&gt;Table1[[#This Row],[OPEN_PRICE]],"Gain","Loss")</f>
        <v>Loss</v>
      </c>
      <c r="O51" t="str">
        <f>IF(Table1[[#This Row],[MARKET_CAP]]&gt;200000000000,"Large Cap",
IF(Table1[[#This Row],[MARKET_CAP]]&gt;50000000000,"Mid Cap","Small Cap"))</f>
        <v>Large Cap</v>
      </c>
      <c r="P51" t="str">
        <f>IF(Table1[[#This Row],[NET_TRDQTY]]&gt;1000000,"High Volume","Low Volume")</f>
        <v>High Volume</v>
      </c>
    </row>
    <row r="52" spans="1:16" x14ac:dyDescent="0.3">
      <c r="A52" t="s">
        <v>111</v>
      </c>
      <c r="B52" t="s">
        <v>112</v>
      </c>
      <c r="C52">
        <v>6264</v>
      </c>
      <c r="D52">
        <v>6264</v>
      </c>
      <c r="E52">
        <v>5975</v>
      </c>
      <c r="F52">
        <v>6041.5</v>
      </c>
      <c r="G52">
        <v>6297</v>
      </c>
      <c r="H52">
        <v>274731</v>
      </c>
      <c r="I52">
        <v>33252</v>
      </c>
      <c r="J52">
        <v>1280000000000</v>
      </c>
      <c r="K52">
        <v>211908375</v>
      </c>
      <c r="L52">
        <f>(Table1[[#This Row],[CLOSE_PRICE]] - Table1[[#This Row],[PREV_CL_PR]]) / Table1[[#This Row],[PREV_CL_PR]] * 100</f>
        <v>-4.0574876925520087</v>
      </c>
      <c r="M52">
        <f>Table1[[#This Row],[HIGH_PRICE]]-Table1[[#This Row],[LOW_PRICE]]</f>
        <v>289</v>
      </c>
      <c r="N52" t="str">
        <f>IF(Table1[[#This Row],[CLOSE_PRICE]]&gt;Table1[[#This Row],[OPEN_PRICE]],"Gain","Loss")</f>
        <v>Loss</v>
      </c>
      <c r="O52" t="str">
        <f>IF(Table1[[#This Row],[MARKET_CAP]]&gt;200000000000,"Large Cap",
IF(Table1[[#This Row],[MARKET_CAP]]&gt;50000000000,"Mid Cap","Small Cap"))</f>
        <v>Large Cap</v>
      </c>
      <c r="P52" t="str">
        <f>IF(Table1[[#This Row],[NET_TRDQTY]]&gt;1000000,"High Volume","Low Volume")</f>
        <v>Low Volume</v>
      </c>
    </row>
    <row r="53" spans="1:16" x14ac:dyDescent="0.3">
      <c r="A53" t="s">
        <v>113</v>
      </c>
      <c r="B53" t="s">
        <v>114</v>
      </c>
      <c r="C53">
        <v>1000</v>
      </c>
      <c r="D53">
        <v>1000.9</v>
      </c>
      <c r="E53">
        <v>935.7</v>
      </c>
      <c r="F53">
        <v>946.9</v>
      </c>
      <c r="G53">
        <v>1009.9</v>
      </c>
      <c r="H53">
        <v>8950325</v>
      </c>
      <c r="I53">
        <v>59585</v>
      </c>
      <c r="J53">
        <v>1140000000000</v>
      </c>
      <c r="K53">
        <v>1201282642</v>
      </c>
      <c r="L53">
        <f>(Table1[[#This Row],[CLOSE_PRICE]] - Table1[[#This Row],[PREV_CL_PR]]) / Table1[[#This Row],[PREV_CL_PR]] * 100</f>
        <v>-6.2382414100405983</v>
      </c>
      <c r="M53">
        <f>Table1[[#This Row],[HIGH_PRICE]]-Table1[[#This Row],[LOW_PRICE]]</f>
        <v>65.199999999999932</v>
      </c>
      <c r="N53" t="str">
        <f>IF(Table1[[#This Row],[CLOSE_PRICE]]&gt;Table1[[#This Row],[OPEN_PRICE]],"Gain","Loss")</f>
        <v>Loss</v>
      </c>
      <c r="O53" t="str">
        <f>IF(Table1[[#This Row],[MARKET_CAP]]&gt;200000000000,"Large Cap",
IF(Table1[[#This Row],[MARKET_CAP]]&gt;50000000000,"Mid Cap","Small Cap"))</f>
        <v>Large Cap</v>
      </c>
      <c r="P53" t="str">
        <f>IF(Table1[[#This Row],[NET_TRDQTY]]&gt;1000000,"High Volume","Low Volume")</f>
        <v>High Volume</v>
      </c>
    </row>
    <row r="54" spans="1:16" x14ac:dyDescent="0.3">
      <c r="A54" t="s">
        <v>115</v>
      </c>
      <c r="B54" t="s">
        <v>116</v>
      </c>
      <c r="C54">
        <v>863</v>
      </c>
      <c r="D54">
        <v>863</v>
      </c>
      <c r="E54">
        <v>810.45</v>
      </c>
      <c r="F54">
        <v>816.45</v>
      </c>
      <c r="G54">
        <v>863.1</v>
      </c>
      <c r="H54">
        <v>2746629</v>
      </c>
      <c r="I54">
        <v>54394</v>
      </c>
      <c r="J54">
        <v>1340000000000</v>
      </c>
      <c r="K54">
        <v>1647176155</v>
      </c>
      <c r="L54">
        <f>(Table1[[#This Row],[CLOSE_PRICE]] - Table1[[#This Row],[PREV_CL_PR]]) / Table1[[#This Row],[PREV_CL_PR]] * 100</f>
        <v>-5.404935696906497</v>
      </c>
      <c r="M54">
        <f>Table1[[#This Row],[HIGH_PRICE]]-Table1[[#This Row],[LOW_PRICE]]</f>
        <v>52.549999999999955</v>
      </c>
      <c r="N54" t="str">
        <f>IF(Table1[[#This Row],[CLOSE_PRICE]]&gt;Table1[[#This Row],[OPEN_PRICE]],"Gain","Loss")</f>
        <v>Loss</v>
      </c>
      <c r="O54" t="str">
        <f>IF(Table1[[#This Row],[MARKET_CAP]]&gt;200000000000,"Large Cap",
IF(Table1[[#This Row],[MARKET_CAP]]&gt;50000000000,"Mid Cap","Small Cap"))</f>
        <v>Large Cap</v>
      </c>
      <c r="P54" t="str">
        <f>IF(Table1[[#This Row],[NET_TRDQTY]]&gt;1000000,"High Volume","Low Volume")</f>
        <v>High Volume</v>
      </c>
    </row>
    <row r="55" spans="1:16" x14ac:dyDescent="0.3">
      <c r="A55" t="s">
        <v>117</v>
      </c>
      <c r="B55" t="s">
        <v>118</v>
      </c>
      <c r="C55">
        <v>151.54</v>
      </c>
      <c r="D55">
        <v>152.87</v>
      </c>
      <c r="E55">
        <v>144.65</v>
      </c>
      <c r="F55">
        <v>147.85</v>
      </c>
      <c r="G55">
        <v>151.54</v>
      </c>
      <c r="H55">
        <v>25968931</v>
      </c>
      <c r="I55">
        <v>157894</v>
      </c>
      <c r="J55">
        <v>2850000000000</v>
      </c>
      <c r="K55">
        <v>19284694705</v>
      </c>
      <c r="L55">
        <f>(Table1[[#This Row],[CLOSE_PRICE]] - Table1[[#This Row],[PREV_CL_PR]]) / Table1[[#This Row],[PREV_CL_PR]] * 100</f>
        <v>-2.4350006598917764</v>
      </c>
      <c r="M55">
        <f>Table1[[#This Row],[HIGH_PRICE]]-Table1[[#This Row],[LOW_PRICE]]</f>
        <v>8.2199999999999989</v>
      </c>
      <c r="N55" t="str">
        <f>IF(Table1[[#This Row],[CLOSE_PRICE]]&gt;Table1[[#This Row],[OPEN_PRICE]],"Gain","Loss")</f>
        <v>Loss</v>
      </c>
      <c r="O55" t="str">
        <f>IF(Table1[[#This Row],[MARKET_CAP]]&gt;200000000000,"Large Cap",
IF(Table1[[#This Row],[MARKET_CAP]]&gt;50000000000,"Mid Cap","Small Cap"))</f>
        <v>Large Cap</v>
      </c>
      <c r="P55" t="str">
        <f>IF(Table1[[#This Row],[NET_TRDQTY]]&gt;1000000,"High Volume","Low Volume")</f>
        <v>High Volume</v>
      </c>
    </row>
    <row r="56" spans="1:16" x14ac:dyDescent="0.3">
      <c r="A56" t="s">
        <v>119</v>
      </c>
      <c r="B56" t="s">
        <v>120</v>
      </c>
      <c r="C56">
        <v>416.8</v>
      </c>
      <c r="D56">
        <v>416.8</v>
      </c>
      <c r="E56">
        <v>394</v>
      </c>
      <c r="F56">
        <v>395.35</v>
      </c>
      <c r="G56">
        <v>420.55</v>
      </c>
      <c r="H56">
        <v>4333904</v>
      </c>
      <c r="I56">
        <v>59025</v>
      </c>
      <c r="J56">
        <v>977000000000</v>
      </c>
      <c r="K56">
        <v>2471823478</v>
      </c>
      <c r="L56">
        <f>(Table1[[#This Row],[CLOSE_PRICE]] - Table1[[#This Row],[PREV_CL_PR]]) / Table1[[#This Row],[PREV_CL_PR]] * 100</f>
        <v>-5.9921531328022795</v>
      </c>
      <c r="M56">
        <f>Table1[[#This Row],[HIGH_PRICE]]-Table1[[#This Row],[LOW_PRICE]]</f>
        <v>22.800000000000011</v>
      </c>
      <c r="N56" t="str">
        <f>IF(Table1[[#This Row],[CLOSE_PRICE]]&gt;Table1[[#This Row],[OPEN_PRICE]],"Gain","Loss")</f>
        <v>Loss</v>
      </c>
      <c r="O56" t="str">
        <f>IF(Table1[[#This Row],[MARKET_CAP]]&gt;200000000000,"Large Cap",
IF(Table1[[#This Row],[MARKET_CAP]]&gt;50000000000,"Mid Cap","Small Cap"))</f>
        <v>Large Cap</v>
      </c>
      <c r="P56" t="str">
        <f>IF(Table1[[#This Row],[NET_TRDQTY]]&gt;1000000,"High Volume","Low Volume")</f>
        <v>High Volume</v>
      </c>
    </row>
    <row r="57" spans="1:16" x14ac:dyDescent="0.3">
      <c r="A57" t="s">
        <v>121</v>
      </c>
      <c r="B57" t="s">
        <v>122</v>
      </c>
      <c r="C57">
        <v>81</v>
      </c>
      <c r="D57">
        <v>81.209999999999994</v>
      </c>
      <c r="E57">
        <v>77.900000000000006</v>
      </c>
      <c r="F57">
        <v>78.510000000000005</v>
      </c>
      <c r="G57">
        <v>81.45</v>
      </c>
      <c r="H57">
        <v>10089337</v>
      </c>
      <c r="I57">
        <v>83357</v>
      </c>
      <c r="J57">
        <v>654000000000</v>
      </c>
      <c r="K57">
        <v>8332334619</v>
      </c>
      <c r="L57">
        <f>(Table1[[#This Row],[CLOSE_PRICE]] - Table1[[#This Row],[PREV_CL_PR]]) / Table1[[#This Row],[PREV_CL_PR]] * 100</f>
        <v>-3.6095764272559823</v>
      </c>
      <c r="M57">
        <f>Table1[[#This Row],[HIGH_PRICE]]-Table1[[#This Row],[LOW_PRICE]]</f>
        <v>3.3099999999999881</v>
      </c>
      <c r="N57" t="str">
        <f>IF(Table1[[#This Row],[CLOSE_PRICE]]&gt;Table1[[#This Row],[OPEN_PRICE]],"Gain","Loss")</f>
        <v>Loss</v>
      </c>
      <c r="O57" t="str">
        <f>IF(Table1[[#This Row],[MARKET_CAP]]&gt;200000000000,"Large Cap",
IF(Table1[[#This Row],[MARKET_CAP]]&gt;50000000000,"Mid Cap","Small Cap"))</f>
        <v>Large Cap</v>
      </c>
      <c r="P57" t="str">
        <f>IF(Table1[[#This Row],[NET_TRDQTY]]&gt;1000000,"High Volume","Low Volume")</f>
        <v>High Volume</v>
      </c>
    </row>
    <row r="58" spans="1:16" x14ac:dyDescent="0.3">
      <c r="A58" t="s">
        <v>123</v>
      </c>
      <c r="B58" t="s">
        <v>124</v>
      </c>
      <c r="C58">
        <v>9466</v>
      </c>
      <c r="D58">
        <v>9498</v>
      </c>
      <c r="E58">
        <v>9088</v>
      </c>
      <c r="F58">
        <v>9162</v>
      </c>
      <c r="G58">
        <v>9512</v>
      </c>
      <c r="H58">
        <v>46331</v>
      </c>
      <c r="I58">
        <v>14708</v>
      </c>
      <c r="J58">
        <v>1020000000000</v>
      </c>
      <c r="K58">
        <v>111293510</v>
      </c>
      <c r="L58">
        <f>(Table1[[#This Row],[CLOSE_PRICE]] - Table1[[#This Row],[PREV_CL_PR]]) / Table1[[#This Row],[PREV_CL_PR]] * 100</f>
        <v>-3.6795626576955427</v>
      </c>
      <c r="M58">
        <f>Table1[[#This Row],[HIGH_PRICE]]-Table1[[#This Row],[LOW_PRICE]]</f>
        <v>410</v>
      </c>
      <c r="N58" t="str">
        <f>IF(Table1[[#This Row],[CLOSE_PRICE]]&gt;Table1[[#This Row],[OPEN_PRICE]],"Gain","Loss")</f>
        <v>Loss</v>
      </c>
      <c r="O58" t="str">
        <f>IF(Table1[[#This Row],[MARKET_CAP]]&gt;200000000000,"Large Cap",
IF(Table1[[#This Row],[MARKET_CAP]]&gt;50000000000,"Mid Cap","Small Cap"))</f>
        <v>Large Cap</v>
      </c>
      <c r="P58" t="str">
        <f>IF(Table1[[#This Row],[NET_TRDQTY]]&gt;1000000,"High Volume","Low Volume")</f>
        <v>Low Volume</v>
      </c>
    </row>
    <row r="59" spans="1:16" x14ac:dyDescent="0.3">
      <c r="A59" t="s">
        <v>125</v>
      </c>
      <c r="B59" t="s">
        <v>126</v>
      </c>
      <c r="C59">
        <v>275.2</v>
      </c>
      <c r="D59">
        <v>275.45</v>
      </c>
      <c r="E59">
        <v>265</v>
      </c>
      <c r="F59">
        <v>265.89999999999998</v>
      </c>
      <c r="G59">
        <v>279.95</v>
      </c>
      <c r="H59">
        <v>9657083</v>
      </c>
      <c r="I59">
        <v>77550</v>
      </c>
      <c r="J59">
        <v>1380000000000</v>
      </c>
      <c r="K59">
        <v>5171362179</v>
      </c>
      <c r="L59">
        <f>(Table1[[#This Row],[CLOSE_PRICE]] - Table1[[#This Row],[PREV_CL_PR]]) / Table1[[#This Row],[PREV_CL_PR]] * 100</f>
        <v>-5.0187533488122922</v>
      </c>
      <c r="M59">
        <f>Table1[[#This Row],[HIGH_PRICE]]-Table1[[#This Row],[LOW_PRICE]]</f>
        <v>10.449999999999989</v>
      </c>
      <c r="N59" t="str">
        <f>IF(Table1[[#This Row],[CLOSE_PRICE]]&gt;Table1[[#This Row],[OPEN_PRICE]],"Gain","Loss")</f>
        <v>Loss</v>
      </c>
      <c r="O59" t="str">
        <f>IF(Table1[[#This Row],[MARKET_CAP]]&gt;200000000000,"Large Cap",
IF(Table1[[#This Row],[MARKET_CAP]]&gt;50000000000,"Mid Cap","Small Cap"))</f>
        <v>Large Cap</v>
      </c>
      <c r="P59" t="str">
        <f>IF(Table1[[#This Row],[NET_TRDQTY]]&gt;1000000,"High Volume","Low Volume")</f>
        <v>High Volume</v>
      </c>
    </row>
    <row r="60" spans="1:16" x14ac:dyDescent="0.3">
      <c r="A60" t="s">
        <v>127</v>
      </c>
      <c r="B60" t="s">
        <v>128</v>
      </c>
      <c r="C60">
        <v>30220</v>
      </c>
      <c r="D60">
        <v>30300</v>
      </c>
      <c r="E60">
        <v>29000</v>
      </c>
      <c r="F60">
        <v>29135</v>
      </c>
      <c r="G60">
        <v>30390</v>
      </c>
      <c r="H60">
        <v>25264</v>
      </c>
      <c r="I60">
        <v>11147</v>
      </c>
      <c r="J60">
        <v>859000000000</v>
      </c>
      <c r="K60">
        <v>29493640</v>
      </c>
      <c r="L60">
        <f>(Table1[[#This Row],[CLOSE_PRICE]] - Table1[[#This Row],[PREV_CL_PR]]) / Table1[[#This Row],[PREV_CL_PR]] * 100</f>
        <v>-4.1296479104968737</v>
      </c>
      <c r="M60">
        <f>Table1[[#This Row],[HIGH_PRICE]]-Table1[[#This Row],[LOW_PRICE]]</f>
        <v>1300</v>
      </c>
      <c r="N60" t="str">
        <f>IF(Table1[[#This Row],[CLOSE_PRICE]]&gt;Table1[[#This Row],[OPEN_PRICE]],"Gain","Loss")</f>
        <v>Loss</v>
      </c>
      <c r="O60" t="str">
        <f>IF(Table1[[#This Row],[MARKET_CAP]]&gt;200000000000,"Large Cap",
IF(Table1[[#This Row],[MARKET_CAP]]&gt;50000000000,"Mid Cap","Small Cap"))</f>
        <v>Large Cap</v>
      </c>
      <c r="P60" t="str">
        <f>IF(Table1[[#This Row],[NET_TRDQTY]]&gt;1000000,"High Volume","Low Volume")</f>
        <v>Low Volume</v>
      </c>
    </row>
    <row r="61" spans="1:16" x14ac:dyDescent="0.3">
      <c r="A61" t="s">
        <v>129</v>
      </c>
      <c r="B61" t="s">
        <v>130</v>
      </c>
      <c r="C61">
        <v>280.05</v>
      </c>
      <c r="D61">
        <v>281</v>
      </c>
      <c r="E61">
        <v>270</v>
      </c>
      <c r="F61">
        <v>271.3</v>
      </c>
      <c r="G61">
        <v>287.8</v>
      </c>
      <c r="H61">
        <v>14357554</v>
      </c>
      <c r="I61">
        <v>133171</v>
      </c>
      <c r="J61">
        <v>1180000000000</v>
      </c>
      <c r="K61">
        <v>4338505488</v>
      </c>
      <c r="L61">
        <f>(Table1[[#This Row],[CLOSE_PRICE]] - Table1[[#This Row],[PREV_CL_PR]]) / Table1[[#This Row],[PREV_CL_PR]] * 100</f>
        <v>-5.7331480194579569</v>
      </c>
      <c r="M61">
        <f>Table1[[#This Row],[HIGH_PRICE]]-Table1[[#This Row],[LOW_PRICE]]</f>
        <v>11</v>
      </c>
      <c r="N61" t="str">
        <f>IF(Table1[[#This Row],[CLOSE_PRICE]]&gt;Table1[[#This Row],[OPEN_PRICE]],"Gain","Loss")</f>
        <v>Loss</v>
      </c>
      <c r="O61" t="str">
        <f>IF(Table1[[#This Row],[MARKET_CAP]]&gt;200000000000,"Large Cap",
IF(Table1[[#This Row],[MARKET_CAP]]&gt;50000000000,"Mid Cap","Small Cap"))</f>
        <v>Large Cap</v>
      </c>
      <c r="P61" t="str">
        <f>IF(Table1[[#This Row],[NET_TRDQTY]]&gt;1000000,"High Volume","Low Volume")</f>
        <v>High Volume</v>
      </c>
    </row>
    <row r="62" spans="1:16" x14ac:dyDescent="0.3">
      <c r="A62" t="s">
        <v>131</v>
      </c>
      <c r="B62" t="s">
        <v>132</v>
      </c>
      <c r="C62">
        <v>5590</v>
      </c>
      <c r="D62">
        <v>5590.5</v>
      </c>
      <c r="E62">
        <v>5475.5</v>
      </c>
      <c r="F62">
        <v>5490</v>
      </c>
      <c r="G62">
        <v>5618.5</v>
      </c>
      <c r="H62">
        <v>316325</v>
      </c>
      <c r="I62">
        <v>38282</v>
      </c>
      <c r="J62">
        <v>1320000000000</v>
      </c>
      <c r="K62">
        <v>240868296</v>
      </c>
      <c r="L62">
        <f>(Table1[[#This Row],[CLOSE_PRICE]] - Table1[[#This Row],[PREV_CL_PR]]) / Table1[[#This Row],[PREV_CL_PR]] * 100</f>
        <v>-2.287087300881018</v>
      </c>
      <c r="M62">
        <f>Table1[[#This Row],[HIGH_PRICE]]-Table1[[#This Row],[LOW_PRICE]]</f>
        <v>115</v>
      </c>
      <c r="N62" t="str">
        <f>IF(Table1[[#This Row],[CLOSE_PRICE]]&gt;Table1[[#This Row],[OPEN_PRICE]],"Gain","Loss")</f>
        <v>Loss</v>
      </c>
      <c r="O62" t="str">
        <f>IF(Table1[[#This Row],[MARKET_CAP]]&gt;200000000000,"Large Cap",
IF(Table1[[#This Row],[MARKET_CAP]]&gt;50000000000,"Mid Cap","Small Cap"))</f>
        <v>Large Cap</v>
      </c>
      <c r="P62" t="str">
        <f>IF(Table1[[#This Row],[NET_TRDQTY]]&gt;1000000,"High Volume","Low Volume")</f>
        <v>Low Volume</v>
      </c>
    </row>
    <row r="63" spans="1:16" x14ac:dyDescent="0.3">
      <c r="A63" t="s">
        <v>133</v>
      </c>
      <c r="B63" t="s">
        <v>134</v>
      </c>
      <c r="C63">
        <v>134</v>
      </c>
      <c r="D63">
        <v>134</v>
      </c>
      <c r="E63">
        <v>129.02000000000001</v>
      </c>
      <c r="F63">
        <v>129.56</v>
      </c>
      <c r="G63">
        <v>136.44</v>
      </c>
      <c r="H63">
        <v>22467854</v>
      </c>
      <c r="I63">
        <v>108980</v>
      </c>
      <c r="J63">
        <v>1180000000000</v>
      </c>
      <c r="K63">
        <v>9070651260</v>
      </c>
      <c r="L63">
        <f>(Table1[[#This Row],[CLOSE_PRICE]] - Table1[[#This Row],[PREV_CL_PR]]) / Table1[[#This Row],[PREV_CL_PR]] * 100</f>
        <v>-5.0425095279976517</v>
      </c>
      <c r="M63">
        <f>Table1[[#This Row],[HIGH_PRICE]]-Table1[[#This Row],[LOW_PRICE]]</f>
        <v>4.9799999999999898</v>
      </c>
      <c r="N63" t="str">
        <f>IF(Table1[[#This Row],[CLOSE_PRICE]]&gt;Table1[[#This Row],[OPEN_PRICE]],"Gain","Loss")</f>
        <v>Loss</v>
      </c>
      <c r="O63" t="str">
        <f>IF(Table1[[#This Row],[MARKET_CAP]]&gt;200000000000,"Large Cap",
IF(Table1[[#This Row],[MARKET_CAP]]&gt;50000000000,"Mid Cap","Small Cap"))</f>
        <v>Large Cap</v>
      </c>
      <c r="P63" t="str">
        <f>IF(Table1[[#This Row],[NET_TRDQTY]]&gt;1000000,"High Volume","Low Volume")</f>
        <v>High Volume</v>
      </c>
    </row>
    <row r="64" spans="1:16" x14ac:dyDescent="0.3">
      <c r="A64" t="s">
        <v>135</v>
      </c>
      <c r="B64" t="s">
        <v>136</v>
      </c>
      <c r="C64">
        <v>675.15</v>
      </c>
      <c r="D64">
        <v>675.5</v>
      </c>
      <c r="E64">
        <v>642.79999999999995</v>
      </c>
      <c r="F64">
        <v>664.1</v>
      </c>
      <c r="G64">
        <v>681.6</v>
      </c>
      <c r="H64">
        <v>3640981</v>
      </c>
      <c r="I64">
        <v>84011</v>
      </c>
      <c r="J64">
        <v>1050000000000</v>
      </c>
      <c r="K64">
        <v>1574857609</v>
      </c>
      <c r="L64">
        <f>(Table1[[#This Row],[CLOSE_PRICE]] - Table1[[#This Row],[PREV_CL_PR]]) / Table1[[#This Row],[PREV_CL_PR]] * 100</f>
        <v>-2.567488262910798</v>
      </c>
      <c r="M64">
        <f>Table1[[#This Row],[HIGH_PRICE]]-Table1[[#This Row],[LOW_PRICE]]</f>
        <v>32.700000000000045</v>
      </c>
      <c r="N64" t="str">
        <f>IF(Table1[[#This Row],[CLOSE_PRICE]]&gt;Table1[[#This Row],[OPEN_PRICE]],"Gain","Loss")</f>
        <v>Loss</v>
      </c>
      <c r="O64" t="str">
        <f>IF(Table1[[#This Row],[MARKET_CAP]]&gt;200000000000,"Large Cap",
IF(Table1[[#This Row],[MARKET_CAP]]&gt;50000000000,"Mid Cap","Small Cap"))</f>
        <v>Large Cap</v>
      </c>
      <c r="P64" t="str">
        <f>IF(Table1[[#This Row],[NET_TRDQTY]]&gt;1000000,"High Volume","Low Volume")</f>
        <v>High Volume</v>
      </c>
    </row>
    <row r="65" spans="1:16" x14ac:dyDescent="0.3">
      <c r="A65" t="s">
        <v>137</v>
      </c>
      <c r="B65" t="s">
        <v>138</v>
      </c>
      <c r="C65">
        <v>1429.7</v>
      </c>
      <c r="D65">
        <v>1429.7</v>
      </c>
      <c r="E65">
        <v>1375.6</v>
      </c>
      <c r="F65">
        <v>1380.9</v>
      </c>
      <c r="G65">
        <v>1440.5</v>
      </c>
      <c r="H65">
        <v>2569553</v>
      </c>
      <c r="I65">
        <v>86676</v>
      </c>
      <c r="J65">
        <v>1170000000000</v>
      </c>
      <c r="K65">
        <v>843853491</v>
      </c>
      <c r="L65">
        <f>(Table1[[#This Row],[CLOSE_PRICE]] - Table1[[#This Row],[PREV_CL_PR]]) / Table1[[#This Row],[PREV_CL_PR]] * 100</f>
        <v>-4.1374522735161339</v>
      </c>
      <c r="M65">
        <f>Table1[[#This Row],[HIGH_PRICE]]-Table1[[#This Row],[LOW_PRICE]]</f>
        <v>54.100000000000136</v>
      </c>
      <c r="N65" t="str">
        <f>IF(Table1[[#This Row],[CLOSE_PRICE]]&gt;Table1[[#This Row],[OPEN_PRICE]],"Gain","Loss")</f>
        <v>Loss</v>
      </c>
      <c r="O65" t="str">
        <f>IF(Table1[[#This Row],[MARKET_CAP]]&gt;200000000000,"Large Cap",
IF(Table1[[#This Row],[MARKET_CAP]]&gt;50000000000,"Mid Cap","Small Cap"))</f>
        <v>Large Cap</v>
      </c>
      <c r="P65" t="str">
        <f>IF(Table1[[#This Row],[NET_TRDQTY]]&gt;1000000,"High Volume","Low Volume")</f>
        <v>High Volume</v>
      </c>
    </row>
    <row r="66" spans="1:16" x14ac:dyDescent="0.3">
      <c r="A66" t="s">
        <v>139</v>
      </c>
      <c r="B66" t="s">
        <v>140</v>
      </c>
      <c r="C66">
        <v>6036.5</v>
      </c>
      <c r="D66">
        <v>6047</v>
      </c>
      <c r="E66">
        <v>5982</v>
      </c>
      <c r="F66">
        <v>6013.5</v>
      </c>
      <c r="G66">
        <v>6100</v>
      </c>
      <c r="H66">
        <v>227221</v>
      </c>
      <c r="I66">
        <v>31049</v>
      </c>
      <c r="J66">
        <v>1600000000000</v>
      </c>
      <c r="K66">
        <v>265468580</v>
      </c>
      <c r="L66">
        <f>(Table1[[#This Row],[CLOSE_PRICE]] - Table1[[#This Row],[PREV_CL_PR]]) / Table1[[#This Row],[PREV_CL_PR]] * 100</f>
        <v>-1.4180327868852458</v>
      </c>
      <c r="M66">
        <f>Table1[[#This Row],[HIGH_PRICE]]-Table1[[#This Row],[LOW_PRICE]]</f>
        <v>65</v>
      </c>
      <c r="N66" t="str">
        <f>IF(Table1[[#This Row],[CLOSE_PRICE]]&gt;Table1[[#This Row],[OPEN_PRICE]],"Gain","Loss")</f>
        <v>Loss</v>
      </c>
      <c r="O66" t="str">
        <f>IF(Table1[[#This Row],[MARKET_CAP]]&gt;200000000000,"Large Cap",
IF(Table1[[#This Row],[MARKET_CAP]]&gt;50000000000,"Mid Cap","Small Cap"))</f>
        <v>Large Cap</v>
      </c>
      <c r="P66" t="str">
        <f>IF(Table1[[#This Row],[NET_TRDQTY]]&gt;1000000,"High Volume","Low Volume")</f>
        <v>Low Volume</v>
      </c>
    </row>
    <row r="67" spans="1:16" x14ac:dyDescent="0.3">
      <c r="A67" t="s">
        <v>141</v>
      </c>
      <c r="B67" t="s">
        <v>142</v>
      </c>
      <c r="C67">
        <v>534</v>
      </c>
      <c r="D67">
        <v>534</v>
      </c>
      <c r="E67">
        <v>512.04999999999995</v>
      </c>
      <c r="F67">
        <v>514.75</v>
      </c>
      <c r="G67">
        <v>540.75</v>
      </c>
      <c r="H67">
        <v>4277345</v>
      </c>
      <c r="I67">
        <v>64406</v>
      </c>
      <c r="J67">
        <v>1270000000000</v>
      </c>
      <c r="K67">
        <v>2475315036</v>
      </c>
      <c r="L67">
        <f>(Table1[[#This Row],[CLOSE_PRICE]] - Table1[[#This Row],[PREV_CL_PR]]) / Table1[[#This Row],[PREV_CL_PR]] * 100</f>
        <v>-4.8081368469717987</v>
      </c>
      <c r="M67">
        <f>Table1[[#This Row],[HIGH_PRICE]]-Table1[[#This Row],[LOW_PRICE]]</f>
        <v>21.950000000000045</v>
      </c>
      <c r="N67" t="str">
        <f>IF(Table1[[#This Row],[CLOSE_PRICE]]&gt;Table1[[#This Row],[OPEN_PRICE]],"Gain","Loss")</f>
        <v>Loss</v>
      </c>
      <c r="O67" t="str">
        <f>IF(Table1[[#This Row],[MARKET_CAP]]&gt;200000000000,"Large Cap",
IF(Table1[[#This Row],[MARKET_CAP]]&gt;50000000000,"Mid Cap","Small Cap"))</f>
        <v>Large Cap</v>
      </c>
      <c r="P67" t="str">
        <f>IF(Table1[[#This Row],[NET_TRDQTY]]&gt;1000000,"High Volume","Low Volume")</f>
        <v>High Volume</v>
      </c>
    </row>
    <row r="68" spans="1:16" x14ac:dyDescent="0.3">
      <c r="A68" t="s">
        <v>143</v>
      </c>
      <c r="B68" t="s">
        <v>144</v>
      </c>
      <c r="C68">
        <v>3750</v>
      </c>
      <c r="D68">
        <v>3752</v>
      </c>
      <c r="E68">
        <v>3630</v>
      </c>
      <c r="F68">
        <v>3655.6</v>
      </c>
      <c r="G68">
        <v>3770.8</v>
      </c>
      <c r="H68">
        <v>296381</v>
      </c>
      <c r="I68">
        <v>33353</v>
      </c>
      <c r="J68">
        <v>2380000000000</v>
      </c>
      <c r="K68">
        <v>650733068</v>
      </c>
      <c r="L68">
        <f>(Table1[[#This Row],[CLOSE_PRICE]] - Table1[[#This Row],[PREV_CL_PR]]) / Table1[[#This Row],[PREV_CL_PR]] * 100</f>
        <v>-3.0550546303171813</v>
      </c>
      <c r="M68">
        <f>Table1[[#This Row],[HIGH_PRICE]]-Table1[[#This Row],[LOW_PRICE]]</f>
        <v>122</v>
      </c>
      <c r="N68" t="str">
        <f>IF(Table1[[#This Row],[CLOSE_PRICE]]&gt;Table1[[#This Row],[OPEN_PRICE]],"Gain","Loss")</f>
        <v>Loss</v>
      </c>
      <c r="O68" t="str">
        <f>IF(Table1[[#This Row],[MARKET_CAP]]&gt;200000000000,"Large Cap",
IF(Table1[[#This Row],[MARKET_CAP]]&gt;50000000000,"Mid Cap","Small Cap"))</f>
        <v>Large Cap</v>
      </c>
      <c r="P68" t="str">
        <f>IF(Table1[[#This Row],[NET_TRDQTY]]&gt;1000000,"High Volume","Low Volume")</f>
        <v>Low Volume</v>
      </c>
    </row>
    <row r="69" spans="1:16" x14ac:dyDescent="0.3">
      <c r="A69" t="s">
        <v>145</v>
      </c>
      <c r="B69" t="s">
        <v>146</v>
      </c>
      <c r="C69">
        <v>2751.2</v>
      </c>
      <c r="D69">
        <v>2758.5</v>
      </c>
      <c r="E69">
        <v>2666.1</v>
      </c>
      <c r="F69">
        <v>2696.1</v>
      </c>
      <c r="G69">
        <v>2791.2</v>
      </c>
      <c r="H69">
        <v>221627</v>
      </c>
      <c r="I69">
        <v>27242</v>
      </c>
      <c r="J69">
        <v>960000000000</v>
      </c>
      <c r="K69">
        <v>356120505</v>
      </c>
      <c r="L69">
        <f>(Table1[[#This Row],[CLOSE_PRICE]] - Table1[[#This Row],[PREV_CL_PR]]) / Table1[[#This Row],[PREV_CL_PR]] * 100</f>
        <v>-3.4071367153912262</v>
      </c>
      <c r="M69">
        <f>Table1[[#This Row],[HIGH_PRICE]]-Table1[[#This Row],[LOW_PRICE]]</f>
        <v>92.400000000000091</v>
      </c>
      <c r="N69" t="str">
        <f>IF(Table1[[#This Row],[CLOSE_PRICE]]&gt;Table1[[#This Row],[OPEN_PRICE]],"Gain","Loss")</f>
        <v>Loss</v>
      </c>
      <c r="O69" t="str">
        <f>IF(Table1[[#This Row],[MARKET_CAP]]&gt;200000000000,"Large Cap",
IF(Table1[[#This Row],[MARKET_CAP]]&gt;50000000000,"Mid Cap","Small Cap"))</f>
        <v>Large Cap</v>
      </c>
      <c r="P69" t="str">
        <f>IF(Table1[[#This Row],[NET_TRDQTY]]&gt;1000000,"High Volume","Low Volume")</f>
        <v>Low Volume</v>
      </c>
    </row>
    <row r="70" spans="1:16" x14ac:dyDescent="0.3">
      <c r="A70" t="s">
        <v>147</v>
      </c>
      <c r="B70" t="s">
        <v>148</v>
      </c>
      <c r="C70">
        <v>141.22999999999999</v>
      </c>
      <c r="D70">
        <v>142.1</v>
      </c>
      <c r="E70">
        <v>134.36000000000001</v>
      </c>
      <c r="F70">
        <v>135.4</v>
      </c>
      <c r="G70">
        <v>142.87</v>
      </c>
      <c r="H70">
        <v>16552069</v>
      </c>
      <c r="I70">
        <v>111483</v>
      </c>
      <c r="J70">
        <v>890000000000</v>
      </c>
      <c r="K70">
        <v>6575099644</v>
      </c>
      <c r="L70">
        <f>(Table1[[#This Row],[CLOSE_PRICE]] - Table1[[#This Row],[PREV_CL_PR]]) / Table1[[#This Row],[PREV_CL_PR]] * 100</f>
        <v>-5.2285294323510874</v>
      </c>
      <c r="M70">
        <f>Table1[[#This Row],[HIGH_PRICE]]-Table1[[#This Row],[LOW_PRICE]]</f>
        <v>7.7399999999999807</v>
      </c>
      <c r="N70" t="str">
        <f>IF(Table1[[#This Row],[CLOSE_PRICE]]&gt;Table1[[#This Row],[OPEN_PRICE]],"Gain","Loss")</f>
        <v>Loss</v>
      </c>
      <c r="O70" t="str">
        <f>IF(Table1[[#This Row],[MARKET_CAP]]&gt;200000000000,"Large Cap",
IF(Table1[[#This Row],[MARKET_CAP]]&gt;50000000000,"Mid Cap","Small Cap"))</f>
        <v>Large Cap</v>
      </c>
      <c r="P70" t="str">
        <f>IF(Table1[[#This Row],[NET_TRDQTY]]&gt;1000000,"High Volume","Low Volume")</f>
        <v>High Volume</v>
      </c>
    </row>
    <row r="71" spans="1:16" x14ac:dyDescent="0.3">
      <c r="A71" t="s">
        <v>149</v>
      </c>
      <c r="B71" t="s">
        <v>150</v>
      </c>
      <c r="C71">
        <v>1010</v>
      </c>
      <c r="D71">
        <v>1012</v>
      </c>
      <c r="E71">
        <v>988</v>
      </c>
      <c r="F71">
        <v>1002.4</v>
      </c>
      <c r="G71">
        <v>1017.6</v>
      </c>
      <c r="H71">
        <v>1771476</v>
      </c>
      <c r="I71">
        <v>80431</v>
      </c>
      <c r="J71">
        <v>1030000000000</v>
      </c>
      <c r="K71">
        <v>1023244581</v>
      </c>
      <c r="L71">
        <f>(Table1[[#This Row],[CLOSE_PRICE]] - Table1[[#This Row],[PREV_CL_PR]]) / Table1[[#This Row],[PREV_CL_PR]] * 100</f>
        <v>-1.4937106918239038</v>
      </c>
      <c r="M71">
        <f>Table1[[#This Row],[HIGH_PRICE]]-Table1[[#This Row],[LOW_PRICE]]</f>
        <v>24</v>
      </c>
      <c r="N71" t="str">
        <f>IF(Table1[[#This Row],[CLOSE_PRICE]]&gt;Table1[[#This Row],[OPEN_PRICE]],"Gain","Loss")</f>
        <v>Loss</v>
      </c>
      <c r="O71" t="str">
        <f>IF(Table1[[#This Row],[MARKET_CAP]]&gt;200000000000,"Large Cap",
IF(Table1[[#This Row],[MARKET_CAP]]&gt;50000000000,"Mid Cap","Small Cap"))</f>
        <v>Large Cap</v>
      </c>
      <c r="P71" t="str">
        <f>IF(Table1[[#This Row],[NET_TRDQTY]]&gt;1000000,"High Volume","Low Volume")</f>
        <v>High Volume</v>
      </c>
    </row>
    <row r="72" spans="1:16" x14ac:dyDescent="0.3">
      <c r="A72" t="s">
        <v>151</v>
      </c>
      <c r="B72" t="s">
        <v>152</v>
      </c>
      <c r="C72">
        <v>3760.6</v>
      </c>
      <c r="D72">
        <v>3762.8</v>
      </c>
      <c r="E72">
        <v>3610</v>
      </c>
      <c r="F72">
        <v>3634.6</v>
      </c>
      <c r="G72">
        <v>3782.4</v>
      </c>
      <c r="H72">
        <v>1797092</v>
      </c>
      <c r="I72">
        <v>108300</v>
      </c>
      <c r="J72">
        <v>2430000000000</v>
      </c>
      <c r="K72">
        <v>668775000</v>
      </c>
      <c r="L72">
        <f>(Table1[[#This Row],[CLOSE_PRICE]] - Table1[[#This Row],[PREV_CL_PR]]) / Table1[[#This Row],[PREV_CL_PR]] * 100</f>
        <v>-3.907571912013541</v>
      </c>
      <c r="M72">
        <f>Table1[[#This Row],[HIGH_PRICE]]-Table1[[#This Row],[LOW_PRICE]]</f>
        <v>152.80000000000018</v>
      </c>
      <c r="N72" t="str">
        <f>IF(Table1[[#This Row],[CLOSE_PRICE]]&gt;Table1[[#This Row],[OPEN_PRICE]],"Gain","Loss")</f>
        <v>Loss</v>
      </c>
      <c r="O72" t="str">
        <f>IF(Table1[[#This Row],[MARKET_CAP]]&gt;200000000000,"Large Cap",
IF(Table1[[#This Row],[MARKET_CAP]]&gt;50000000000,"Mid Cap","Small Cap"))</f>
        <v>Large Cap</v>
      </c>
      <c r="P72" t="str">
        <f>IF(Table1[[#This Row],[NET_TRDQTY]]&gt;1000000,"High Volume","Low Volume")</f>
        <v>High Volume</v>
      </c>
    </row>
    <row r="73" spans="1:16" x14ac:dyDescent="0.3">
      <c r="A73" t="s">
        <v>153</v>
      </c>
      <c r="B73" t="s">
        <v>154</v>
      </c>
      <c r="C73">
        <v>1270</v>
      </c>
      <c r="D73">
        <v>1271.9000000000001</v>
      </c>
      <c r="E73">
        <v>1217.2</v>
      </c>
      <c r="F73">
        <v>1231</v>
      </c>
      <c r="G73">
        <v>1281.2</v>
      </c>
      <c r="H73">
        <v>835568</v>
      </c>
      <c r="I73">
        <v>43148</v>
      </c>
      <c r="J73">
        <v>772000000000</v>
      </c>
      <c r="K73">
        <v>627256842</v>
      </c>
      <c r="L73">
        <f>(Table1[[#This Row],[CLOSE_PRICE]] - Table1[[#This Row],[PREV_CL_PR]]) / Table1[[#This Row],[PREV_CL_PR]] * 100</f>
        <v>-3.9182016859194544</v>
      </c>
      <c r="M73">
        <f>Table1[[#This Row],[HIGH_PRICE]]-Table1[[#This Row],[LOW_PRICE]]</f>
        <v>54.700000000000045</v>
      </c>
      <c r="N73" t="str">
        <f>IF(Table1[[#This Row],[CLOSE_PRICE]]&gt;Table1[[#This Row],[OPEN_PRICE]],"Gain","Loss")</f>
        <v>Loss</v>
      </c>
      <c r="O73" t="str">
        <f>IF(Table1[[#This Row],[MARKET_CAP]]&gt;200000000000,"Large Cap",
IF(Table1[[#This Row],[MARKET_CAP]]&gt;50000000000,"Mid Cap","Small Cap"))</f>
        <v>Large Cap</v>
      </c>
      <c r="P73" t="str">
        <f>IF(Table1[[#This Row],[NET_TRDQTY]]&gt;1000000,"High Volume","Low Volume")</f>
        <v>Low Volume</v>
      </c>
    </row>
    <row r="74" spans="1:16" x14ac:dyDescent="0.3">
      <c r="A74" t="s">
        <v>155</v>
      </c>
      <c r="B74" t="s">
        <v>156</v>
      </c>
      <c r="C74">
        <v>499.35</v>
      </c>
      <c r="D74">
        <v>499.5</v>
      </c>
      <c r="E74">
        <v>484</v>
      </c>
      <c r="F74">
        <v>487.65</v>
      </c>
      <c r="G74">
        <v>514.75</v>
      </c>
      <c r="H74">
        <v>9206594</v>
      </c>
      <c r="I74">
        <v>120099</v>
      </c>
      <c r="J74">
        <v>2060000000000</v>
      </c>
      <c r="K74">
        <v>4225319000</v>
      </c>
      <c r="L74">
        <f>(Table1[[#This Row],[CLOSE_PRICE]] - Table1[[#This Row],[PREV_CL_PR]]) / Table1[[#This Row],[PREV_CL_PR]] * 100</f>
        <v>-5.2646915978630453</v>
      </c>
      <c r="M74">
        <f>Table1[[#This Row],[HIGH_PRICE]]-Table1[[#This Row],[LOW_PRICE]]</f>
        <v>15.5</v>
      </c>
      <c r="N74" t="str">
        <f>IF(Table1[[#This Row],[CLOSE_PRICE]]&gt;Table1[[#This Row],[OPEN_PRICE]],"Gain","Loss")</f>
        <v>Loss</v>
      </c>
      <c r="O74" t="str">
        <f>IF(Table1[[#This Row],[MARKET_CAP]]&gt;200000000000,"Large Cap",
IF(Table1[[#This Row],[MARKET_CAP]]&gt;50000000000,"Mid Cap","Small Cap"))</f>
        <v>Large Cap</v>
      </c>
      <c r="P74" t="str">
        <f>IF(Table1[[#This Row],[NET_TRDQTY]]&gt;1000000,"High Volume","Low Volume")</f>
        <v>High Volume</v>
      </c>
    </row>
    <row r="75" spans="1:16" x14ac:dyDescent="0.3">
      <c r="A75" t="s">
        <v>157</v>
      </c>
      <c r="B75" t="s">
        <v>158</v>
      </c>
      <c r="C75">
        <v>1940</v>
      </c>
      <c r="D75">
        <v>1940.9</v>
      </c>
      <c r="E75">
        <v>1860</v>
      </c>
      <c r="F75">
        <v>1867.5</v>
      </c>
      <c r="G75">
        <v>1951</v>
      </c>
      <c r="H75">
        <v>371722</v>
      </c>
      <c r="I75">
        <v>37867</v>
      </c>
      <c r="J75">
        <v>1520000000000</v>
      </c>
      <c r="K75">
        <v>812541100</v>
      </c>
      <c r="L75">
        <f>(Table1[[#This Row],[CLOSE_PRICE]] - Table1[[#This Row],[PREV_CL_PR]]) / Table1[[#This Row],[PREV_CL_PR]] * 100</f>
        <v>-4.2798564838544335</v>
      </c>
      <c r="M75">
        <f>Table1[[#This Row],[HIGH_PRICE]]-Table1[[#This Row],[LOW_PRICE]]</f>
        <v>80.900000000000091</v>
      </c>
      <c r="N75" t="str">
        <f>IF(Table1[[#This Row],[CLOSE_PRICE]]&gt;Table1[[#This Row],[OPEN_PRICE]],"Gain","Loss")</f>
        <v>Loss</v>
      </c>
      <c r="O75" t="str">
        <f>IF(Table1[[#This Row],[MARKET_CAP]]&gt;200000000000,"Large Cap",
IF(Table1[[#This Row],[MARKET_CAP]]&gt;50000000000,"Mid Cap","Small Cap"))</f>
        <v>Large Cap</v>
      </c>
      <c r="P75" t="str">
        <f>IF(Table1[[#This Row],[NET_TRDQTY]]&gt;1000000,"High Volume","Low Volume")</f>
        <v>Low Volume</v>
      </c>
    </row>
    <row r="76" spans="1:16" x14ac:dyDescent="0.3">
      <c r="A76" t="s">
        <v>159</v>
      </c>
      <c r="B76" t="s">
        <v>160</v>
      </c>
      <c r="C76">
        <v>1761</v>
      </c>
      <c r="D76">
        <v>1771.3</v>
      </c>
      <c r="E76">
        <v>1706</v>
      </c>
      <c r="F76">
        <v>1722.2</v>
      </c>
      <c r="G76">
        <v>1777.2</v>
      </c>
      <c r="H76">
        <v>1369456</v>
      </c>
      <c r="I76">
        <v>72304</v>
      </c>
      <c r="J76">
        <v>858000000000</v>
      </c>
      <c r="K76">
        <v>498004805</v>
      </c>
      <c r="L76">
        <f>(Table1[[#This Row],[CLOSE_PRICE]] - Table1[[#This Row],[PREV_CL_PR]]) / Table1[[#This Row],[PREV_CL_PR]] * 100</f>
        <v>-3.0947557956335809</v>
      </c>
      <c r="M76">
        <f>Table1[[#This Row],[HIGH_PRICE]]-Table1[[#This Row],[LOW_PRICE]]</f>
        <v>65.299999999999955</v>
      </c>
      <c r="N76" t="str">
        <f>IF(Table1[[#This Row],[CLOSE_PRICE]]&gt;Table1[[#This Row],[OPEN_PRICE]],"Gain","Loss")</f>
        <v>Loss</v>
      </c>
      <c r="O76" t="str">
        <f>IF(Table1[[#This Row],[MARKET_CAP]]&gt;200000000000,"Large Cap",
IF(Table1[[#This Row],[MARKET_CAP]]&gt;50000000000,"Mid Cap","Small Cap"))</f>
        <v>Large Cap</v>
      </c>
      <c r="P76" t="str">
        <f>IF(Table1[[#This Row],[NET_TRDQTY]]&gt;1000000,"High Volume","Low Volume")</f>
        <v>High Volume</v>
      </c>
    </row>
    <row r="77" spans="1:16" x14ac:dyDescent="0.3">
      <c r="A77" t="s">
        <v>161</v>
      </c>
      <c r="B77" t="s">
        <v>162</v>
      </c>
      <c r="C77">
        <v>610.54999999999995</v>
      </c>
      <c r="D77">
        <v>611</v>
      </c>
      <c r="E77">
        <v>580.85</v>
      </c>
      <c r="F77">
        <v>582.45000000000005</v>
      </c>
      <c r="G77">
        <v>615.54999999999995</v>
      </c>
      <c r="H77">
        <v>3495215</v>
      </c>
      <c r="I77">
        <v>90546</v>
      </c>
      <c r="J77">
        <v>829000000000</v>
      </c>
      <c r="K77">
        <v>1423432227</v>
      </c>
      <c r="L77">
        <f>(Table1[[#This Row],[CLOSE_PRICE]] - Table1[[#This Row],[PREV_CL_PR]]) / Table1[[#This Row],[PREV_CL_PR]] * 100</f>
        <v>-5.3773048493217308</v>
      </c>
      <c r="M77">
        <f>Table1[[#This Row],[HIGH_PRICE]]-Table1[[#This Row],[LOW_PRICE]]</f>
        <v>30.149999999999977</v>
      </c>
      <c r="N77" t="str">
        <f>IF(Table1[[#This Row],[CLOSE_PRICE]]&gt;Table1[[#This Row],[OPEN_PRICE]],"Gain","Loss")</f>
        <v>Loss</v>
      </c>
      <c r="O77" t="str">
        <f>IF(Table1[[#This Row],[MARKET_CAP]]&gt;200000000000,"Large Cap",
IF(Table1[[#This Row],[MARKET_CAP]]&gt;50000000000,"Mid Cap","Small Cap"))</f>
        <v>Large Cap</v>
      </c>
      <c r="P77" t="str">
        <f>IF(Table1[[#This Row],[NET_TRDQTY]]&gt;1000000,"High Volume","Low Volume")</f>
        <v>High Volume</v>
      </c>
    </row>
    <row r="78" spans="1:16" x14ac:dyDescent="0.3">
      <c r="A78" t="s">
        <v>163</v>
      </c>
      <c r="B78" t="s">
        <v>164</v>
      </c>
      <c r="C78">
        <v>141.49</v>
      </c>
      <c r="D78">
        <v>142.69</v>
      </c>
      <c r="E78">
        <v>137.75</v>
      </c>
      <c r="F78">
        <v>138.11000000000001</v>
      </c>
      <c r="G78">
        <v>144.6</v>
      </c>
      <c r="H78">
        <v>21048472</v>
      </c>
      <c r="I78">
        <v>162631</v>
      </c>
      <c r="J78">
        <v>1950000000000</v>
      </c>
      <c r="K78">
        <v>14121238383</v>
      </c>
      <c r="L78">
        <f>(Table1[[#This Row],[CLOSE_PRICE]] - Table1[[#This Row],[PREV_CL_PR]]) / Table1[[#This Row],[PREV_CL_PR]] * 100</f>
        <v>-4.4882434301521306</v>
      </c>
      <c r="M78">
        <f>Table1[[#This Row],[HIGH_PRICE]]-Table1[[#This Row],[LOW_PRICE]]</f>
        <v>4.9399999999999977</v>
      </c>
      <c r="N78" t="str">
        <f>IF(Table1[[#This Row],[CLOSE_PRICE]]&gt;Table1[[#This Row],[OPEN_PRICE]],"Gain","Loss")</f>
        <v>Loss</v>
      </c>
      <c r="O78" t="str">
        <f>IF(Table1[[#This Row],[MARKET_CAP]]&gt;200000000000,"Large Cap",
IF(Table1[[#This Row],[MARKET_CAP]]&gt;50000000000,"Mid Cap","Small Cap"))</f>
        <v>Large Cap</v>
      </c>
      <c r="P78" t="str">
        <f>IF(Table1[[#This Row],[NET_TRDQTY]]&gt;1000000,"High Volume","Low Volume")</f>
        <v>High Volume</v>
      </c>
    </row>
    <row r="79" spans="1:16" x14ac:dyDescent="0.3">
      <c r="A79" t="s">
        <v>165</v>
      </c>
      <c r="B79" t="s">
        <v>166</v>
      </c>
      <c r="C79">
        <v>93.5</v>
      </c>
      <c r="D79">
        <v>93.65</v>
      </c>
      <c r="E79">
        <v>89.2</v>
      </c>
      <c r="F79">
        <v>89.45</v>
      </c>
      <c r="G79">
        <v>94.69</v>
      </c>
      <c r="H79">
        <v>17225370</v>
      </c>
      <c r="I79">
        <v>111441</v>
      </c>
      <c r="J79">
        <v>1170000000000</v>
      </c>
      <c r="K79">
        <v>13068506000</v>
      </c>
      <c r="L79">
        <f>(Table1[[#This Row],[CLOSE_PRICE]] - Table1[[#This Row],[PREV_CL_PR]]) / Table1[[#This Row],[PREV_CL_PR]] * 100</f>
        <v>-5.5338472911606242</v>
      </c>
      <c r="M79">
        <f>Table1[[#This Row],[HIGH_PRICE]]-Table1[[#This Row],[LOW_PRICE]]</f>
        <v>4.4500000000000028</v>
      </c>
      <c r="N79" t="str">
        <f>IF(Table1[[#This Row],[CLOSE_PRICE]]&gt;Table1[[#This Row],[OPEN_PRICE]],"Gain","Loss")</f>
        <v>Loss</v>
      </c>
      <c r="O79" t="str">
        <f>IF(Table1[[#This Row],[MARKET_CAP]]&gt;200000000000,"Large Cap",
IF(Table1[[#This Row],[MARKET_CAP]]&gt;50000000000,"Mid Cap","Small Cap"))</f>
        <v>Large Cap</v>
      </c>
      <c r="P79" t="str">
        <f>IF(Table1[[#This Row],[NET_TRDQTY]]&gt;1000000,"High Volume","Low Volume")</f>
        <v>High Volume</v>
      </c>
    </row>
    <row r="80" spans="1:16" x14ac:dyDescent="0.3">
      <c r="A80" t="s">
        <v>167</v>
      </c>
      <c r="B80" t="s">
        <v>168</v>
      </c>
      <c r="C80">
        <v>1162</v>
      </c>
      <c r="D80">
        <v>1169.8</v>
      </c>
      <c r="E80">
        <v>1101.5999999999999</v>
      </c>
      <c r="F80">
        <v>1106.2</v>
      </c>
      <c r="G80">
        <v>1186.5</v>
      </c>
      <c r="H80">
        <v>1880244</v>
      </c>
      <c r="I80">
        <v>57844</v>
      </c>
      <c r="J80">
        <v>1130000000000</v>
      </c>
      <c r="K80">
        <v>1020088097</v>
      </c>
      <c r="L80">
        <f>(Table1[[#This Row],[CLOSE_PRICE]] - Table1[[#This Row],[PREV_CL_PR]]) / Table1[[#This Row],[PREV_CL_PR]] * 100</f>
        <v>-6.7678044669195065</v>
      </c>
      <c r="M80">
        <f>Table1[[#This Row],[HIGH_PRICE]]-Table1[[#This Row],[LOW_PRICE]]</f>
        <v>68.200000000000045</v>
      </c>
      <c r="N80" t="str">
        <f>IF(Table1[[#This Row],[CLOSE_PRICE]]&gt;Table1[[#This Row],[OPEN_PRICE]],"Gain","Loss")</f>
        <v>Loss</v>
      </c>
      <c r="O80" t="str">
        <f>IF(Table1[[#This Row],[MARKET_CAP]]&gt;200000000000,"Large Cap",
IF(Table1[[#This Row],[MARKET_CAP]]&gt;50000000000,"Mid Cap","Small Cap"))</f>
        <v>Large Cap</v>
      </c>
      <c r="P80" t="str">
        <f>IF(Table1[[#This Row],[NET_TRDQTY]]&gt;1000000,"High Volume","Low Volume")</f>
        <v>High Volume</v>
      </c>
    </row>
    <row r="81" spans="1:16" x14ac:dyDescent="0.3">
      <c r="A81" t="s">
        <v>169</v>
      </c>
      <c r="B81" t="s">
        <v>170</v>
      </c>
      <c r="C81">
        <v>506.8</v>
      </c>
      <c r="D81">
        <v>506.8</v>
      </c>
      <c r="E81">
        <v>480</v>
      </c>
      <c r="F81">
        <v>482.7</v>
      </c>
      <c r="G81">
        <v>507.05</v>
      </c>
      <c r="H81">
        <v>3486905</v>
      </c>
      <c r="I81">
        <v>66103</v>
      </c>
      <c r="J81">
        <v>844000000000</v>
      </c>
      <c r="K81">
        <v>1747768451</v>
      </c>
      <c r="L81">
        <f>(Table1[[#This Row],[CLOSE_PRICE]] - Table1[[#This Row],[PREV_CL_PR]]) / Table1[[#This Row],[PREV_CL_PR]] * 100</f>
        <v>-4.8022877428261559</v>
      </c>
      <c r="M81">
        <f>Table1[[#This Row],[HIGH_PRICE]]-Table1[[#This Row],[LOW_PRICE]]</f>
        <v>26.800000000000011</v>
      </c>
      <c r="N81" t="str">
        <f>IF(Table1[[#This Row],[CLOSE_PRICE]]&gt;Table1[[#This Row],[OPEN_PRICE]],"Gain","Loss")</f>
        <v>Loss</v>
      </c>
      <c r="O81" t="str">
        <f>IF(Table1[[#This Row],[MARKET_CAP]]&gt;200000000000,"Large Cap",
IF(Table1[[#This Row],[MARKET_CAP]]&gt;50000000000,"Mid Cap","Small Cap"))</f>
        <v>Large Cap</v>
      </c>
      <c r="P81" t="str">
        <f>IF(Table1[[#This Row],[NET_TRDQTY]]&gt;1000000,"High Volume","Low Volume")</f>
        <v>High Volume</v>
      </c>
    </row>
    <row r="82" spans="1:16" x14ac:dyDescent="0.3">
      <c r="A82" t="s">
        <v>171</v>
      </c>
      <c r="B82" t="s">
        <v>172</v>
      </c>
      <c r="C82">
        <v>766</v>
      </c>
      <c r="D82">
        <v>768.9</v>
      </c>
      <c r="E82">
        <v>737.05</v>
      </c>
      <c r="F82">
        <v>740</v>
      </c>
      <c r="G82">
        <v>776.75</v>
      </c>
      <c r="H82">
        <v>1315501</v>
      </c>
      <c r="I82">
        <v>44447</v>
      </c>
      <c r="J82">
        <v>4680000000000</v>
      </c>
      <c r="K82">
        <v>6324997701</v>
      </c>
      <c r="L82">
        <f>(Table1[[#This Row],[CLOSE_PRICE]] - Table1[[#This Row],[PREV_CL_PR]]) / Table1[[#This Row],[PREV_CL_PR]] * 100</f>
        <v>-4.73125201158674</v>
      </c>
      <c r="M82">
        <f>Table1[[#This Row],[HIGH_PRICE]]-Table1[[#This Row],[LOW_PRICE]]</f>
        <v>31.850000000000023</v>
      </c>
      <c r="N82" t="str">
        <f>IF(Table1[[#This Row],[CLOSE_PRICE]]&gt;Table1[[#This Row],[OPEN_PRICE]],"Gain","Loss")</f>
        <v>Loss</v>
      </c>
      <c r="O82" t="str">
        <f>IF(Table1[[#This Row],[MARKET_CAP]]&gt;200000000000,"Large Cap",
IF(Table1[[#This Row],[MARKET_CAP]]&gt;50000000000,"Mid Cap","Small Cap"))</f>
        <v>Large Cap</v>
      </c>
      <c r="P82" t="str">
        <f>IF(Table1[[#This Row],[NET_TRDQTY]]&gt;1000000,"High Volume","Low Volume")</f>
        <v>High Volume</v>
      </c>
    </row>
    <row r="83" spans="1:16" x14ac:dyDescent="0.3">
      <c r="A83" t="s">
        <v>173</v>
      </c>
      <c r="B83" t="s">
        <v>174</v>
      </c>
      <c r="C83">
        <v>789</v>
      </c>
      <c r="D83">
        <v>789</v>
      </c>
      <c r="E83">
        <v>724</v>
      </c>
      <c r="F83">
        <v>727.9</v>
      </c>
      <c r="G83">
        <v>796.9</v>
      </c>
      <c r="H83">
        <v>4129352</v>
      </c>
      <c r="I83">
        <v>90575</v>
      </c>
      <c r="J83">
        <v>727000000000</v>
      </c>
      <c r="K83">
        <v>998704513</v>
      </c>
      <c r="L83">
        <f>(Table1[[#This Row],[CLOSE_PRICE]] - Table1[[#This Row],[PREV_CL_PR]]) / Table1[[#This Row],[PREV_CL_PR]] * 100</f>
        <v>-8.6585518885682013</v>
      </c>
      <c r="M83">
        <f>Table1[[#This Row],[HIGH_PRICE]]-Table1[[#This Row],[LOW_PRICE]]</f>
        <v>65</v>
      </c>
      <c r="N83" t="str">
        <f>IF(Table1[[#This Row],[CLOSE_PRICE]]&gt;Table1[[#This Row],[OPEN_PRICE]],"Gain","Loss")</f>
        <v>Loss</v>
      </c>
      <c r="O83" t="str">
        <f>IF(Table1[[#This Row],[MARKET_CAP]]&gt;200000000000,"Large Cap",
IF(Table1[[#This Row],[MARKET_CAP]]&gt;50000000000,"Mid Cap","Small Cap"))</f>
        <v>Large Cap</v>
      </c>
      <c r="P83" t="str">
        <f>IF(Table1[[#This Row],[NET_TRDQTY]]&gt;1000000,"High Volume","Low Volume")</f>
        <v>High Volume</v>
      </c>
    </row>
    <row r="84" spans="1:16" x14ac:dyDescent="0.3">
      <c r="A84" t="s">
        <v>175</v>
      </c>
      <c r="B84" t="s">
        <v>176</v>
      </c>
      <c r="C84">
        <v>4236</v>
      </c>
      <c r="D84">
        <v>4236</v>
      </c>
      <c r="E84">
        <v>4071</v>
      </c>
      <c r="F84">
        <v>4105.6000000000004</v>
      </c>
      <c r="G84">
        <v>4298.8</v>
      </c>
      <c r="H84">
        <v>569410</v>
      </c>
      <c r="I84">
        <v>52147</v>
      </c>
      <c r="J84">
        <v>1220000000000</v>
      </c>
      <c r="K84">
        <v>296489245</v>
      </c>
      <c r="L84">
        <f>(Table1[[#This Row],[CLOSE_PRICE]] - Table1[[#This Row],[PREV_CL_PR]]) / Table1[[#This Row],[PREV_CL_PR]] * 100</f>
        <v>-4.4942774727830983</v>
      </c>
      <c r="M84">
        <f>Table1[[#This Row],[HIGH_PRICE]]-Table1[[#This Row],[LOW_PRICE]]</f>
        <v>165</v>
      </c>
      <c r="N84" t="str">
        <f>IF(Table1[[#This Row],[CLOSE_PRICE]]&gt;Table1[[#This Row],[OPEN_PRICE]],"Gain","Loss")</f>
        <v>Loss</v>
      </c>
      <c r="O84" t="str">
        <f>IF(Table1[[#This Row],[MARKET_CAP]]&gt;200000000000,"Large Cap",
IF(Table1[[#This Row],[MARKET_CAP]]&gt;50000000000,"Mid Cap","Small Cap"))</f>
        <v>Large Cap</v>
      </c>
      <c r="P84" t="str">
        <f>IF(Table1[[#This Row],[NET_TRDQTY]]&gt;1000000,"High Volume","Low Volume")</f>
        <v>Low Volume</v>
      </c>
    </row>
    <row r="85" spans="1:16" x14ac:dyDescent="0.3">
      <c r="A85" t="s">
        <v>177</v>
      </c>
      <c r="B85" t="s">
        <v>178</v>
      </c>
      <c r="C85">
        <v>2290</v>
      </c>
      <c r="D85">
        <v>2302.6999999999998</v>
      </c>
      <c r="E85">
        <v>2185.1999999999998</v>
      </c>
      <c r="F85">
        <v>2206.6999999999998</v>
      </c>
      <c r="G85">
        <v>2324.1</v>
      </c>
      <c r="H85">
        <v>1695946</v>
      </c>
      <c r="I85">
        <v>88807</v>
      </c>
      <c r="J85">
        <v>890000000000</v>
      </c>
      <c r="K85">
        <v>403380000</v>
      </c>
      <c r="L85">
        <f>(Table1[[#This Row],[CLOSE_PRICE]] - Table1[[#This Row],[PREV_CL_PR]]) / Table1[[#This Row],[PREV_CL_PR]] * 100</f>
        <v>-5.0514177531087343</v>
      </c>
      <c r="M85">
        <f>Table1[[#This Row],[HIGH_PRICE]]-Table1[[#This Row],[LOW_PRICE]]</f>
        <v>117.5</v>
      </c>
      <c r="N85" t="str">
        <f>IF(Table1[[#This Row],[CLOSE_PRICE]]&gt;Table1[[#This Row],[OPEN_PRICE]],"Gain","Loss")</f>
        <v>Loss</v>
      </c>
      <c r="O85" t="str">
        <f>IF(Table1[[#This Row],[MARKET_CAP]]&gt;200000000000,"Large Cap",
IF(Table1[[#This Row],[MARKET_CAP]]&gt;50000000000,"Mid Cap","Small Cap"))</f>
        <v>Large Cap</v>
      </c>
      <c r="P85" t="str">
        <f>IF(Table1[[#This Row],[NET_TRDQTY]]&gt;1000000,"High Volume","Low Volume")</f>
        <v>High Volume</v>
      </c>
    </row>
    <row r="86" spans="1:16" x14ac:dyDescent="0.3">
      <c r="A86" t="s">
        <v>179</v>
      </c>
      <c r="B86" t="s">
        <v>180</v>
      </c>
      <c r="C86">
        <v>111</v>
      </c>
      <c r="D86">
        <v>111.03</v>
      </c>
      <c r="E86">
        <v>106.25</v>
      </c>
      <c r="F86">
        <v>106.59</v>
      </c>
      <c r="G86">
        <v>111.59</v>
      </c>
      <c r="H86">
        <v>21402616</v>
      </c>
      <c r="I86">
        <v>121809</v>
      </c>
      <c r="J86">
        <v>1130000000000</v>
      </c>
      <c r="K86">
        <v>10554442601</v>
      </c>
      <c r="L86">
        <f>(Table1[[#This Row],[CLOSE_PRICE]] - Table1[[#This Row],[PREV_CL_PR]]) / Table1[[#This Row],[PREV_CL_PR]] * 100</f>
        <v>-4.4806882337126979</v>
      </c>
      <c r="M86">
        <f>Table1[[#This Row],[HIGH_PRICE]]-Table1[[#This Row],[LOW_PRICE]]</f>
        <v>4.7800000000000011</v>
      </c>
      <c r="N86" t="str">
        <f>IF(Table1[[#This Row],[CLOSE_PRICE]]&gt;Table1[[#This Row],[OPEN_PRICE]],"Gain","Loss")</f>
        <v>Loss</v>
      </c>
      <c r="O86" t="str">
        <f>IF(Table1[[#This Row],[MARKET_CAP]]&gt;200000000000,"Large Cap",
IF(Table1[[#This Row],[MARKET_CAP]]&gt;50000000000,"Mid Cap","Small Cap"))</f>
        <v>Large Cap</v>
      </c>
      <c r="P86" t="str">
        <f>IF(Table1[[#This Row],[NET_TRDQTY]]&gt;1000000,"High Volume","Low Volume")</f>
        <v>High Volume</v>
      </c>
    </row>
    <row r="87" spans="1:16" x14ac:dyDescent="0.3">
      <c r="A87" t="s">
        <v>181</v>
      </c>
      <c r="B87" t="s">
        <v>182</v>
      </c>
      <c r="C87">
        <v>970</v>
      </c>
      <c r="D87">
        <v>979.8</v>
      </c>
      <c r="E87">
        <v>954.3</v>
      </c>
      <c r="F87">
        <v>974.7</v>
      </c>
      <c r="G87">
        <v>978.2</v>
      </c>
      <c r="H87">
        <v>1489512</v>
      </c>
      <c r="I87">
        <v>40485</v>
      </c>
      <c r="J87">
        <v>632000000000</v>
      </c>
      <c r="K87">
        <v>648420600</v>
      </c>
      <c r="L87">
        <f>(Table1[[#This Row],[CLOSE_PRICE]] - Table1[[#This Row],[PREV_CL_PR]]) / Table1[[#This Row],[PREV_CL_PR]] * 100</f>
        <v>-0.35780004089143319</v>
      </c>
      <c r="M87">
        <f>Table1[[#This Row],[HIGH_PRICE]]-Table1[[#This Row],[LOW_PRICE]]</f>
        <v>25.5</v>
      </c>
      <c r="N87" t="str">
        <f>IF(Table1[[#This Row],[CLOSE_PRICE]]&gt;Table1[[#This Row],[OPEN_PRICE]],"Gain","Loss")</f>
        <v>Gain</v>
      </c>
      <c r="O87" t="str">
        <f>IF(Table1[[#This Row],[MARKET_CAP]]&gt;200000000000,"Large Cap",
IF(Table1[[#This Row],[MARKET_CAP]]&gt;50000000000,"Mid Cap","Small Cap"))</f>
        <v>Large Cap</v>
      </c>
      <c r="P87" t="str">
        <f>IF(Table1[[#This Row],[NET_TRDQTY]]&gt;1000000,"High Volume","Low Volume")</f>
        <v>High Volume</v>
      </c>
    </row>
    <row r="88" spans="1:16" x14ac:dyDescent="0.3">
      <c r="A88" t="s">
        <v>183</v>
      </c>
      <c r="B88" t="s">
        <v>184</v>
      </c>
      <c r="C88">
        <v>402.95</v>
      </c>
      <c r="D88">
        <v>402.95</v>
      </c>
      <c r="E88">
        <v>386.4</v>
      </c>
      <c r="F88">
        <v>398</v>
      </c>
      <c r="G88">
        <v>412.85</v>
      </c>
      <c r="H88">
        <v>10830695</v>
      </c>
      <c r="I88">
        <v>85213</v>
      </c>
      <c r="J88">
        <v>1310000000000</v>
      </c>
      <c r="K88">
        <v>3300101760</v>
      </c>
      <c r="L88">
        <f>(Table1[[#This Row],[CLOSE_PRICE]] - Table1[[#This Row],[PREV_CL_PR]]) / Table1[[#This Row],[PREV_CL_PR]] * 100</f>
        <v>-3.5969480440838129</v>
      </c>
      <c r="M88">
        <f>Table1[[#This Row],[HIGH_PRICE]]-Table1[[#This Row],[LOW_PRICE]]</f>
        <v>16.550000000000011</v>
      </c>
      <c r="N88" t="str">
        <f>IF(Table1[[#This Row],[CLOSE_PRICE]]&gt;Table1[[#This Row],[OPEN_PRICE]],"Gain","Loss")</f>
        <v>Loss</v>
      </c>
      <c r="O88" t="str">
        <f>IF(Table1[[#This Row],[MARKET_CAP]]&gt;200000000000,"Large Cap",
IF(Table1[[#This Row],[MARKET_CAP]]&gt;50000000000,"Mid Cap","Small Cap"))</f>
        <v>Large Cap</v>
      </c>
      <c r="P88" t="str">
        <f>IF(Table1[[#This Row],[NET_TRDQTY]]&gt;1000000,"High Volume","Low Volume")</f>
        <v>High Volume</v>
      </c>
    </row>
    <row r="89" spans="1:16" x14ac:dyDescent="0.3">
      <c r="A89" t="s">
        <v>185</v>
      </c>
      <c r="B89" t="s">
        <v>186</v>
      </c>
      <c r="C89">
        <v>1333</v>
      </c>
      <c r="D89">
        <v>1333</v>
      </c>
      <c r="E89">
        <v>1293.3</v>
      </c>
      <c r="F89">
        <v>1314.9</v>
      </c>
      <c r="G89">
        <v>1341.3</v>
      </c>
      <c r="H89">
        <v>800316</v>
      </c>
      <c r="I89">
        <v>54721</v>
      </c>
      <c r="J89">
        <v>1340000000000</v>
      </c>
      <c r="K89">
        <v>1017714032</v>
      </c>
      <c r="L89">
        <f>(Table1[[#This Row],[CLOSE_PRICE]] - Table1[[#This Row],[PREV_CL_PR]]) / Table1[[#This Row],[PREV_CL_PR]] * 100</f>
        <v>-1.9682397673898355</v>
      </c>
      <c r="M89">
        <f>Table1[[#This Row],[HIGH_PRICE]]-Table1[[#This Row],[LOW_PRICE]]</f>
        <v>39.700000000000045</v>
      </c>
      <c r="N89" t="str">
        <f>IF(Table1[[#This Row],[CLOSE_PRICE]]&gt;Table1[[#This Row],[OPEN_PRICE]],"Gain","Loss")</f>
        <v>Loss</v>
      </c>
      <c r="O89" t="str">
        <f>IF(Table1[[#This Row],[MARKET_CAP]]&gt;200000000000,"Large Cap",
IF(Table1[[#This Row],[MARKET_CAP]]&gt;50000000000,"Mid Cap","Small Cap"))</f>
        <v>Large Cap</v>
      </c>
      <c r="P89" t="str">
        <f>IF(Table1[[#This Row],[NET_TRDQTY]]&gt;1000000,"High Volume","Low Volume")</f>
        <v>Low Volume</v>
      </c>
    </row>
    <row r="90" spans="1:16" x14ac:dyDescent="0.3">
      <c r="A90" t="s">
        <v>187</v>
      </c>
      <c r="B90" t="s">
        <v>188</v>
      </c>
      <c r="C90">
        <v>110.6</v>
      </c>
      <c r="D90">
        <v>110.7</v>
      </c>
      <c r="E90">
        <v>105.2</v>
      </c>
      <c r="F90">
        <v>105.55</v>
      </c>
      <c r="G90">
        <v>111.53</v>
      </c>
      <c r="H90">
        <v>24198613</v>
      </c>
      <c r="I90">
        <v>83525</v>
      </c>
      <c r="J90">
        <v>1210000000000</v>
      </c>
      <c r="K90">
        <v>11492943268</v>
      </c>
      <c r="L90">
        <f>(Table1[[#This Row],[CLOSE_PRICE]] - Table1[[#This Row],[PREV_CL_PR]]) / Table1[[#This Row],[PREV_CL_PR]] * 100</f>
        <v>-5.3617860665291888</v>
      </c>
      <c r="M90">
        <f>Table1[[#This Row],[HIGH_PRICE]]-Table1[[#This Row],[LOW_PRICE]]</f>
        <v>5.5</v>
      </c>
      <c r="N90" t="str">
        <f>IF(Table1[[#This Row],[CLOSE_PRICE]]&gt;Table1[[#This Row],[OPEN_PRICE]],"Gain","Loss")</f>
        <v>Loss</v>
      </c>
      <c r="O90" t="str">
        <f>IF(Table1[[#This Row],[MARKET_CAP]]&gt;200000000000,"Large Cap",
IF(Table1[[#This Row],[MARKET_CAP]]&gt;50000000000,"Mid Cap","Small Cap"))</f>
        <v>Large Cap</v>
      </c>
      <c r="P90" t="str">
        <f>IF(Table1[[#This Row],[NET_TRDQTY]]&gt;1000000,"High Volume","Low Volume")</f>
        <v>High Volume</v>
      </c>
    </row>
    <row r="91" spans="1:16" x14ac:dyDescent="0.3">
      <c r="A91" t="s">
        <v>189</v>
      </c>
      <c r="B91" t="s">
        <v>190</v>
      </c>
      <c r="C91">
        <v>327.45</v>
      </c>
      <c r="D91">
        <v>327.45</v>
      </c>
      <c r="E91">
        <v>310.55</v>
      </c>
      <c r="F91">
        <v>316.45</v>
      </c>
      <c r="G91">
        <v>330.5</v>
      </c>
      <c r="H91">
        <v>11748371</v>
      </c>
      <c r="I91">
        <v>99449</v>
      </c>
      <c r="J91">
        <v>833000000000</v>
      </c>
      <c r="K91">
        <v>2633224000</v>
      </c>
      <c r="L91">
        <f>(Table1[[#This Row],[CLOSE_PRICE]] - Table1[[#This Row],[PREV_CL_PR]]) / Table1[[#This Row],[PREV_CL_PR]] * 100</f>
        <v>-4.2511346444780669</v>
      </c>
      <c r="M91">
        <f>Table1[[#This Row],[HIGH_PRICE]]-Table1[[#This Row],[LOW_PRICE]]</f>
        <v>16.899999999999977</v>
      </c>
      <c r="N91" t="str">
        <f>IF(Table1[[#This Row],[CLOSE_PRICE]]&gt;Table1[[#This Row],[OPEN_PRICE]],"Gain","Loss")</f>
        <v>Loss</v>
      </c>
      <c r="O91" t="str">
        <f>IF(Table1[[#This Row],[MARKET_CAP]]&gt;200000000000,"Large Cap",
IF(Table1[[#This Row],[MARKET_CAP]]&gt;50000000000,"Mid Cap","Small Cap"))</f>
        <v>Large Cap</v>
      </c>
      <c r="P91" t="str">
        <f>IF(Table1[[#This Row],[NET_TRDQTY]]&gt;1000000,"High Volume","Low Volume")</f>
        <v>High Volume</v>
      </c>
    </row>
    <row r="92" spans="1:16" x14ac:dyDescent="0.3">
      <c r="A92" t="s">
        <v>191</v>
      </c>
      <c r="B92" t="s">
        <v>192</v>
      </c>
      <c r="C92">
        <v>23495</v>
      </c>
      <c r="D92">
        <v>23495</v>
      </c>
      <c r="E92">
        <v>22550</v>
      </c>
      <c r="F92">
        <v>22725</v>
      </c>
      <c r="G92">
        <v>23535</v>
      </c>
      <c r="H92">
        <v>36958</v>
      </c>
      <c r="I92">
        <v>12182</v>
      </c>
      <c r="J92">
        <v>820000000000</v>
      </c>
      <c r="K92">
        <v>36080748</v>
      </c>
      <c r="L92">
        <f>(Table1[[#This Row],[CLOSE_PRICE]] - Table1[[#This Row],[PREV_CL_PR]]) / Table1[[#This Row],[PREV_CL_PR]] * 100</f>
        <v>-3.4416826003824093</v>
      </c>
      <c r="M92">
        <f>Table1[[#This Row],[HIGH_PRICE]]-Table1[[#This Row],[LOW_PRICE]]</f>
        <v>945</v>
      </c>
      <c r="N92" t="str">
        <f>IF(Table1[[#This Row],[CLOSE_PRICE]]&gt;Table1[[#This Row],[OPEN_PRICE]],"Gain","Loss")</f>
        <v>Loss</v>
      </c>
      <c r="O92" t="str">
        <f>IF(Table1[[#This Row],[MARKET_CAP]]&gt;200000000000,"Large Cap",
IF(Table1[[#This Row],[MARKET_CAP]]&gt;50000000000,"Mid Cap","Small Cap"))</f>
        <v>Large Cap</v>
      </c>
      <c r="P92" t="str">
        <f>IF(Table1[[#This Row],[NET_TRDQTY]]&gt;1000000,"High Volume","Low Volume")</f>
        <v>Low Volume</v>
      </c>
    </row>
    <row r="93" spans="1:16" x14ac:dyDescent="0.3">
      <c r="A93" t="s">
        <v>193</v>
      </c>
      <c r="B93" t="s">
        <v>194</v>
      </c>
      <c r="C93">
        <v>3110</v>
      </c>
      <c r="D93">
        <v>3110</v>
      </c>
      <c r="E93">
        <v>2937</v>
      </c>
      <c r="F93">
        <v>2988.3</v>
      </c>
      <c r="G93">
        <v>3129.6</v>
      </c>
      <c r="H93">
        <v>524215</v>
      </c>
      <c r="I93">
        <v>40955</v>
      </c>
      <c r="J93">
        <v>1060000000000</v>
      </c>
      <c r="K93">
        <v>356120505</v>
      </c>
      <c r="L93">
        <f>(Table1[[#This Row],[CLOSE_PRICE]] - Table1[[#This Row],[PREV_CL_PR]]) / Table1[[#This Row],[PREV_CL_PR]] * 100</f>
        <v>-4.5149539877300526</v>
      </c>
      <c r="M93">
        <f>Table1[[#This Row],[HIGH_PRICE]]-Table1[[#This Row],[LOW_PRICE]]</f>
        <v>173</v>
      </c>
      <c r="N93" t="str">
        <f>IF(Table1[[#This Row],[CLOSE_PRICE]]&gt;Table1[[#This Row],[OPEN_PRICE]],"Gain","Loss")</f>
        <v>Loss</v>
      </c>
      <c r="O93" t="str">
        <f>IF(Table1[[#This Row],[MARKET_CAP]]&gt;200000000000,"Large Cap",
IF(Table1[[#This Row],[MARKET_CAP]]&gt;50000000000,"Mid Cap","Small Cap"))</f>
        <v>Large Cap</v>
      </c>
      <c r="P93" t="str">
        <f>IF(Table1[[#This Row],[NET_TRDQTY]]&gt;1000000,"High Volume","Low Volume")</f>
        <v>Low Volume</v>
      </c>
    </row>
    <row r="94" spans="1:16" x14ac:dyDescent="0.3">
      <c r="A94" t="s">
        <v>195</v>
      </c>
      <c r="B94" t="s">
        <v>196</v>
      </c>
      <c r="C94">
        <v>12887</v>
      </c>
      <c r="D94">
        <v>12887</v>
      </c>
      <c r="E94">
        <v>12282</v>
      </c>
      <c r="F94">
        <v>12430</v>
      </c>
      <c r="G94">
        <v>12934</v>
      </c>
      <c r="H94">
        <v>164689</v>
      </c>
      <c r="I94">
        <v>42769</v>
      </c>
      <c r="J94">
        <v>1120000000000</v>
      </c>
      <c r="K94">
        <v>90490055</v>
      </c>
      <c r="L94">
        <f>(Table1[[#This Row],[CLOSE_PRICE]] - Table1[[#This Row],[PREV_CL_PR]]) / Table1[[#This Row],[PREV_CL_PR]] * 100</f>
        <v>-3.8967063553425079</v>
      </c>
      <c r="M94">
        <f>Table1[[#This Row],[HIGH_PRICE]]-Table1[[#This Row],[LOW_PRICE]]</f>
        <v>605</v>
      </c>
      <c r="N94" t="str">
        <f>IF(Table1[[#This Row],[CLOSE_PRICE]]&gt;Table1[[#This Row],[OPEN_PRICE]],"Gain","Loss")</f>
        <v>Loss</v>
      </c>
      <c r="O94" t="str">
        <f>IF(Table1[[#This Row],[MARKET_CAP]]&gt;200000000000,"Large Cap",
IF(Table1[[#This Row],[MARKET_CAP]]&gt;50000000000,"Mid Cap","Small Cap"))</f>
        <v>Large Cap</v>
      </c>
      <c r="P94" t="str">
        <f>IF(Table1[[#This Row],[NET_TRDQTY]]&gt;1000000,"High Volume","Low Volume")</f>
        <v>Low Volume</v>
      </c>
    </row>
    <row r="95" spans="1:16" x14ac:dyDescent="0.3">
      <c r="A95" t="s">
        <v>197</v>
      </c>
      <c r="B95" t="s">
        <v>198</v>
      </c>
      <c r="C95">
        <v>402.7</v>
      </c>
      <c r="D95">
        <v>403.3</v>
      </c>
      <c r="E95">
        <v>373</v>
      </c>
      <c r="F95">
        <v>386.95</v>
      </c>
      <c r="G95">
        <v>402.4</v>
      </c>
      <c r="H95">
        <v>15173788</v>
      </c>
      <c r="I95">
        <v>161102</v>
      </c>
      <c r="J95">
        <v>1240000000000</v>
      </c>
      <c r="K95">
        <v>3195339547</v>
      </c>
      <c r="L95">
        <f>(Table1[[#This Row],[CLOSE_PRICE]] - Table1[[#This Row],[PREV_CL_PR]]) / Table1[[#This Row],[PREV_CL_PR]] * 100</f>
        <v>-3.8394632206759418</v>
      </c>
      <c r="M95">
        <f>Table1[[#This Row],[HIGH_PRICE]]-Table1[[#This Row],[LOW_PRICE]]</f>
        <v>30.300000000000011</v>
      </c>
      <c r="N95" t="str">
        <f>IF(Table1[[#This Row],[CLOSE_PRICE]]&gt;Table1[[#This Row],[OPEN_PRICE]],"Gain","Loss")</f>
        <v>Loss</v>
      </c>
      <c r="O95" t="str">
        <f>IF(Table1[[#This Row],[MARKET_CAP]]&gt;200000000000,"Large Cap",
IF(Table1[[#This Row],[MARKET_CAP]]&gt;50000000000,"Mid Cap","Small Cap"))</f>
        <v>Large Cap</v>
      </c>
      <c r="P95" t="str">
        <f>IF(Table1[[#This Row],[NET_TRDQTY]]&gt;1000000,"High Volume","Low Volume")</f>
        <v>High Volume</v>
      </c>
    </row>
    <row r="96" spans="1:16" x14ac:dyDescent="0.3">
      <c r="A96" t="s">
        <v>199</v>
      </c>
      <c r="B96" t="s">
        <v>200</v>
      </c>
      <c r="C96">
        <v>4270.3</v>
      </c>
      <c r="D96">
        <v>4270.3</v>
      </c>
      <c r="E96">
        <v>4164.6000000000004</v>
      </c>
      <c r="F96">
        <v>4213.8999999999996</v>
      </c>
      <c r="G96">
        <v>4270.2</v>
      </c>
      <c r="H96">
        <v>320186</v>
      </c>
      <c r="I96">
        <v>36140</v>
      </c>
      <c r="J96">
        <v>1430000000000</v>
      </c>
      <c r="K96">
        <v>338445440</v>
      </c>
      <c r="L96">
        <f>(Table1[[#This Row],[CLOSE_PRICE]] - Table1[[#This Row],[PREV_CL_PR]]) / Table1[[#This Row],[PREV_CL_PR]] * 100</f>
        <v>-1.3184394173575051</v>
      </c>
      <c r="M96">
        <f>Table1[[#This Row],[HIGH_PRICE]]-Table1[[#This Row],[LOW_PRICE]]</f>
        <v>105.69999999999982</v>
      </c>
      <c r="N96" t="str">
        <f>IF(Table1[[#This Row],[CLOSE_PRICE]]&gt;Table1[[#This Row],[OPEN_PRICE]],"Gain","Loss")</f>
        <v>Loss</v>
      </c>
      <c r="O96" t="str">
        <f>IF(Table1[[#This Row],[MARKET_CAP]]&gt;200000000000,"Large Cap",
IF(Table1[[#This Row],[MARKET_CAP]]&gt;50000000000,"Mid Cap","Small Cap"))</f>
        <v>Large Cap</v>
      </c>
      <c r="P96" t="str">
        <f>IF(Table1[[#This Row],[NET_TRDQTY]]&gt;1000000,"High Volume","Low Volume")</f>
        <v>Low Volume</v>
      </c>
    </row>
    <row r="97" spans="1:16" x14ac:dyDescent="0.3">
      <c r="A97" t="s">
        <v>201</v>
      </c>
      <c r="B97" t="s">
        <v>202</v>
      </c>
      <c r="C97">
        <v>3440</v>
      </c>
      <c r="D97">
        <v>3440</v>
      </c>
      <c r="E97">
        <v>3382</v>
      </c>
      <c r="F97">
        <v>3412.5</v>
      </c>
      <c r="G97">
        <v>3462.2</v>
      </c>
      <c r="H97">
        <v>748254</v>
      </c>
      <c r="I97">
        <v>60697</v>
      </c>
      <c r="J97">
        <v>1620000000000</v>
      </c>
      <c r="K97">
        <v>475087114</v>
      </c>
      <c r="L97">
        <f>(Table1[[#This Row],[CLOSE_PRICE]] - Table1[[#This Row],[PREV_CL_PR]]) / Table1[[#This Row],[PREV_CL_PR]] * 100</f>
        <v>-1.4355034371209006</v>
      </c>
      <c r="M97">
        <f>Table1[[#This Row],[HIGH_PRICE]]-Table1[[#This Row],[LOW_PRICE]]</f>
        <v>58</v>
      </c>
      <c r="N97" t="str">
        <f>IF(Table1[[#This Row],[CLOSE_PRICE]]&gt;Table1[[#This Row],[OPEN_PRICE]],"Gain","Loss")</f>
        <v>Loss</v>
      </c>
      <c r="O97" t="str">
        <f>IF(Table1[[#This Row],[MARKET_CAP]]&gt;200000000000,"Large Cap",
IF(Table1[[#This Row],[MARKET_CAP]]&gt;50000000000,"Mid Cap","Small Cap"))</f>
        <v>Large Cap</v>
      </c>
      <c r="P97" t="str">
        <f>IF(Table1[[#This Row],[NET_TRDQTY]]&gt;1000000,"High Volume","Low Volume")</f>
        <v>Low Volume</v>
      </c>
    </row>
    <row r="98" spans="1:16" x14ac:dyDescent="0.3">
      <c r="A98" t="s">
        <v>203</v>
      </c>
      <c r="B98" t="s">
        <v>204</v>
      </c>
      <c r="C98">
        <v>1288.9000000000001</v>
      </c>
      <c r="D98">
        <v>1288.9000000000001</v>
      </c>
      <c r="E98">
        <v>1266.4000000000001</v>
      </c>
      <c r="F98">
        <v>1275.2</v>
      </c>
      <c r="G98">
        <v>1300.0999999999999</v>
      </c>
      <c r="H98">
        <v>1141612</v>
      </c>
      <c r="I98">
        <v>40465</v>
      </c>
      <c r="J98">
        <v>928000000000</v>
      </c>
      <c r="K98">
        <v>727350853</v>
      </c>
      <c r="L98">
        <f>(Table1[[#This Row],[CLOSE_PRICE]] - Table1[[#This Row],[PREV_CL_PR]]) / Table1[[#This Row],[PREV_CL_PR]] * 100</f>
        <v>-1.9152372894392633</v>
      </c>
      <c r="M98">
        <f>Table1[[#This Row],[HIGH_PRICE]]-Table1[[#This Row],[LOW_PRICE]]</f>
        <v>22.5</v>
      </c>
      <c r="N98" t="str">
        <f>IF(Table1[[#This Row],[CLOSE_PRICE]]&gt;Table1[[#This Row],[OPEN_PRICE]],"Gain","Loss")</f>
        <v>Loss</v>
      </c>
      <c r="O98" t="str">
        <f>IF(Table1[[#This Row],[MARKET_CAP]]&gt;200000000000,"Large Cap",
IF(Table1[[#This Row],[MARKET_CAP]]&gt;50000000000,"Mid Cap","Small Cap"))</f>
        <v>Large Cap</v>
      </c>
      <c r="P98" t="str">
        <f>IF(Table1[[#This Row],[NET_TRDQTY]]&gt;1000000,"High Volume","Low Volume")</f>
        <v>High Volume</v>
      </c>
    </row>
    <row r="99" spans="1:16" x14ac:dyDescent="0.3">
      <c r="A99" t="s">
        <v>205</v>
      </c>
      <c r="B99" t="s">
        <v>206</v>
      </c>
      <c r="C99">
        <v>398</v>
      </c>
      <c r="D99">
        <v>398.7</v>
      </c>
      <c r="E99">
        <v>381</v>
      </c>
      <c r="F99">
        <v>382.2</v>
      </c>
      <c r="G99">
        <v>401.45</v>
      </c>
      <c r="H99">
        <v>10454299</v>
      </c>
      <c r="I99">
        <v>196474</v>
      </c>
      <c r="J99">
        <v>1290000000000</v>
      </c>
      <c r="K99">
        <v>3381988769</v>
      </c>
      <c r="L99">
        <f>(Table1[[#This Row],[CLOSE_PRICE]] - Table1[[#This Row],[PREV_CL_PR]]) / Table1[[#This Row],[PREV_CL_PR]] * 100</f>
        <v>-4.7951176983435051</v>
      </c>
      <c r="M99">
        <f>Table1[[#This Row],[HIGH_PRICE]]-Table1[[#This Row],[LOW_PRICE]]</f>
        <v>17.699999999999989</v>
      </c>
      <c r="N99" t="str">
        <f>IF(Table1[[#This Row],[CLOSE_PRICE]]&gt;Table1[[#This Row],[OPEN_PRICE]],"Gain","Loss")</f>
        <v>Loss</v>
      </c>
      <c r="O99" t="str">
        <f>IF(Table1[[#This Row],[MARKET_CAP]]&gt;200000000000,"Large Cap",
IF(Table1[[#This Row],[MARKET_CAP]]&gt;50000000000,"Mid Cap","Small Cap"))</f>
        <v>Large Cap</v>
      </c>
      <c r="P99" t="str">
        <f>IF(Table1[[#This Row],[NET_TRDQTY]]&gt;1000000,"High Volume","Low Volume")</f>
        <v>High Volume</v>
      </c>
    </row>
    <row r="100" spans="1:16" x14ac:dyDescent="0.3">
      <c r="A100" t="s">
        <v>207</v>
      </c>
      <c r="B100" t="s">
        <v>208</v>
      </c>
      <c r="C100">
        <v>660</v>
      </c>
      <c r="D100">
        <v>660.9</v>
      </c>
      <c r="E100">
        <v>634.25</v>
      </c>
      <c r="F100">
        <v>645.75</v>
      </c>
      <c r="G100">
        <v>672.2</v>
      </c>
      <c r="H100">
        <v>21999651</v>
      </c>
      <c r="I100">
        <v>279691</v>
      </c>
      <c r="J100">
        <v>2530000000000</v>
      </c>
      <c r="K100">
        <v>3910388057</v>
      </c>
      <c r="L100">
        <f>(Table1[[#This Row],[CLOSE_PRICE]] - Table1[[#This Row],[PREV_CL_PR]]) / Table1[[#This Row],[PREV_CL_PR]] * 100</f>
        <v>-3.9348408211841783</v>
      </c>
      <c r="M100">
        <f>Table1[[#This Row],[HIGH_PRICE]]-Table1[[#This Row],[LOW_PRICE]]</f>
        <v>26.649999999999977</v>
      </c>
      <c r="N100" t="str">
        <f>IF(Table1[[#This Row],[CLOSE_PRICE]]&gt;Table1[[#This Row],[OPEN_PRICE]],"Gain","Loss")</f>
        <v>Loss</v>
      </c>
      <c r="O100" t="str">
        <f>IF(Table1[[#This Row],[MARKET_CAP]]&gt;200000000000,"Large Cap",
IF(Table1[[#This Row],[MARKET_CAP]]&gt;50000000000,"Mid Cap","Small Cap"))</f>
        <v>Large Cap</v>
      </c>
      <c r="P100" t="str">
        <f>IF(Table1[[#This Row],[NET_TRDQTY]]&gt;1000000,"High Volume","Low Volume")</f>
        <v>High Volume</v>
      </c>
    </row>
    <row r="101" spans="1:16" x14ac:dyDescent="0.3">
      <c r="A101" t="s">
        <v>209</v>
      </c>
      <c r="B101" t="s">
        <v>210</v>
      </c>
      <c r="C101">
        <v>890.45</v>
      </c>
      <c r="D101">
        <v>899</v>
      </c>
      <c r="E101">
        <v>858</v>
      </c>
      <c r="F101">
        <v>860.6</v>
      </c>
      <c r="G101">
        <v>890.5</v>
      </c>
      <c r="H101">
        <v>662395</v>
      </c>
      <c r="I101">
        <v>32942</v>
      </c>
      <c r="J101">
        <v>866000000000</v>
      </c>
      <c r="K101">
        <v>1006233990</v>
      </c>
      <c r="L101">
        <f>(Table1[[#This Row],[CLOSE_PRICE]] - Table1[[#This Row],[PREV_CL_PR]]) / Table1[[#This Row],[PREV_CL_PR]] * 100</f>
        <v>-3.3576642335766396</v>
      </c>
      <c r="M101">
        <f>Table1[[#This Row],[HIGH_PRICE]]-Table1[[#This Row],[LOW_PRICE]]</f>
        <v>41</v>
      </c>
      <c r="N101" t="str">
        <f>IF(Table1[[#This Row],[CLOSE_PRICE]]&gt;Table1[[#This Row],[OPEN_PRICE]],"Gain","Loss")</f>
        <v>Loss</v>
      </c>
      <c r="O101" t="str">
        <f>IF(Table1[[#This Row],[MARKET_CAP]]&gt;200000000000,"Large Cap",
IF(Table1[[#This Row],[MARKET_CAP]]&gt;50000000000,"Mid Cap","Small Cap"))</f>
        <v>Large Cap</v>
      </c>
      <c r="P101" t="str">
        <f>IF(Table1[[#This Row],[NET_TRDQTY]]&gt;1000000,"High Volume","Low Volume")</f>
        <v>Low Volume</v>
      </c>
    </row>
    <row r="102" spans="1:16" x14ac:dyDescent="0.3">
      <c r="A102" t="s">
        <v>211</v>
      </c>
      <c r="B102" t="s">
        <v>212</v>
      </c>
      <c r="C102">
        <v>148.9</v>
      </c>
      <c r="D102">
        <v>150.47</v>
      </c>
      <c r="E102">
        <v>140.65</v>
      </c>
      <c r="F102">
        <v>143.04</v>
      </c>
      <c r="G102">
        <v>151.02000000000001</v>
      </c>
      <c r="H102">
        <v>166178</v>
      </c>
      <c r="I102">
        <v>3708</v>
      </c>
      <c r="J102">
        <v>5047381246</v>
      </c>
      <c r="K102">
        <v>35286502</v>
      </c>
      <c r="L102">
        <f>(Table1[[#This Row],[CLOSE_PRICE]] - Table1[[#This Row],[PREV_CL_PR]]) / Table1[[#This Row],[PREV_CL_PR]] * 100</f>
        <v>-5.2840683353198363</v>
      </c>
      <c r="M102">
        <f>Table1[[#This Row],[HIGH_PRICE]]-Table1[[#This Row],[LOW_PRICE]]</f>
        <v>9.8199999999999932</v>
      </c>
      <c r="N102" t="str">
        <f>IF(Table1[[#This Row],[CLOSE_PRICE]]&gt;Table1[[#This Row],[OPEN_PRICE]],"Gain","Loss")</f>
        <v>Loss</v>
      </c>
      <c r="O102" t="str">
        <f>IF(Table1[[#This Row],[MARKET_CAP]]&gt;200000000000,"Large Cap",
IF(Table1[[#This Row],[MARKET_CAP]]&gt;50000000000,"Mid Cap","Small Cap"))</f>
        <v>Small Cap</v>
      </c>
      <c r="P102" t="str">
        <f>IF(Table1[[#This Row],[NET_TRDQTY]]&gt;1000000,"High Volume","Low Volume")</f>
        <v>Low Volume</v>
      </c>
    </row>
    <row r="103" spans="1:16" x14ac:dyDescent="0.3">
      <c r="A103" t="s">
        <v>213</v>
      </c>
      <c r="B103" t="s">
        <v>214</v>
      </c>
      <c r="C103">
        <v>32.39</v>
      </c>
      <c r="D103">
        <v>32.39</v>
      </c>
      <c r="E103">
        <v>31.27</v>
      </c>
      <c r="F103">
        <v>31.27</v>
      </c>
      <c r="G103">
        <v>31.9</v>
      </c>
      <c r="H103">
        <v>10080</v>
      </c>
      <c r="I103">
        <v>82</v>
      </c>
      <c r="J103">
        <v>328335000</v>
      </c>
      <c r="K103">
        <v>10500000</v>
      </c>
      <c r="L103">
        <f>(Table1[[#This Row],[CLOSE_PRICE]] - Table1[[#This Row],[PREV_CL_PR]]) / Table1[[#This Row],[PREV_CL_PR]] * 100</f>
        <v>-1.9749216300940409</v>
      </c>
      <c r="M103">
        <f>Table1[[#This Row],[HIGH_PRICE]]-Table1[[#This Row],[LOW_PRICE]]</f>
        <v>1.120000000000001</v>
      </c>
      <c r="N103" t="str">
        <f>IF(Table1[[#This Row],[CLOSE_PRICE]]&gt;Table1[[#This Row],[OPEN_PRICE]],"Gain","Loss")</f>
        <v>Loss</v>
      </c>
      <c r="O103" t="str">
        <f>IF(Table1[[#This Row],[MARKET_CAP]]&gt;200000000000,"Large Cap",
IF(Table1[[#This Row],[MARKET_CAP]]&gt;50000000000,"Mid Cap","Small Cap"))</f>
        <v>Small Cap</v>
      </c>
      <c r="P103" t="str">
        <f>IF(Table1[[#This Row],[NET_TRDQTY]]&gt;1000000,"High Volume","Low Volume")</f>
        <v>Low Volume</v>
      </c>
    </row>
    <row r="104" spans="1:16" x14ac:dyDescent="0.3">
      <c r="A104" t="s">
        <v>215</v>
      </c>
      <c r="B104" t="s">
        <v>216</v>
      </c>
      <c r="C104">
        <v>1040.5999999999999</v>
      </c>
      <c r="D104">
        <v>1040.5999999999999</v>
      </c>
      <c r="E104">
        <v>973.9</v>
      </c>
      <c r="F104">
        <v>985.4</v>
      </c>
      <c r="G104">
        <v>1040.5999999999999</v>
      </c>
      <c r="H104">
        <v>550431</v>
      </c>
      <c r="I104">
        <v>30173</v>
      </c>
      <c r="J104">
        <v>399000000000</v>
      </c>
      <c r="K104">
        <v>405057728</v>
      </c>
      <c r="L104">
        <f>(Table1[[#This Row],[CLOSE_PRICE]] - Table1[[#This Row],[PREV_CL_PR]]) / Table1[[#This Row],[PREV_CL_PR]] * 100</f>
        <v>-5.3046319431097384</v>
      </c>
      <c r="M104">
        <f>Table1[[#This Row],[HIGH_PRICE]]-Table1[[#This Row],[LOW_PRICE]]</f>
        <v>66.699999999999932</v>
      </c>
      <c r="N104" t="str">
        <f>IF(Table1[[#This Row],[CLOSE_PRICE]]&gt;Table1[[#This Row],[OPEN_PRICE]],"Gain","Loss")</f>
        <v>Loss</v>
      </c>
      <c r="O104" t="str">
        <f>IF(Table1[[#This Row],[MARKET_CAP]]&gt;200000000000,"Large Cap",
IF(Table1[[#This Row],[MARKET_CAP]]&gt;50000000000,"Mid Cap","Small Cap"))</f>
        <v>Large Cap</v>
      </c>
      <c r="P104" t="str">
        <f>IF(Table1[[#This Row],[NET_TRDQTY]]&gt;1000000,"High Volume","Low Volume")</f>
        <v>Low Volume</v>
      </c>
    </row>
    <row r="105" spans="1:16" x14ac:dyDescent="0.3">
      <c r="A105" t="s">
        <v>217</v>
      </c>
      <c r="B105" t="s">
        <v>218</v>
      </c>
      <c r="C105">
        <v>14.15</v>
      </c>
      <c r="D105">
        <v>14.15</v>
      </c>
      <c r="E105">
        <v>13.06</v>
      </c>
      <c r="F105">
        <v>13.49</v>
      </c>
      <c r="G105">
        <v>13.82</v>
      </c>
      <c r="H105">
        <v>1428782</v>
      </c>
      <c r="I105">
        <v>2139</v>
      </c>
      <c r="J105">
        <v>2797775642</v>
      </c>
      <c r="K105">
        <v>207396267</v>
      </c>
      <c r="L105">
        <f>(Table1[[#This Row],[CLOSE_PRICE]] - Table1[[#This Row],[PREV_CL_PR]]) / Table1[[#This Row],[PREV_CL_PR]] * 100</f>
        <v>-2.3878437047756877</v>
      </c>
      <c r="M105">
        <f>Table1[[#This Row],[HIGH_PRICE]]-Table1[[#This Row],[LOW_PRICE]]</f>
        <v>1.0899999999999999</v>
      </c>
      <c r="N105" t="str">
        <f>IF(Table1[[#This Row],[CLOSE_PRICE]]&gt;Table1[[#This Row],[OPEN_PRICE]],"Gain","Loss")</f>
        <v>Loss</v>
      </c>
      <c r="O105" t="str">
        <f>IF(Table1[[#This Row],[MARKET_CAP]]&gt;200000000000,"Large Cap",
IF(Table1[[#This Row],[MARKET_CAP]]&gt;50000000000,"Mid Cap","Small Cap"))</f>
        <v>Small Cap</v>
      </c>
      <c r="P105" t="str">
        <f>IF(Table1[[#This Row],[NET_TRDQTY]]&gt;1000000,"High Volume","Low Volume")</f>
        <v>High Volume</v>
      </c>
    </row>
    <row r="106" spans="1:16" x14ac:dyDescent="0.3">
      <c r="A106" t="s">
        <v>219</v>
      </c>
      <c r="B106" t="s">
        <v>220</v>
      </c>
      <c r="C106">
        <v>31960</v>
      </c>
      <c r="D106">
        <v>32035</v>
      </c>
      <c r="E106">
        <v>31000</v>
      </c>
      <c r="F106">
        <v>31100</v>
      </c>
      <c r="G106">
        <v>32270</v>
      </c>
      <c r="H106">
        <v>4038</v>
      </c>
      <c r="I106">
        <v>2492</v>
      </c>
      <c r="J106">
        <v>350000000000</v>
      </c>
      <c r="K106">
        <v>11265070</v>
      </c>
      <c r="L106">
        <f>(Table1[[#This Row],[CLOSE_PRICE]] - Table1[[#This Row],[PREV_CL_PR]]) / Table1[[#This Row],[PREV_CL_PR]] * 100</f>
        <v>-3.6256585063526496</v>
      </c>
      <c r="M106">
        <f>Table1[[#This Row],[HIGH_PRICE]]-Table1[[#This Row],[LOW_PRICE]]</f>
        <v>1035</v>
      </c>
      <c r="N106" t="str">
        <f>IF(Table1[[#This Row],[CLOSE_PRICE]]&gt;Table1[[#This Row],[OPEN_PRICE]],"Gain","Loss")</f>
        <v>Loss</v>
      </c>
      <c r="O106" t="str">
        <f>IF(Table1[[#This Row],[MARKET_CAP]]&gt;200000000000,"Large Cap",
IF(Table1[[#This Row],[MARKET_CAP]]&gt;50000000000,"Mid Cap","Small Cap"))</f>
        <v>Large Cap</v>
      </c>
      <c r="P106" t="str">
        <f>IF(Table1[[#This Row],[NET_TRDQTY]]&gt;1000000,"High Volume","Low Volume")</f>
        <v>Low Volume</v>
      </c>
    </row>
    <row r="107" spans="1:16" x14ac:dyDescent="0.3">
      <c r="A107" t="s">
        <v>221</v>
      </c>
      <c r="B107" t="s">
        <v>222</v>
      </c>
      <c r="C107">
        <v>32</v>
      </c>
      <c r="D107">
        <v>32.590000000000003</v>
      </c>
      <c r="E107">
        <v>30.75</v>
      </c>
      <c r="F107">
        <v>31.57</v>
      </c>
      <c r="G107">
        <v>32.36</v>
      </c>
      <c r="H107">
        <v>1485</v>
      </c>
      <c r="I107">
        <v>42</v>
      </c>
      <c r="J107">
        <v>568260000</v>
      </c>
      <c r="K107">
        <v>18000000</v>
      </c>
      <c r="L107">
        <f>(Table1[[#This Row],[CLOSE_PRICE]] - Table1[[#This Row],[PREV_CL_PR]]) / Table1[[#This Row],[PREV_CL_PR]] * 100</f>
        <v>-2.4412855377008627</v>
      </c>
      <c r="M107">
        <f>Table1[[#This Row],[HIGH_PRICE]]-Table1[[#This Row],[LOW_PRICE]]</f>
        <v>1.8400000000000034</v>
      </c>
      <c r="N107" t="str">
        <f>IF(Table1[[#This Row],[CLOSE_PRICE]]&gt;Table1[[#This Row],[OPEN_PRICE]],"Gain","Loss")</f>
        <v>Loss</v>
      </c>
      <c r="O107" t="str">
        <f>IF(Table1[[#This Row],[MARKET_CAP]]&gt;200000000000,"Large Cap",
IF(Table1[[#This Row],[MARKET_CAP]]&gt;50000000000,"Mid Cap","Small Cap"))</f>
        <v>Small Cap</v>
      </c>
      <c r="P107" t="str">
        <f>IF(Table1[[#This Row],[NET_TRDQTY]]&gt;1000000,"High Volume","Low Volume")</f>
        <v>Low Volume</v>
      </c>
    </row>
    <row r="108" spans="1:16" x14ac:dyDescent="0.3">
      <c r="A108" t="s">
        <v>223</v>
      </c>
      <c r="B108" t="s">
        <v>224</v>
      </c>
      <c r="C108">
        <v>286.2</v>
      </c>
      <c r="D108">
        <v>290.75</v>
      </c>
      <c r="E108">
        <v>278.14999999999998</v>
      </c>
      <c r="F108">
        <v>279.2</v>
      </c>
      <c r="G108">
        <v>291.60000000000002</v>
      </c>
      <c r="H108">
        <v>70668</v>
      </c>
      <c r="I108">
        <v>1961</v>
      </c>
      <c r="J108">
        <v>13084291154</v>
      </c>
      <c r="K108">
        <v>46863507</v>
      </c>
      <c r="L108">
        <f>(Table1[[#This Row],[CLOSE_PRICE]] - Table1[[#This Row],[PREV_CL_PR]]) / Table1[[#This Row],[PREV_CL_PR]] * 100</f>
        <v>-4.2524005486968566</v>
      </c>
      <c r="M108">
        <f>Table1[[#This Row],[HIGH_PRICE]]-Table1[[#This Row],[LOW_PRICE]]</f>
        <v>12.600000000000023</v>
      </c>
      <c r="N108" t="str">
        <f>IF(Table1[[#This Row],[CLOSE_PRICE]]&gt;Table1[[#This Row],[OPEN_PRICE]],"Gain","Loss")</f>
        <v>Loss</v>
      </c>
      <c r="O108" t="str">
        <f>IF(Table1[[#This Row],[MARKET_CAP]]&gt;200000000000,"Large Cap",
IF(Table1[[#This Row],[MARKET_CAP]]&gt;50000000000,"Mid Cap","Small Cap"))</f>
        <v>Small Cap</v>
      </c>
      <c r="P108" t="str">
        <f>IF(Table1[[#This Row],[NET_TRDQTY]]&gt;1000000,"High Volume","Low Volume")</f>
        <v>Low Volume</v>
      </c>
    </row>
    <row r="109" spans="1:16" x14ac:dyDescent="0.3">
      <c r="A109" t="s">
        <v>225</v>
      </c>
      <c r="B109" t="s">
        <v>226</v>
      </c>
      <c r="C109">
        <v>520.79999999999995</v>
      </c>
      <c r="D109">
        <v>520.79999999999995</v>
      </c>
      <c r="E109">
        <v>481</v>
      </c>
      <c r="F109">
        <v>484.3</v>
      </c>
      <c r="G109">
        <v>531.45000000000005</v>
      </c>
      <c r="H109">
        <v>486270</v>
      </c>
      <c r="I109">
        <v>12389</v>
      </c>
      <c r="J109">
        <v>22315835469</v>
      </c>
      <c r="K109">
        <v>46078537</v>
      </c>
      <c r="L109">
        <f>(Table1[[#This Row],[CLOSE_PRICE]] - Table1[[#This Row],[PREV_CL_PR]]) / Table1[[#This Row],[PREV_CL_PR]] * 100</f>
        <v>-8.8719540878728065</v>
      </c>
      <c r="M109">
        <f>Table1[[#This Row],[HIGH_PRICE]]-Table1[[#This Row],[LOW_PRICE]]</f>
        <v>39.799999999999955</v>
      </c>
      <c r="N109" t="str">
        <f>IF(Table1[[#This Row],[CLOSE_PRICE]]&gt;Table1[[#This Row],[OPEN_PRICE]],"Gain","Loss")</f>
        <v>Loss</v>
      </c>
      <c r="O109" t="str">
        <f>IF(Table1[[#This Row],[MARKET_CAP]]&gt;200000000000,"Large Cap",
IF(Table1[[#This Row],[MARKET_CAP]]&gt;50000000000,"Mid Cap","Small Cap"))</f>
        <v>Small Cap</v>
      </c>
      <c r="P109" t="str">
        <f>IF(Table1[[#This Row],[NET_TRDQTY]]&gt;1000000,"High Volume","Low Volume")</f>
        <v>Low Volume</v>
      </c>
    </row>
    <row r="110" spans="1:16" x14ac:dyDescent="0.3">
      <c r="A110" t="s">
        <v>227</v>
      </c>
      <c r="B110" t="s">
        <v>228</v>
      </c>
      <c r="C110">
        <v>93</v>
      </c>
      <c r="D110">
        <v>93.95</v>
      </c>
      <c r="E110">
        <v>90</v>
      </c>
      <c r="F110">
        <v>90.11</v>
      </c>
      <c r="G110">
        <v>93</v>
      </c>
      <c r="H110">
        <v>20904</v>
      </c>
      <c r="I110">
        <v>509</v>
      </c>
      <c r="J110">
        <v>1155822948</v>
      </c>
      <c r="K110">
        <v>12826800</v>
      </c>
      <c r="L110">
        <f>(Table1[[#This Row],[CLOSE_PRICE]] - Table1[[#This Row],[PREV_CL_PR]]) / Table1[[#This Row],[PREV_CL_PR]] * 100</f>
        <v>-3.1075268817204309</v>
      </c>
      <c r="M110">
        <f>Table1[[#This Row],[HIGH_PRICE]]-Table1[[#This Row],[LOW_PRICE]]</f>
        <v>3.9500000000000028</v>
      </c>
      <c r="N110" t="str">
        <f>IF(Table1[[#This Row],[CLOSE_PRICE]]&gt;Table1[[#This Row],[OPEN_PRICE]],"Gain","Loss")</f>
        <v>Loss</v>
      </c>
      <c r="O110" t="str">
        <f>IF(Table1[[#This Row],[MARKET_CAP]]&gt;200000000000,"Large Cap",
IF(Table1[[#This Row],[MARKET_CAP]]&gt;50000000000,"Mid Cap","Small Cap"))</f>
        <v>Small Cap</v>
      </c>
      <c r="P110" t="str">
        <f>IF(Table1[[#This Row],[NET_TRDQTY]]&gt;1000000,"High Volume","Low Volume")</f>
        <v>Low Volume</v>
      </c>
    </row>
    <row r="111" spans="1:16" x14ac:dyDescent="0.3">
      <c r="A111" t="s">
        <v>229</v>
      </c>
      <c r="B111" t="s">
        <v>230</v>
      </c>
      <c r="C111">
        <v>447.65</v>
      </c>
      <c r="D111">
        <v>449.8</v>
      </c>
      <c r="E111">
        <v>435.5</v>
      </c>
      <c r="F111">
        <v>445.1</v>
      </c>
      <c r="G111">
        <v>449.85</v>
      </c>
      <c r="H111">
        <v>285732</v>
      </c>
      <c r="I111">
        <v>14180</v>
      </c>
      <c r="J111">
        <v>193000000000</v>
      </c>
      <c r="K111">
        <v>433796312</v>
      </c>
      <c r="L111">
        <f>(Table1[[#This Row],[CLOSE_PRICE]] - Table1[[#This Row],[PREV_CL_PR]]) / Table1[[#This Row],[PREV_CL_PR]] * 100</f>
        <v>-1.0559075247304657</v>
      </c>
      <c r="M111">
        <f>Table1[[#This Row],[HIGH_PRICE]]-Table1[[#This Row],[LOW_PRICE]]</f>
        <v>14.300000000000011</v>
      </c>
      <c r="N111" t="str">
        <f>IF(Table1[[#This Row],[CLOSE_PRICE]]&gt;Table1[[#This Row],[OPEN_PRICE]],"Gain","Loss")</f>
        <v>Loss</v>
      </c>
      <c r="O111" t="str">
        <f>IF(Table1[[#This Row],[MARKET_CAP]]&gt;200000000000,"Large Cap",
IF(Table1[[#This Row],[MARKET_CAP]]&gt;50000000000,"Mid Cap","Small Cap"))</f>
        <v>Mid Cap</v>
      </c>
      <c r="P111" t="str">
        <f>IF(Table1[[#This Row],[NET_TRDQTY]]&gt;1000000,"High Volume","Low Volume")</f>
        <v>Low Volume</v>
      </c>
    </row>
    <row r="112" spans="1:16" x14ac:dyDescent="0.3">
      <c r="A112" t="s">
        <v>231</v>
      </c>
      <c r="B112" t="s">
        <v>232</v>
      </c>
      <c r="C112">
        <v>66.25</v>
      </c>
      <c r="D112">
        <v>69.28</v>
      </c>
      <c r="E112">
        <v>62.36</v>
      </c>
      <c r="F112">
        <v>62.48</v>
      </c>
      <c r="G112">
        <v>69.28</v>
      </c>
      <c r="H112">
        <v>150534</v>
      </c>
      <c r="I112">
        <v>1465</v>
      </c>
      <c r="J112">
        <v>1771576851</v>
      </c>
      <c r="K112">
        <v>28354303</v>
      </c>
      <c r="L112">
        <f>(Table1[[#This Row],[CLOSE_PRICE]] - Table1[[#This Row],[PREV_CL_PR]]) / Table1[[#This Row],[PREV_CL_PR]] * 100</f>
        <v>-9.8152424942263341</v>
      </c>
      <c r="M112">
        <f>Table1[[#This Row],[HIGH_PRICE]]-Table1[[#This Row],[LOW_PRICE]]</f>
        <v>6.9200000000000017</v>
      </c>
      <c r="N112" t="str">
        <f>IF(Table1[[#This Row],[CLOSE_PRICE]]&gt;Table1[[#This Row],[OPEN_PRICE]],"Gain","Loss")</f>
        <v>Loss</v>
      </c>
      <c r="O112" t="str">
        <f>IF(Table1[[#This Row],[MARKET_CAP]]&gt;200000000000,"Large Cap",
IF(Table1[[#This Row],[MARKET_CAP]]&gt;50000000000,"Mid Cap","Small Cap"))</f>
        <v>Small Cap</v>
      </c>
      <c r="P112" t="str">
        <f>IF(Table1[[#This Row],[NET_TRDQTY]]&gt;1000000,"High Volume","Low Volume")</f>
        <v>Low Volume</v>
      </c>
    </row>
    <row r="113" spans="1:16" x14ac:dyDescent="0.3">
      <c r="A113" t="s">
        <v>233</v>
      </c>
      <c r="B113" t="s">
        <v>234</v>
      </c>
      <c r="C113">
        <v>25.77</v>
      </c>
      <c r="D113">
        <v>28.29</v>
      </c>
      <c r="E113">
        <v>24.5</v>
      </c>
      <c r="F113">
        <v>24.92</v>
      </c>
      <c r="G113">
        <v>25.77</v>
      </c>
      <c r="H113">
        <v>41243</v>
      </c>
      <c r="I113">
        <v>448</v>
      </c>
      <c r="J113">
        <v>1052586610</v>
      </c>
      <c r="K113">
        <v>42238628</v>
      </c>
      <c r="L113">
        <f>(Table1[[#This Row],[CLOSE_PRICE]] - Table1[[#This Row],[PREV_CL_PR]]) / Table1[[#This Row],[PREV_CL_PR]] * 100</f>
        <v>-3.2984090027163284</v>
      </c>
      <c r="M113">
        <f>Table1[[#This Row],[HIGH_PRICE]]-Table1[[#This Row],[LOW_PRICE]]</f>
        <v>3.7899999999999991</v>
      </c>
      <c r="N113" t="str">
        <f>IF(Table1[[#This Row],[CLOSE_PRICE]]&gt;Table1[[#This Row],[OPEN_PRICE]],"Gain","Loss")</f>
        <v>Loss</v>
      </c>
      <c r="O113" t="str">
        <f>IF(Table1[[#This Row],[MARKET_CAP]]&gt;200000000000,"Large Cap",
IF(Table1[[#This Row],[MARKET_CAP]]&gt;50000000000,"Mid Cap","Small Cap"))</f>
        <v>Small Cap</v>
      </c>
      <c r="P113" t="str">
        <f>IF(Table1[[#This Row],[NET_TRDQTY]]&gt;1000000,"High Volume","Low Volume")</f>
        <v>Low Volume</v>
      </c>
    </row>
    <row r="114" spans="1:16" x14ac:dyDescent="0.3">
      <c r="A114" t="s">
        <v>235</v>
      </c>
      <c r="B114" t="s">
        <v>236</v>
      </c>
      <c r="C114">
        <v>135</v>
      </c>
      <c r="D114">
        <v>137.74</v>
      </c>
      <c r="E114">
        <v>125.95</v>
      </c>
      <c r="F114">
        <v>135.94</v>
      </c>
      <c r="G114">
        <v>137.74</v>
      </c>
      <c r="H114">
        <v>30923</v>
      </c>
      <c r="I114">
        <v>1063</v>
      </c>
      <c r="J114">
        <v>2847464219</v>
      </c>
      <c r="K114">
        <v>20946478</v>
      </c>
      <c r="L114">
        <f>(Table1[[#This Row],[CLOSE_PRICE]] - Table1[[#This Row],[PREV_CL_PR]]) / Table1[[#This Row],[PREV_CL_PR]] * 100</f>
        <v>-1.3068099317554895</v>
      </c>
      <c r="M114">
        <f>Table1[[#This Row],[HIGH_PRICE]]-Table1[[#This Row],[LOW_PRICE]]</f>
        <v>11.790000000000006</v>
      </c>
      <c r="N114" t="str">
        <f>IF(Table1[[#This Row],[CLOSE_PRICE]]&gt;Table1[[#This Row],[OPEN_PRICE]],"Gain","Loss")</f>
        <v>Gain</v>
      </c>
      <c r="O114" t="str">
        <f>IF(Table1[[#This Row],[MARKET_CAP]]&gt;200000000000,"Large Cap",
IF(Table1[[#This Row],[MARKET_CAP]]&gt;50000000000,"Mid Cap","Small Cap"))</f>
        <v>Small Cap</v>
      </c>
      <c r="P114" t="str">
        <f>IF(Table1[[#This Row],[NET_TRDQTY]]&gt;1000000,"High Volume","Low Volume")</f>
        <v>Low Volume</v>
      </c>
    </row>
    <row r="115" spans="1:16" x14ac:dyDescent="0.3">
      <c r="A115" t="s">
        <v>237</v>
      </c>
      <c r="B115" t="s">
        <v>238</v>
      </c>
      <c r="C115">
        <v>47</v>
      </c>
      <c r="D115">
        <v>47</v>
      </c>
      <c r="E115">
        <v>43.6</v>
      </c>
      <c r="F115">
        <v>44.77</v>
      </c>
      <c r="G115">
        <v>46.63</v>
      </c>
      <c r="H115">
        <v>43910</v>
      </c>
      <c r="I115">
        <v>407</v>
      </c>
      <c r="J115">
        <v>1422359734</v>
      </c>
      <c r="K115">
        <v>31770376</v>
      </c>
      <c r="L115">
        <f>(Table1[[#This Row],[CLOSE_PRICE]] - Table1[[#This Row],[PREV_CL_PR]]) / Table1[[#This Row],[PREV_CL_PR]] * 100</f>
        <v>-3.9888483808706825</v>
      </c>
      <c r="M115">
        <f>Table1[[#This Row],[HIGH_PRICE]]-Table1[[#This Row],[LOW_PRICE]]</f>
        <v>3.3999999999999986</v>
      </c>
      <c r="N115" t="str">
        <f>IF(Table1[[#This Row],[CLOSE_PRICE]]&gt;Table1[[#This Row],[OPEN_PRICE]],"Gain","Loss")</f>
        <v>Loss</v>
      </c>
      <c r="O115" t="str">
        <f>IF(Table1[[#This Row],[MARKET_CAP]]&gt;200000000000,"Large Cap",
IF(Table1[[#This Row],[MARKET_CAP]]&gt;50000000000,"Mid Cap","Small Cap"))</f>
        <v>Small Cap</v>
      </c>
      <c r="P115" t="str">
        <f>IF(Table1[[#This Row],[NET_TRDQTY]]&gt;1000000,"High Volume","Low Volume")</f>
        <v>Low Volume</v>
      </c>
    </row>
    <row r="116" spans="1:16" x14ac:dyDescent="0.3">
      <c r="A116" t="s">
        <v>239</v>
      </c>
      <c r="B116" t="s">
        <v>240</v>
      </c>
      <c r="C116">
        <v>344.7</v>
      </c>
      <c r="D116">
        <v>344.7</v>
      </c>
      <c r="E116">
        <v>325.60000000000002</v>
      </c>
      <c r="F116">
        <v>327.60000000000002</v>
      </c>
      <c r="G116">
        <v>343.15</v>
      </c>
      <c r="H116">
        <v>148425</v>
      </c>
      <c r="I116">
        <v>6431</v>
      </c>
      <c r="J116">
        <v>29900052000</v>
      </c>
      <c r="K116">
        <v>91270000</v>
      </c>
      <c r="L116">
        <f>(Table1[[#This Row],[CLOSE_PRICE]] - Table1[[#This Row],[PREV_CL_PR]]) / Table1[[#This Row],[PREV_CL_PR]] * 100</f>
        <v>-4.5315459711496304</v>
      </c>
      <c r="M116">
        <f>Table1[[#This Row],[HIGH_PRICE]]-Table1[[#This Row],[LOW_PRICE]]</f>
        <v>19.099999999999966</v>
      </c>
      <c r="N116" t="str">
        <f>IF(Table1[[#This Row],[CLOSE_PRICE]]&gt;Table1[[#This Row],[OPEN_PRICE]],"Gain","Loss")</f>
        <v>Loss</v>
      </c>
      <c r="O116" t="str">
        <f>IF(Table1[[#This Row],[MARKET_CAP]]&gt;200000000000,"Large Cap",
IF(Table1[[#This Row],[MARKET_CAP]]&gt;50000000000,"Mid Cap","Small Cap"))</f>
        <v>Small Cap</v>
      </c>
      <c r="P116" t="str">
        <f>IF(Table1[[#This Row],[NET_TRDQTY]]&gt;1000000,"High Volume","Low Volume")</f>
        <v>Low Volume</v>
      </c>
    </row>
    <row r="117" spans="1:16" x14ac:dyDescent="0.3">
      <c r="A117" t="s">
        <v>241</v>
      </c>
      <c r="B117" t="s">
        <v>242</v>
      </c>
      <c r="C117">
        <v>420.95</v>
      </c>
      <c r="D117">
        <v>422</v>
      </c>
      <c r="E117">
        <v>401.65</v>
      </c>
      <c r="F117">
        <v>405.15</v>
      </c>
      <c r="G117">
        <v>427.35</v>
      </c>
      <c r="H117">
        <v>641070</v>
      </c>
      <c r="I117">
        <v>25524</v>
      </c>
      <c r="J117">
        <v>147000000000</v>
      </c>
      <c r="K117">
        <v>362593869</v>
      </c>
      <c r="L117">
        <f>(Table1[[#This Row],[CLOSE_PRICE]] - Table1[[#This Row],[PREV_CL_PR]]) / Table1[[#This Row],[PREV_CL_PR]] * 100</f>
        <v>-5.1948051948052045</v>
      </c>
      <c r="M117">
        <f>Table1[[#This Row],[HIGH_PRICE]]-Table1[[#This Row],[LOW_PRICE]]</f>
        <v>20.350000000000023</v>
      </c>
      <c r="N117" t="str">
        <f>IF(Table1[[#This Row],[CLOSE_PRICE]]&gt;Table1[[#This Row],[OPEN_PRICE]],"Gain","Loss")</f>
        <v>Loss</v>
      </c>
      <c r="O117" t="str">
        <f>IF(Table1[[#This Row],[MARKET_CAP]]&gt;200000000000,"Large Cap",
IF(Table1[[#This Row],[MARKET_CAP]]&gt;50000000000,"Mid Cap","Small Cap"))</f>
        <v>Mid Cap</v>
      </c>
      <c r="P117" t="str">
        <f>IF(Table1[[#This Row],[NET_TRDQTY]]&gt;1000000,"High Volume","Low Volume")</f>
        <v>Low Volume</v>
      </c>
    </row>
    <row r="118" spans="1:16" x14ac:dyDescent="0.3">
      <c r="A118" t="s">
        <v>243</v>
      </c>
      <c r="B118" t="s">
        <v>244</v>
      </c>
      <c r="C118">
        <v>640.95000000000005</v>
      </c>
      <c r="D118">
        <v>641</v>
      </c>
      <c r="E118">
        <v>614</v>
      </c>
      <c r="F118">
        <v>617.6</v>
      </c>
      <c r="G118">
        <v>644.6</v>
      </c>
      <c r="H118">
        <v>272148</v>
      </c>
      <c r="I118">
        <v>19829</v>
      </c>
      <c r="J118">
        <v>55983768774</v>
      </c>
      <c r="K118">
        <v>90647294</v>
      </c>
      <c r="L118">
        <f>(Table1[[#This Row],[CLOSE_PRICE]] - Table1[[#This Row],[PREV_CL_PR]]) / Table1[[#This Row],[PREV_CL_PR]] * 100</f>
        <v>-4.1886441203847342</v>
      </c>
      <c r="M118">
        <f>Table1[[#This Row],[HIGH_PRICE]]-Table1[[#This Row],[LOW_PRICE]]</f>
        <v>27</v>
      </c>
      <c r="N118" t="str">
        <f>IF(Table1[[#This Row],[CLOSE_PRICE]]&gt;Table1[[#This Row],[OPEN_PRICE]],"Gain","Loss")</f>
        <v>Loss</v>
      </c>
      <c r="O118" t="str">
        <f>IF(Table1[[#This Row],[MARKET_CAP]]&gt;200000000000,"Large Cap",
IF(Table1[[#This Row],[MARKET_CAP]]&gt;50000000000,"Mid Cap","Small Cap"))</f>
        <v>Mid Cap</v>
      </c>
      <c r="P118" t="str">
        <f>IF(Table1[[#This Row],[NET_TRDQTY]]&gt;1000000,"High Volume","Low Volume")</f>
        <v>Low Volume</v>
      </c>
    </row>
    <row r="119" spans="1:16" x14ac:dyDescent="0.3">
      <c r="A119" t="s">
        <v>245</v>
      </c>
      <c r="B119" t="s">
        <v>246</v>
      </c>
      <c r="C119">
        <v>341.1</v>
      </c>
      <c r="D119">
        <v>349.65</v>
      </c>
      <c r="E119">
        <v>336</v>
      </c>
      <c r="F119">
        <v>337.9</v>
      </c>
      <c r="G119">
        <v>352.85</v>
      </c>
      <c r="H119">
        <v>11329</v>
      </c>
      <c r="I119">
        <v>933</v>
      </c>
      <c r="J119">
        <v>2858125461</v>
      </c>
      <c r="K119">
        <v>8458495</v>
      </c>
      <c r="L119">
        <f>(Table1[[#This Row],[CLOSE_PRICE]] - Table1[[#This Row],[PREV_CL_PR]]) / Table1[[#This Row],[PREV_CL_PR]] * 100</f>
        <v>-4.2369278730338795</v>
      </c>
      <c r="M119">
        <f>Table1[[#This Row],[HIGH_PRICE]]-Table1[[#This Row],[LOW_PRICE]]</f>
        <v>13.649999999999977</v>
      </c>
      <c r="N119" t="str">
        <f>IF(Table1[[#This Row],[CLOSE_PRICE]]&gt;Table1[[#This Row],[OPEN_PRICE]],"Gain","Loss")</f>
        <v>Loss</v>
      </c>
      <c r="O119" t="str">
        <f>IF(Table1[[#This Row],[MARKET_CAP]]&gt;200000000000,"Large Cap",
IF(Table1[[#This Row],[MARKET_CAP]]&gt;50000000000,"Mid Cap","Small Cap"))</f>
        <v>Small Cap</v>
      </c>
      <c r="P119" t="str">
        <f>IF(Table1[[#This Row],[NET_TRDQTY]]&gt;1000000,"High Volume","Low Volume")</f>
        <v>Low Volume</v>
      </c>
    </row>
    <row r="120" spans="1:16" x14ac:dyDescent="0.3">
      <c r="A120" t="s">
        <v>247</v>
      </c>
      <c r="B120" t="s">
        <v>248</v>
      </c>
      <c r="C120">
        <v>123</v>
      </c>
      <c r="D120">
        <v>128.38999999999999</v>
      </c>
      <c r="E120">
        <v>123</v>
      </c>
      <c r="F120">
        <v>125.36</v>
      </c>
      <c r="G120">
        <v>130.15</v>
      </c>
      <c r="H120">
        <v>15466</v>
      </c>
      <c r="I120">
        <v>733</v>
      </c>
      <c r="J120">
        <v>1856669352</v>
      </c>
      <c r="K120">
        <v>14810700</v>
      </c>
      <c r="L120">
        <f>(Table1[[#This Row],[CLOSE_PRICE]] - Table1[[#This Row],[PREV_CL_PR]]) / Table1[[#This Row],[PREV_CL_PR]] * 100</f>
        <v>-3.6803688052247452</v>
      </c>
      <c r="M120">
        <f>Table1[[#This Row],[HIGH_PRICE]]-Table1[[#This Row],[LOW_PRICE]]</f>
        <v>5.3899999999999864</v>
      </c>
      <c r="N120" t="str">
        <f>IF(Table1[[#This Row],[CLOSE_PRICE]]&gt;Table1[[#This Row],[OPEN_PRICE]],"Gain","Loss")</f>
        <v>Gain</v>
      </c>
      <c r="O120" t="str">
        <f>IF(Table1[[#This Row],[MARKET_CAP]]&gt;200000000000,"Large Cap",
IF(Table1[[#This Row],[MARKET_CAP]]&gt;50000000000,"Mid Cap","Small Cap"))</f>
        <v>Small Cap</v>
      </c>
      <c r="P120" t="str">
        <f>IF(Table1[[#This Row],[NET_TRDQTY]]&gt;1000000,"High Volume","Low Volume")</f>
        <v>Low Volume</v>
      </c>
    </row>
    <row r="121" spans="1:16" x14ac:dyDescent="0.3">
      <c r="A121" t="s">
        <v>249</v>
      </c>
      <c r="B121" t="s">
        <v>250</v>
      </c>
      <c r="C121">
        <v>1091</v>
      </c>
      <c r="D121">
        <v>1091.9000000000001</v>
      </c>
      <c r="E121">
        <v>1060.4000000000001</v>
      </c>
      <c r="F121">
        <v>1073.9000000000001</v>
      </c>
      <c r="G121">
        <v>1098.0999999999999</v>
      </c>
      <c r="H121">
        <v>262585</v>
      </c>
      <c r="I121">
        <v>21170</v>
      </c>
      <c r="J121">
        <v>85030876863</v>
      </c>
      <c r="K121">
        <v>79179511</v>
      </c>
      <c r="L121">
        <f>(Table1[[#This Row],[CLOSE_PRICE]] - Table1[[#This Row],[PREV_CL_PR]]) / Table1[[#This Row],[PREV_CL_PR]] * 100</f>
        <v>-2.2038065749931537</v>
      </c>
      <c r="M121">
        <f>Table1[[#This Row],[HIGH_PRICE]]-Table1[[#This Row],[LOW_PRICE]]</f>
        <v>31.5</v>
      </c>
      <c r="N121" t="str">
        <f>IF(Table1[[#This Row],[CLOSE_PRICE]]&gt;Table1[[#This Row],[OPEN_PRICE]],"Gain","Loss")</f>
        <v>Loss</v>
      </c>
      <c r="O121" t="str">
        <f>IF(Table1[[#This Row],[MARKET_CAP]]&gt;200000000000,"Large Cap",
IF(Table1[[#This Row],[MARKET_CAP]]&gt;50000000000,"Mid Cap","Small Cap"))</f>
        <v>Mid Cap</v>
      </c>
      <c r="P121" t="str">
        <f>IF(Table1[[#This Row],[NET_TRDQTY]]&gt;1000000,"High Volume","Low Volume")</f>
        <v>Low Volume</v>
      </c>
    </row>
    <row r="122" spans="1:16" x14ac:dyDescent="0.3">
      <c r="A122" t="s">
        <v>251</v>
      </c>
      <c r="B122" t="s">
        <v>252</v>
      </c>
      <c r="C122">
        <v>26570</v>
      </c>
      <c r="D122">
        <v>26570</v>
      </c>
      <c r="E122">
        <v>25420</v>
      </c>
      <c r="F122">
        <v>25485</v>
      </c>
      <c r="G122">
        <v>26715</v>
      </c>
      <c r="H122">
        <v>15029</v>
      </c>
      <c r="I122">
        <v>6608</v>
      </c>
      <c r="J122">
        <v>542000000000</v>
      </c>
      <c r="K122">
        <v>21249302</v>
      </c>
      <c r="L122">
        <f>(Table1[[#This Row],[CLOSE_PRICE]] - Table1[[#This Row],[PREV_CL_PR]]) / Table1[[#This Row],[PREV_CL_PR]] * 100</f>
        <v>-4.6041549691184729</v>
      </c>
      <c r="M122">
        <f>Table1[[#This Row],[HIGH_PRICE]]-Table1[[#This Row],[LOW_PRICE]]</f>
        <v>1150</v>
      </c>
      <c r="N122" t="str">
        <f>IF(Table1[[#This Row],[CLOSE_PRICE]]&gt;Table1[[#This Row],[OPEN_PRICE]],"Gain","Loss")</f>
        <v>Loss</v>
      </c>
      <c r="O122" t="str">
        <f>IF(Table1[[#This Row],[MARKET_CAP]]&gt;200000000000,"Large Cap",
IF(Table1[[#This Row],[MARKET_CAP]]&gt;50000000000,"Mid Cap","Small Cap"))</f>
        <v>Large Cap</v>
      </c>
      <c r="P122" t="str">
        <f>IF(Table1[[#This Row],[NET_TRDQTY]]&gt;1000000,"High Volume","Low Volume")</f>
        <v>Low Volume</v>
      </c>
    </row>
    <row r="123" spans="1:16" x14ac:dyDescent="0.3">
      <c r="A123" t="s">
        <v>253</v>
      </c>
      <c r="B123" t="s">
        <v>254</v>
      </c>
      <c r="C123">
        <v>307</v>
      </c>
      <c r="D123">
        <v>307</v>
      </c>
      <c r="E123">
        <v>292.25</v>
      </c>
      <c r="F123">
        <v>294.95</v>
      </c>
      <c r="G123">
        <v>311.25</v>
      </c>
      <c r="H123">
        <v>6021434</v>
      </c>
      <c r="I123">
        <v>81087</v>
      </c>
      <c r="J123">
        <v>772000000000</v>
      </c>
      <c r="K123">
        <v>2617145082</v>
      </c>
      <c r="L123">
        <f>(Table1[[#This Row],[CLOSE_PRICE]] - Table1[[#This Row],[PREV_CL_PR]]) / Table1[[#This Row],[PREV_CL_PR]] * 100</f>
        <v>-5.2369477911646625</v>
      </c>
      <c r="M123">
        <f>Table1[[#This Row],[HIGH_PRICE]]-Table1[[#This Row],[LOW_PRICE]]</f>
        <v>14.75</v>
      </c>
      <c r="N123" t="str">
        <f>IF(Table1[[#This Row],[CLOSE_PRICE]]&gt;Table1[[#This Row],[OPEN_PRICE]],"Gain","Loss")</f>
        <v>Loss</v>
      </c>
      <c r="O123" t="str">
        <f>IF(Table1[[#This Row],[MARKET_CAP]]&gt;200000000000,"Large Cap",
IF(Table1[[#This Row],[MARKET_CAP]]&gt;50000000000,"Mid Cap","Small Cap"))</f>
        <v>Large Cap</v>
      </c>
      <c r="P123" t="str">
        <f>IF(Table1[[#This Row],[NET_TRDQTY]]&gt;1000000,"High Volume","Low Volume")</f>
        <v>High Volume</v>
      </c>
    </row>
    <row r="124" spans="1:16" x14ac:dyDescent="0.3">
      <c r="A124" t="s">
        <v>255</v>
      </c>
      <c r="B124" t="s">
        <v>256</v>
      </c>
      <c r="C124">
        <v>393.6</v>
      </c>
      <c r="D124">
        <v>410</v>
      </c>
      <c r="E124">
        <v>393.2</v>
      </c>
      <c r="F124">
        <v>405.4</v>
      </c>
      <c r="G124">
        <v>403.35</v>
      </c>
      <c r="H124">
        <v>28147</v>
      </c>
      <c r="I124">
        <v>973</v>
      </c>
      <c r="J124">
        <v>8904051548</v>
      </c>
      <c r="K124">
        <v>21963620</v>
      </c>
      <c r="L124">
        <f>(Table1[[#This Row],[CLOSE_PRICE]] - Table1[[#This Row],[PREV_CL_PR]]) / Table1[[#This Row],[PREV_CL_PR]] * 100</f>
        <v>0.50824346101399642</v>
      </c>
      <c r="M124">
        <f>Table1[[#This Row],[HIGH_PRICE]]-Table1[[#This Row],[LOW_PRICE]]</f>
        <v>16.800000000000011</v>
      </c>
      <c r="N124" t="str">
        <f>IF(Table1[[#This Row],[CLOSE_PRICE]]&gt;Table1[[#This Row],[OPEN_PRICE]],"Gain","Loss")</f>
        <v>Gain</v>
      </c>
      <c r="O124" t="str">
        <f>IF(Table1[[#This Row],[MARKET_CAP]]&gt;200000000000,"Large Cap",
IF(Table1[[#This Row],[MARKET_CAP]]&gt;50000000000,"Mid Cap","Small Cap"))</f>
        <v>Small Cap</v>
      </c>
      <c r="P124" t="str">
        <f>IF(Table1[[#This Row],[NET_TRDQTY]]&gt;1000000,"High Volume","Low Volume")</f>
        <v>Low Volume</v>
      </c>
    </row>
    <row r="125" spans="1:16" x14ac:dyDescent="0.3">
      <c r="A125" t="s">
        <v>257</v>
      </c>
      <c r="B125" t="s">
        <v>258</v>
      </c>
      <c r="C125">
        <v>408.65</v>
      </c>
      <c r="D125">
        <v>408.9</v>
      </c>
      <c r="E125">
        <v>382.1</v>
      </c>
      <c r="F125">
        <v>384.15</v>
      </c>
      <c r="G125">
        <v>408.45</v>
      </c>
      <c r="H125">
        <v>509598</v>
      </c>
      <c r="I125">
        <v>17936</v>
      </c>
      <c r="J125">
        <v>107000000000</v>
      </c>
      <c r="K125">
        <v>279710151</v>
      </c>
      <c r="L125">
        <f>(Table1[[#This Row],[CLOSE_PRICE]] - Table1[[#This Row],[PREV_CL_PR]]) / Table1[[#This Row],[PREV_CL_PR]] * 100</f>
        <v>-5.9493206022769041</v>
      </c>
      <c r="M125">
        <f>Table1[[#This Row],[HIGH_PRICE]]-Table1[[#This Row],[LOW_PRICE]]</f>
        <v>26.799999999999955</v>
      </c>
      <c r="N125" t="str">
        <f>IF(Table1[[#This Row],[CLOSE_PRICE]]&gt;Table1[[#This Row],[OPEN_PRICE]],"Gain","Loss")</f>
        <v>Loss</v>
      </c>
      <c r="O125" t="str">
        <f>IF(Table1[[#This Row],[MARKET_CAP]]&gt;200000000000,"Large Cap",
IF(Table1[[#This Row],[MARKET_CAP]]&gt;50000000000,"Mid Cap","Small Cap"))</f>
        <v>Mid Cap</v>
      </c>
      <c r="P125" t="str">
        <f>IF(Table1[[#This Row],[NET_TRDQTY]]&gt;1000000,"High Volume","Low Volume")</f>
        <v>Low Volume</v>
      </c>
    </row>
    <row r="126" spans="1:16" x14ac:dyDescent="0.3">
      <c r="A126" t="s">
        <v>259</v>
      </c>
      <c r="B126" t="s">
        <v>260</v>
      </c>
      <c r="C126">
        <v>59.2</v>
      </c>
      <c r="D126">
        <v>59.3</v>
      </c>
      <c r="E126">
        <v>55.16</v>
      </c>
      <c r="F126">
        <v>56.94</v>
      </c>
      <c r="G126">
        <v>59.98</v>
      </c>
      <c r="H126">
        <v>8618261</v>
      </c>
      <c r="I126">
        <v>35385</v>
      </c>
      <c r="J126">
        <v>69494841527</v>
      </c>
      <c r="K126">
        <v>1220492475</v>
      </c>
      <c r="L126">
        <f>(Table1[[#This Row],[CLOSE_PRICE]] - Table1[[#This Row],[PREV_CL_PR]]) / Table1[[#This Row],[PREV_CL_PR]] * 100</f>
        <v>-5.0683561187062338</v>
      </c>
      <c r="M126">
        <f>Table1[[#This Row],[HIGH_PRICE]]-Table1[[#This Row],[LOW_PRICE]]</f>
        <v>4.1400000000000006</v>
      </c>
      <c r="N126" t="str">
        <f>IF(Table1[[#This Row],[CLOSE_PRICE]]&gt;Table1[[#This Row],[OPEN_PRICE]],"Gain","Loss")</f>
        <v>Loss</v>
      </c>
      <c r="O126" t="str">
        <f>IF(Table1[[#This Row],[MARKET_CAP]]&gt;200000000000,"Large Cap",
IF(Table1[[#This Row],[MARKET_CAP]]&gt;50000000000,"Mid Cap","Small Cap"))</f>
        <v>Mid Cap</v>
      </c>
      <c r="P126" t="str">
        <f>IF(Table1[[#This Row],[NET_TRDQTY]]&gt;1000000,"High Volume","Low Volume")</f>
        <v>High Volume</v>
      </c>
    </row>
    <row r="127" spans="1:16" x14ac:dyDescent="0.3">
      <c r="A127" t="s">
        <v>261</v>
      </c>
      <c r="B127" t="s">
        <v>262</v>
      </c>
      <c r="C127">
        <v>16.850000000000001</v>
      </c>
      <c r="D127">
        <v>17.100000000000001</v>
      </c>
      <c r="E127">
        <v>16.82</v>
      </c>
      <c r="F127">
        <v>16.920000000000002</v>
      </c>
      <c r="G127">
        <v>16.97</v>
      </c>
      <c r="H127">
        <v>5029361</v>
      </c>
      <c r="I127">
        <v>697</v>
      </c>
      <c r="J127">
        <v>10808315971</v>
      </c>
      <c r="K127">
        <v>638789360</v>
      </c>
      <c r="L127">
        <f>(Table1[[#This Row],[CLOSE_PRICE]] - Table1[[#This Row],[PREV_CL_PR]]) / Table1[[#This Row],[PREV_CL_PR]] * 100</f>
        <v>-0.29463759575720189</v>
      </c>
      <c r="M127">
        <f>Table1[[#This Row],[HIGH_PRICE]]-Table1[[#This Row],[LOW_PRICE]]</f>
        <v>0.28000000000000114</v>
      </c>
      <c r="N127" t="str">
        <f>IF(Table1[[#This Row],[CLOSE_PRICE]]&gt;Table1[[#This Row],[OPEN_PRICE]],"Gain","Loss")</f>
        <v>Gain</v>
      </c>
      <c r="O127" t="str">
        <f>IF(Table1[[#This Row],[MARKET_CAP]]&gt;200000000000,"Large Cap",
IF(Table1[[#This Row],[MARKET_CAP]]&gt;50000000000,"Mid Cap","Small Cap"))</f>
        <v>Small Cap</v>
      </c>
      <c r="P127" t="str">
        <f>IF(Table1[[#This Row],[NET_TRDQTY]]&gt;1000000,"High Volume","Low Volume")</f>
        <v>High Volume</v>
      </c>
    </row>
    <row r="128" spans="1:16" x14ac:dyDescent="0.3">
      <c r="A128" t="s">
        <v>263</v>
      </c>
      <c r="B128" t="s">
        <v>264</v>
      </c>
      <c r="C128">
        <v>92.6</v>
      </c>
      <c r="D128">
        <v>93.54</v>
      </c>
      <c r="E128">
        <v>90</v>
      </c>
      <c r="F128">
        <v>91.45</v>
      </c>
      <c r="G128">
        <v>93.23</v>
      </c>
      <c r="H128">
        <v>2498746</v>
      </c>
      <c r="I128">
        <v>16473</v>
      </c>
      <c r="J128">
        <v>112000000000</v>
      </c>
      <c r="K128">
        <v>1220504009</v>
      </c>
      <c r="L128">
        <f>(Table1[[#This Row],[CLOSE_PRICE]] - Table1[[#This Row],[PREV_CL_PR]]) / Table1[[#This Row],[PREV_CL_PR]] * 100</f>
        <v>-1.9092566770352901</v>
      </c>
      <c r="M128">
        <f>Table1[[#This Row],[HIGH_PRICE]]-Table1[[#This Row],[LOW_PRICE]]</f>
        <v>3.5400000000000063</v>
      </c>
      <c r="N128" t="str">
        <f>IF(Table1[[#This Row],[CLOSE_PRICE]]&gt;Table1[[#This Row],[OPEN_PRICE]],"Gain","Loss")</f>
        <v>Loss</v>
      </c>
      <c r="O128" t="str">
        <f>IF(Table1[[#This Row],[MARKET_CAP]]&gt;200000000000,"Large Cap",
IF(Table1[[#This Row],[MARKET_CAP]]&gt;50000000000,"Mid Cap","Small Cap"))</f>
        <v>Mid Cap</v>
      </c>
      <c r="P128" t="str">
        <f>IF(Table1[[#This Row],[NET_TRDQTY]]&gt;1000000,"High Volume","Low Volume")</f>
        <v>High Volume</v>
      </c>
    </row>
    <row r="129" spans="1:16" x14ac:dyDescent="0.3">
      <c r="A129" t="s">
        <v>265</v>
      </c>
      <c r="B129" t="s">
        <v>266</v>
      </c>
      <c r="C129">
        <v>1155</v>
      </c>
      <c r="D129">
        <v>1159.5</v>
      </c>
      <c r="E129">
        <v>1093.5</v>
      </c>
      <c r="F129">
        <v>1110.5999999999999</v>
      </c>
      <c r="G129">
        <v>1165.4000000000001</v>
      </c>
      <c r="H129">
        <v>177521</v>
      </c>
      <c r="I129">
        <v>16868</v>
      </c>
      <c r="J129">
        <v>124000000000</v>
      </c>
      <c r="K129">
        <v>111695680</v>
      </c>
      <c r="L129">
        <f>(Table1[[#This Row],[CLOSE_PRICE]] - Table1[[#This Row],[PREV_CL_PR]]) / Table1[[#This Row],[PREV_CL_PR]] * 100</f>
        <v>-4.7022481551398814</v>
      </c>
      <c r="M129">
        <f>Table1[[#This Row],[HIGH_PRICE]]-Table1[[#This Row],[LOW_PRICE]]</f>
        <v>66</v>
      </c>
      <c r="N129" t="str">
        <f>IF(Table1[[#This Row],[CLOSE_PRICE]]&gt;Table1[[#This Row],[OPEN_PRICE]],"Gain","Loss")</f>
        <v>Loss</v>
      </c>
      <c r="O129" t="str">
        <f>IF(Table1[[#This Row],[MARKET_CAP]]&gt;200000000000,"Large Cap",
IF(Table1[[#This Row],[MARKET_CAP]]&gt;50000000000,"Mid Cap","Small Cap"))</f>
        <v>Mid Cap</v>
      </c>
      <c r="P129" t="str">
        <f>IF(Table1[[#This Row],[NET_TRDQTY]]&gt;1000000,"High Volume","Low Volume")</f>
        <v>Low Volume</v>
      </c>
    </row>
    <row r="130" spans="1:16" x14ac:dyDescent="0.3">
      <c r="A130" t="s">
        <v>267</v>
      </c>
      <c r="B130" t="s">
        <v>268</v>
      </c>
      <c r="C130">
        <v>937.9</v>
      </c>
      <c r="D130">
        <v>939.9</v>
      </c>
      <c r="E130">
        <v>882.05</v>
      </c>
      <c r="F130">
        <v>889.25</v>
      </c>
      <c r="G130">
        <v>944.65</v>
      </c>
      <c r="H130">
        <v>313955</v>
      </c>
      <c r="I130">
        <v>22100</v>
      </c>
      <c r="J130">
        <v>257000000000</v>
      </c>
      <c r="K130">
        <v>288777425</v>
      </c>
      <c r="L130">
        <f>(Table1[[#This Row],[CLOSE_PRICE]] - Table1[[#This Row],[PREV_CL_PR]]) / Table1[[#This Row],[PREV_CL_PR]] * 100</f>
        <v>-5.8646059387074549</v>
      </c>
      <c r="M130">
        <f>Table1[[#This Row],[HIGH_PRICE]]-Table1[[#This Row],[LOW_PRICE]]</f>
        <v>57.850000000000023</v>
      </c>
      <c r="N130" t="str">
        <f>IF(Table1[[#This Row],[CLOSE_PRICE]]&gt;Table1[[#This Row],[OPEN_PRICE]],"Gain","Loss")</f>
        <v>Loss</v>
      </c>
      <c r="O130" t="str">
        <f>IF(Table1[[#This Row],[MARKET_CAP]]&gt;200000000000,"Large Cap",
IF(Table1[[#This Row],[MARKET_CAP]]&gt;50000000000,"Mid Cap","Small Cap"))</f>
        <v>Large Cap</v>
      </c>
      <c r="P130" t="str">
        <f>IF(Table1[[#This Row],[NET_TRDQTY]]&gt;1000000,"High Volume","Low Volume")</f>
        <v>Low Volume</v>
      </c>
    </row>
    <row r="131" spans="1:16" x14ac:dyDescent="0.3">
      <c r="A131" t="s">
        <v>269</v>
      </c>
      <c r="B131" t="s">
        <v>270</v>
      </c>
      <c r="C131">
        <v>1374.9</v>
      </c>
      <c r="D131">
        <v>1374.9</v>
      </c>
      <c r="E131">
        <v>1320</v>
      </c>
      <c r="F131">
        <v>1329.8</v>
      </c>
      <c r="G131">
        <v>1381.4</v>
      </c>
      <c r="H131">
        <v>413599</v>
      </c>
      <c r="I131">
        <v>29741</v>
      </c>
      <c r="J131">
        <v>250000000000</v>
      </c>
      <c r="K131">
        <v>187787263</v>
      </c>
      <c r="L131">
        <f>(Table1[[#This Row],[CLOSE_PRICE]] - Table1[[#This Row],[PREV_CL_PR]]) / Table1[[#This Row],[PREV_CL_PR]] * 100</f>
        <v>-3.7353409584479609</v>
      </c>
      <c r="M131">
        <f>Table1[[#This Row],[HIGH_PRICE]]-Table1[[#This Row],[LOW_PRICE]]</f>
        <v>54.900000000000091</v>
      </c>
      <c r="N131" t="str">
        <f>IF(Table1[[#This Row],[CLOSE_PRICE]]&gt;Table1[[#This Row],[OPEN_PRICE]],"Gain","Loss")</f>
        <v>Loss</v>
      </c>
      <c r="O131" t="str">
        <f>IF(Table1[[#This Row],[MARKET_CAP]]&gt;200000000000,"Large Cap",
IF(Table1[[#This Row],[MARKET_CAP]]&gt;50000000000,"Mid Cap","Small Cap"))</f>
        <v>Large Cap</v>
      </c>
      <c r="P131" t="str">
        <f>IF(Table1[[#This Row],[NET_TRDQTY]]&gt;1000000,"High Volume","Low Volume")</f>
        <v>Low Volume</v>
      </c>
    </row>
    <row r="132" spans="1:16" x14ac:dyDescent="0.3">
      <c r="A132" t="s">
        <v>271</v>
      </c>
      <c r="B132" t="s">
        <v>272</v>
      </c>
      <c r="C132">
        <v>1160.7</v>
      </c>
      <c r="D132">
        <v>1166.4000000000001</v>
      </c>
      <c r="E132">
        <v>1130</v>
      </c>
      <c r="F132">
        <v>1138.3</v>
      </c>
      <c r="G132">
        <v>1181.8</v>
      </c>
      <c r="H132">
        <v>18033</v>
      </c>
      <c r="I132">
        <v>2132</v>
      </c>
      <c r="J132">
        <v>16990562896</v>
      </c>
      <c r="K132">
        <v>14926261</v>
      </c>
      <c r="L132">
        <f>(Table1[[#This Row],[CLOSE_PRICE]] - Table1[[#This Row],[PREV_CL_PR]]) / Table1[[#This Row],[PREV_CL_PR]] * 100</f>
        <v>-3.6808258588593672</v>
      </c>
      <c r="M132">
        <f>Table1[[#This Row],[HIGH_PRICE]]-Table1[[#This Row],[LOW_PRICE]]</f>
        <v>36.400000000000091</v>
      </c>
      <c r="N132" t="str">
        <f>IF(Table1[[#This Row],[CLOSE_PRICE]]&gt;Table1[[#This Row],[OPEN_PRICE]],"Gain","Loss")</f>
        <v>Loss</v>
      </c>
      <c r="O132" t="str">
        <f>IF(Table1[[#This Row],[MARKET_CAP]]&gt;200000000000,"Large Cap",
IF(Table1[[#This Row],[MARKET_CAP]]&gt;50000000000,"Mid Cap","Small Cap"))</f>
        <v>Small Cap</v>
      </c>
      <c r="P132" t="str">
        <f>IF(Table1[[#This Row],[NET_TRDQTY]]&gt;1000000,"High Volume","Low Volume")</f>
        <v>Low Volume</v>
      </c>
    </row>
    <row r="133" spans="1:16" x14ac:dyDescent="0.3">
      <c r="A133" t="s">
        <v>273</v>
      </c>
      <c r="B133" t="s">
        <v>274</v>
      </c>
      <c r="C133">
        <v>3.99</v>
      </c>
      <c r="D133">
        <v>3.99</v>
      </c>
      <c r="E133">
        <v>3.85</v>
      </c>
      <c r="F133">
        <v>3.92</v>
      </c>
      <c r="G133">
        <v>3.99</v>
      </c>
      <c r="H133">
        <v>96213</v>
      </c>
      <c r="I133">
        <v>682</v>
      </c>
      <c r="J133">
        <v>590195200</v>
      </c>
      <c r="K133">
        <v>150560000</v>
      </c>
      <c r="L133">
        <f>(Table1[[#This Row],[CLOSE_PRICE]] - Table1[[#This Row],[PREV_CL_PR]]) / Table1[[#This Row],[PREV_CL_PR]] * 100</f>
        <v>-1.7543859649122879</v>
      </c>
      <c r="M133">
        <f>Table1[[#This Row],[HIGH_PRICE]]-Table1[[#This Row],[LOW_PRICE]]</f>
        <v>0.14000000000000012</v>
      </c>
      <c r="N133" t="str">
        <f>IF(Table1[[#This Row],[CLOSE_PRICE]]&gt;Table1[[#This Row],[OPEN_PRICE]],"Gain","Loss")</f>
        <v>Loss</v>
      </c>
      <c r="O133" t="str">
        <f>IF(Table1[[#This Row],[MARKET_CAP]]&gt;200000000000,"Large Cap",
IF(Table1[[#This Row],[MARKET_CAP]]&gt;50000000000,"Mid Cap","Small Cap"))</f>
        <v>Small Cap</v>
      </c>
      <c r="P133" t="str">
        <f>IF(Table1[[#This Row],[NET_TRDQTY]]&gt;1000000,"High Volume","Low Volume")</f>
        <v>Low Volume</v>
      </c>
    </row>
    <row r="134" spans="1:16" x14ac:dyDescent="0.3">
      <c r="A134" t="s">
        <v>275</v>
      </c>
      <c r="B134" t="s">
        <v>276</v>
      </c>
      <c r="C134">
        <v>821</v>
      </c>
      <c r="D134">
        <v>825</v>
      </c>
      <c r="E134">
        <v>785</v>
      </c>
      <c r="F134">
        <v>789.7</v>
      </c>
      <c r="G134">
        <v>829.15</v>
      </c>
      <c r="H134">
        <v>247680</v>
      </c>
      <c r="I134">
        <v>18080</v>
      </c>
      <c r="J134">
        <v>94039999881</v>
      </c>
      <c r="K134">
        <v>119083196</v>
      </c>
      <c r="L134">
        <f>(Table1[[#This Row],[CLOSE_PRICE]] - Table1[[#This Row],[PREV_CL_PR]]) / Table1[[#This Row],[PREV_CL_PR]] * 100</f>
        <v>-4.7578845805945766</v>
      </c>
      <c r="M134">
        <f>Table1[[#This Row],[HIGH_PRICE]]-Table1[[#This Row],[LOW_PRICE]]</f>
        <v>40</v>
      </c>
      <c r="N134" t="str">
        <f>IF(Table1[[#This Row],[CLOSE_PRICE]]&gt;Table1[[#This Row],[OPEN_PRICE]],"Gain","Loss")</f>
        <v>Loss</v>
      </c>
      <c r="O134" t="str">
        <f>IF(Table1[[#This Row],[MARKET_CAP]]&gt;200000000000,"Large Cap",
IF(Table1[[#This Row],[MARKET_CAP]]&gt;50000000000,"Mid Cap","Small Cap"))</f>
        <v>Mid Cap</v>
      </c>
      <c r="P134" t="str">
        <f>IF(Table1[[#This Row],[NET_TRDQTY]]&gt;1000000,"High Volume","Low Volume")</f>
        <v>Low Volume</v>
      </c>
    </row>
    <row r="135" spans="1:16" x14ac:dyDescent="0.3">
      <c r="A135" t="s">
        <v>277</v>
      </c>
      <c r="B135" t="s">
        <v>278</v>
      </c>
      <c r="C135">
        <v>16.5</v>
      </c>
      <c r="D135">
        <v>17.25</v>
      </c>
      <c r="E135">
        <v>15.55</v>
      </c>
      <c r="F135">
        <v>15.95</v>
      </c>
      <c r="G135">
        <v>16.940000000000001</v>
      </c>
      <c r="H135">
        <v>3860</v>
      </c>
      <c r="I135">
        <v>103</v>
      </c>
      <c r="J135">
        <v>162690000</v>
      </c>
      <c r="K135">
        <v>10200000</v>
      </c>
      <c r="L135">
        <f>(Table1[[#This Row],[CLOSE_PRICE]] - Table1[[#This Row],[PREV_CL_PR]]) / Table1[[#This Row],[PREV_CL_PR]] * 100</f>
        <v>-5.8441558441558552</v>
      </c>
      <c r="M135">
        <f>Table1[[#This Row],[HIGH_PRICE]]-Table1[[#This Row],[LOW_PRICE]]</f>
        <v>1.6999999999999993</v>
      </c>
      <c r="N135" t="str">
        <f>IF(Table1[[#This Row],[CLOSE_PRICE]]&gt;Table1[[#This Row],[OPEN_PRICE]],"Gain","Loss")</f>
        <v>Loss</v>
      </c>
      <c r="O135" t="str">
        <f>IF(Table1[[#This Row],[MARKET_CAP]]&gt;200000000000,"Large Cap",
IF(Table1[[#This Row],[MARKET_CAP]]&gt;50000000000,"Mid Cap","Small Cap"))</f>
        <v>Small Cap</v>
      </c>
      <c r="P135" t="str">
        <f>IF(Table1[[#This Row],[NET_TRDQTY]]&gt;1000000,"High Volume","Low Volume")</f>
        <v>Low Volume</v>
      </c>
    </row>
    <row r="136" spans="1:16" x14ac:dyDescent="0.3">
      <c r="A136" t="s">
        <v>279</v>
      </c>
      <c r="B136" t="s">
        <v>280</v>
      </c>
      <c r="C136">
        <v>598.75</v>
      </c>
      <c r="D136">
        <v>622</v>
      </c>
      <c r="E136">
        <v>583.04999999999995</v>
      </c>
      <c r="F136">
        <v>612.15</v>
      </c>
      <c r="G136">
        <v>601.25</v>
      </c>
      <c r="H136">
        <v>432463</v>
      </c>
      <c r="I136">
        <v>27357</v>
      </c>
      <c r="J136">
        <v>75575055887</v>
      </c>
      <c r="K136">
        <v>123458394</v>
      </c>
      <c r="L136">
        <f>(Table1[[#This Row],[CLOSE_PRICE]] - Table1[[#This Row],[PREV_CL_PR]]) / Table1[[#This Row],[PREV_CL_PR]] * 100</f>
        <v>1.812889812889809</v>
      </c>
      <c r="M136">
        <f>Table1[[#This Row],[HIGH_PRICE]]-Table1[[#This Row],[LOW_PRICE]]</f>
        <v>38.950000000000045</v>
      </c>
      <c r="N136" t="str">
        <f>IF(Table1[[#This Row],[CLOSE_PRICE]]&gt;Table1[[#This Row],[OPEN_PRICE]],"Gain","Loss")</f>
        <v>Gain</v>
      </c>
      <c r="O136" t="str">
        <f>IF(Table1[[#This Row],[MARKET_CAP]]&gt;200000000000,"Large Cap",
IF(Table1[[#This Row],[MARKET_CAP]]&gt;50000000000,"Mid Cap","Small Cap"))</f>
        <v>Mid Cap</v>
      </c>
      <c r="P136" t="str">
        <f>IF(Table1[[#This Row],[NET_TRDQTY]]&gt;1000000,"High Volume","Low Volume")</f>
        <v>Low Volume</v>
      </c>
    </row>
    <row r="137" spans="1:16" x14ac:dyDescent="0.3">
      <c r="A137" t="s">
        <v>281</v>
      </c>
      <c r="B137" t="s">
        <v>282</v>
      </c>
      <c r="C137">
        <v>52.7</v>
      </c>
      <c r="D137">
        <v>52.96</v>
      </c>
      <c r="E137">
        <v>47.54</v>
      </c>
      <c r="F137">
        <v>48.25</v>
      </c>
      <c r="G137">
        <v>52.79</v>
      </c>
      <c r="H137">
        <v>83148</v>
      </c>
      <c r="I137">
        <v>894</v>
      </c>
      <c r="J137">
        <v>4447305755</v>
      </c>
      <c r="K137">
        <v>92172140</v>
      </c>
      <c r="L137">
        <f>(Table1[[#This Row],[CLOSE_PRICE]] - Table1[[#This Row],[PREV_CL_PR]]) / Table1[[#This Row],[PREV_CL_PR]] * 100</f>
        <v>-8.6001136578897501</v>
      </c>
      <c r="M137">
        <f>Table1[[#This Row],[HIGH_PRICE]]-Table1[[#This Row],[LOW_PRICE]]</f>
        <v>5.4200000000000017</v>
      </c>
      <c r="N137" t="str">
        <f>IF(Table1[[#This Row],[CLOSE_PRICE]]&gt;Table1[[#This Row],[OPEN_PRICE]],"Gain","Loss")</f>
        <v>Loss</v>
      </c>
      <c r="O137" t="str">
        <f>IF(Table1[[#This Row],[MARKET_CAP]]&gt;200000000000,"Large Cap",
IF(Table1[[#This Row],[MARKET_CAP]]&gt;50000000000,"Mid Cap","Small Cap"))</f>
        <v>Small Cap</v>
      </c>
      <c r="P137" t="str">
        <f>IF(Table1[[#This Row],[NET_TRDQTY]]&gt;1000000,"High Volume","Low Volume")</f>
        <v>Low Volume</v>
      </c>
    </row>
    <row r="138" spans="1:16" x14ac:dyDescent="0.3">
      <c r="A138" t="s">
        <v>283</v>
      </c>
      <c r="B138" t="s">
        <v>284</v>
      </c>
      <c r="C138">
        <v>246.37</v>
      </c>
      <c r="D138">
        <v>246.38</v>
      </c>
      <c r="E138">
        <v>234.8</v>
      </c>
      <c r="F138">
        <v>237.55</v>
      </c>
      <c r="G138">
        <v>246.37</v>
      </c>
      <c r="H138">
        <v>1035340</v>
      </c>
      <c r="I138">
        <v>21308</v>
      </c>
      <c r="J138">
        <v>144000000000</v>
      </c>
      <c r="K138">
        <v>605971804</v>
      </c>
      <c r="L138">
        <f>(Table1[[#This Row],[CLOSE_PRICE]] - Table1[[#This Row],[PREV_CL_PR]]) / Table1[[#This Row],[PREV_CL_PR]] * 100</f>
        <v>-3.5799813288955611</v>
      </c>
      <c r="M138">
        <f>Table1[[#This Row],[HIGH_PRICE]]-Table1[[#This Row],[LOW_PRICE]]</f>
        <v>11.579999999999984</v>
      </c>
      <c r="N138" t="str">
        <f>IF(Table1[[#This Row],[CLOSE_PRICE]]&gt;Table1[[#This Row],[OPEN_PRICE]],"Gain","Loss")</f>
        <v>Loss</v>
      </c>
      <c r="O138" t="str">
        <f>IF(Table1[[#This Row],[MARKET_CAP]]&gt;200000000000,"Large Cap",
IF(Table1[[#This Row],[MARKET_CAP]]&gt;50000000000,"Mid Cap","Small Cap"))</f>
        <v>Mid Cap</v>
      </c>
      <c r="P138" t="str">
        <f>IF(Table1[[#This Row],[NET_TRDQTY]]&gt;1000000,"High Volume","Low Volume")</f>
        <v>High Volume</v>
      </c>
    </row>
    <row r="139" spans="1:16" x14ac:dyDescent="0.3">
      <c r="A139" t="s">
        <v>285</v>
      </c>
      <c r="B139" t="s">
        <v>286</v>
      </c>
      <c r="C139">
        <v>2361.5</v>
      </c>
      <c r="D139">
        <v>2420</v>
      </c>
      <c r="E139">
        <v>2244.9</v>
      </c>
      <c r="F139">
        <v>2268.1999999999998</v>
      </c>
      <c r="G139">
        <v>2399.8000000000002</v>
      </c>
      <c r="H139">
        <v>558487</v>
      </c>
      <c r="I139">
        <v>81596</v>
      </c>
      <c r="J139">
        <v>186000000000</v>
      </c>
      <c r="K139">
        <v>81871122</v>
      </c>
      <c r="L139">
        <f>(Table1[[#This Row],[CLOSE_PRICE]] - Table1[[#This Row],[PREV_CL_PR]]) / Table1[[#This Row],[PREV_CL_PR]] * 100</f>
        <v>-5.4837903158596699</v>
      </c>
      <c r="M139">
        <f>Table1[[#This Row],[HIGH_PRICE]]-Table1[[#This Row],[LOW_PRICE]]</f>
        <v>175.09999999999991</v>
      </c>
      <c r="N139" t="str">
        <f>IF(Table1[[#This Row],[CLOSE_PRICE]]&gt;Table1[[#This Row],[OPEN_PRICE]],"Gain","Loss")</f>
        <v>Loss</v>
      </c>
      <c r="O139" t="str">
        <f>IF(Table1[[#This Row],[MARKET_CAP]]&gt;200000000000,"Large Cap",
IF(Table1[[#This Row],[MARKET_CAP]]&gt;50000000000,"Mid Cap","Small Cap"))</f>
        <v>Mid Cap</v>
      </c>
      <c r="P139" t="str">
        <f>IF(Table1[[#This Row],[NET_TRDQTY]]&gt;1000000,"High Volume","Low Volume")</f>
        <v>Low Volume</v>
      </c>
    </row>
    <row r="140" spans="1:16" x14ac:dyDescent="0.3">
      <c r="A140" t="s">
        <v>287</v>
      </c>
      <c r="B140" t="s">
        <v>288</v>
      </c>
      <c r="C140">
        <v>172</v>
      </c>
      <c r="D140">
        <v>178.2</v>
      </c>
      <c r="E140">
        <v>161.36000000000001</v>
      </c>
      <c r="F140">
        <v>162.15</v>
      </c>
      <c r="G140">
        <v>174.43</v>
      </c>
      <c r="H140">
        <v>377658</v>
      </c>
      <c r="I140">
        <v>6476</v>
      </c>
      <c r="J140">
        <v>17814381929</v>
      </c>
      <c r="K140">
        <v>109863595</v>
      </c>
      <c r="L140">
        <f>(Table1[[#This Row],[CLOSE_PRICE]] - Table1[[#This Row],[PREV_CL_PR]]) / Table1[[#This Row],[PREV_CL_PR]] * 100</f>
        <v>-7.0400733818723849</v>
      </c>
      <c r="M140">
        <f>Table1[[#This Row],[HIGH_PRICE]]-Table1[[#This Row],[LOW_PRICE]]</f>
        <v>16.839999999999975</v>
      </c>
      <c r="N140" t="str">
        <f>IF(Table1[[#This Row],[CLOSE_PRICE]]&gt;Table1[[#This Row],[OPEN_PRICE]],"Gain","Loss")</f>
        <v>Loss</v>
      </c>
      <c r="O140" t="str">
        <f>IF(Table1[[#This Row],[MARKET_CAP]]&gt;200000000000,"Large Cap",
IF(Table1[[#This Row],[MARKET_CAP]]&gt;50000000000,"Mid Cap","Small Cap"))</f>
        <v>Small Cap</v>
      </c>
      <c r="P140" t="str">
        <f>IF(Table1[[#This Row],[NET_TRDQTY]]&gt;1000000,"High Volume","Low Volume")</f>
        <v>Low Volume</v>
      </c>
    </row>
    <row r="141" spans="1:16" x14ac:dyDescent="0.3">
      <c r="A141" t="s">
        <v>289</v>
      </c>
      <c r="B141" t="s">
        <v>290</v>
      </c>
      <c r="C141">
        <v>66.58</v>
      </c>
      <c r="D141">
        <v>68.37</v>
      </c>
      <c r="E141">
        <v>62.6</v>
      </c>
      <c r="F141">
        <v>63.29</v>
      </c>
      <c r="G141">
        <v>66.58</v>
      </c>
      <c r="H141">
        <v>733</v>
      </c>
      <c r="I141">
        <v>39</v>
      </c>
      <c r="J141">
        <v>352287962.5</v>
      </c>
      <c r="K141">
        <v>5566250</v>
      </c>
      <c r="L141">
        <f>(Table1[[#This Row],[CLOSE_PRICE]] - Table1[[#This Row],[PREV_CL_PR]]) / Table1[[#This Row],[PREV_CL_PR]] * 100</f>
        <v>-4.9414238510063067</v>
      </c>
      <c r="M141">
        <f>Table1[[#This Row],[HIGH_PRICE]]-Table1[[#This Row],[LOW_PRICE]]</f>
        <v>5.7700000000000031</v>
      </c>
      <c r="N141" t="str">
        <f>IF(Table1[[#This Row],[CLOSE_PRICE]]&gt;Table1[[#This Row],[OPEN_PRICE]],"Gain","Loss")</f>
        <v>Loss</v>
      </c>
      <c r="O141" t="str">
        <f>IF(Table1[[#This Row],[MARKET_CAP]]&gt;200000000000,"Large Cap",
IF(Table1[[#This Row],[MARKET_CAP]]&gt;50000000000,"Mid Cap","Small Cap"))</f>
        <v>Small Cap</v>
      </c>
      <c r="P141" t="str">
        <f>IF(Table1[[#This Row],[NET_TRDQTY]]&gt;1000000,"High Volume","Low Volume")</f>
        <v>Low Volume</v>
      </c>
    </row>
    <row r="142" spans="1:16" x14ac:dyDescent="0.3">
      <c r="A142" t="s">
        <v>291</v>
      </c>
      <c r="B142" t="s">
        <v>292</v>
      </c>
      <c r="C142">
        <v>915</v>
      </c>
      <c r="D142">
        <v>915</v>
      </c>
      <c r="E142">
        <v>870</v>
      </c>
      <c r="F142">
        <v>871.8</v>
      </c>
      <c r="G142">
        <v>917.1</v>
      </c>
      <c r="H142">
        <v>19088</v>
      </c>
      <c r="I142">
        <v>1968</v>
      </c>
      <c r="J142">
        <v>15171774117</v>
      </c>
      <c r="K142">
        <v>17402815</v>
      </c>
      <c r="L142">
        <f>(Table1[[#This Row],[CLOSE_PRICE]] - Table1[[#This Row],[PREV_CL_PR]]) / Table1[[#This Row],[PREV_CL_PR]] * 100</f>
        <v>-4.9394831534183909</v>
      </c>
      <c r="M142">
        <f>Table1[[#This Row],[HIGH_PRICE]]-Table1[[#This Row],[LOW_PRICE]]</f>
        <v>45</v>
      </c>
      <c r="N142" t="str">
        <f>IF(Table1[[#This Row],[CLOSE_PRICE]]&gt;Table1[[#This Row],[OPEN_PRICE]],"Gain","Loss")</f>
        <v>Loss</v>
      </c>
      <c r="O142" t="str">
        <f>IF(Table1[[#This Row],[MARKET_CAP]]&gt;200000000000,"Large Cap",
IF(Table1[[#This Row],[MARKET_CAP]]&gt;50000000000,"Mid Cap","Small Cap"))</f>
        <v>Small Cap</v>
      </c>
      <c r="P142" t="str">
        <f>IF(Table1[[#This Row],[NET_TRDQTY]]&gt;1000000,"High Volume","Low Volume")</f>
        <v>Low Volume</v>
      </c>
    </row>
    <row r="143" spans="1:16" x14ac:dyDescent="0.3">
      <c r="A143" t="s">
        <v>293</v>
      </c>
      <c r="B143" t="s">
        <v>294</v>
      </c>
      <c r="C143">
        <v>8.98</v>
      </c>
      <c r="D143">
        <v>8.98</v>
      </c>
      <c r="E143">
        <v>8.15</v>
      </c>
      <c r="F143">
        <v>8.4</v>
      </c>
      <c r="G143">
        <v>8.83</v>
      </c>
      <c r="H143">
        <v>141038</v>
      </c>
      <c r="I143">
        <v>374</v>
      </c>
      <c r="J143">
        <v>455088547.19999999</v>
      </c>
      <c r="K143">
        <v>54177208</v>
      </c>
      <c r="L143">
        <f>(Table1[[#This Row],[CLOSE_PRICE]] - Table1[[#This Row],[PREV_CL_PR]]) / Table1[[#This Row],[PREV_CL_PR]] * 100</f>
        <v>-4.8697621744054329</v>
      </c>
      <c r="M143">
        <f>Table1[[#This Row],[HIGH_PRICE]]-Table1[[#This Row],[LOW_PRICE]]</f>
        <v>0.83000000000000007</v>
      </c>
      <c r="N143" t="str">
        <f>IF(Table1[[#This Row],[CLOSE_PRICE]]&gt;Table1[[#This Row],[OPEN_PRICE]],"Gain","Loss")</f>
        <v>Loss</v>
      </c>
      <c r="O143" t="str">
        <f>IF(Table1[[#This Row],[MARKET_CAP]]&gt;200000000000,"Large Cap",
IF(Table1[[#This Row],[MARKET_CAP]]&gt;50000000000,"Mid Cap","Small Cap"))</f>
        <v>Small Cap</v>
      </c>
      <c r="P143" t="str">
        <f>IF(Table1[[#This Row],[NET_TRDQTY]]&gt;1000000,"High Volume","Low Volume")</f>
        <v>Low Volume</v>
      </c>
    </row>
    <row r="144" spans="1:16" x14ac:dyDescent="0.3">
      <c r="A144" t="s">
        <v>295</v>
      </c>
      <c r="B144" t="s">
        <v>296</v>
      </c>
      <c r="C144">
        <v>100.03</v>
      </c>
      <c r="D144">
        <v>101.05</v>
      </c>
      <c r="E144">
        <v>95</v>
      </c>
      <c r="F144">
        <v>95.97</v>
      </c>
      <c r="G144">
        <v>101.55</v>
      </c>
      <c r="H144">
        <v>190027</v>
      </c>
      <c r="I144">
        <v>3386</v>
      </c>
      <c r="J144">
        <v>5423660864</v>
      </c>
      <c r="K144">
        <v>56514128</v>
      </c>
      <c r="L144">
        <f>(Table1[[#This Row],[CLOSE_PRICE]] - Table1[[#This Row],[PREV_CL_PR]]) / Table1[[#This Row],[PREV_CL_PR]] * 100</f>
        <v>-5.4948301329394367</v>
      </c>
      <c r="M144">
        <f>Table1[[#This Row],[HIGH_PRICE]]-Table1[[#This Row],[LOW_PRICE]]</f>
        <v>6.0499999999999972</v>
      </c>
      <c r="N144" t="str">
        <f>IF(Table1[[#This Row],[CLOSE_PRICE]]&gt;Table1[[#This Row],[OPEN_PRICE]],"Gain","Loss")</f>
        <v>Loss</v>
      </c>
      <c r="O144" t="str">
        <f>IF(Table1[[#This Row],[MARKET_CAP]]&gt;200000000000,"Large Cap",
IF(Table1[[#This Row],[MARKET_CAP]]&gt;50000000000,"Mid Cap","Small Cap"))</f>
        <v>Small Cap</v>
      </c>
      <c r="P144" t="str">
        <f>IF(Table1[[#This Row],[NET_TRDQTY]]&gt;1000000,"High Volume","Low Volume")</f>
        <v>Low Volume</v>
      </c>
    </row>
    <row r="145" spans="1:16" x14ac:dyDescent="0.3">
      <c r="A145" t="s">
        <v>297</v>
      </c>
      <c r="B145" t="s">
        <v>298</v>
      </c>
      <c r="C145">
        <v>1625</v>
      </c>
      <c r="D145">
        <v>1738</v>
      </c>
      <c r="E145">
        <v>1533.1</v>
      </c>
      <c r="F145">
        <v>1555.6</v>
      </c>
      <c r="G145">
        <v>1644.6</v>
      </c>
      <c r="H145">
        <v>112447</v>
      </c>
      <c r="I145">
        <v>12039</v>
      </c>
      <c r="J145">
        <v>17013250301</v>
      </c>
      <c r="K145">
        <v>10936777</v>
      </c>
      <c r="L145">
        <f>(Table1[[#This Row],[CLOSE_PRICE]] - Table1[[#This Row],[PREV_CL_PR]]) / Table1[[#This Row],[PREV_CL_PR]] * 100</f>
        <v>-5.4116502493007426</v>
      </c>
      <c r="M145">
        <f>Table1[[#This Row],[HIGH_PRICE]]-Table1[[#This Row],[LOW_PRICE]]</f>
        <v>204.90000000000009</v>
      </c>
      <c r="N145" t="str">
        <f>IF(Table1[[#This Row],[CLOSE_PRICE]]&gt;Table1[[#This Row],[OPEN_PRICE]],"Gain","Loss")</f>
        <v>Loss</v>
      </c>
      <c r="O145" t="str">
        <f>IF(Table1[[#This Row],[MARKET_CAP]]&gt;200000000000,"Large Cap",
IF(Table1[[#This Row],[MARKET_CAP]]&gt;50000000000,"Mid Cap","Small Cap"))</f>
        <v>Small Cap</v>
      </c>
      <c r="P145" t="str">
        <f>IF(Table1[[#This Row],[NET_TRDQTY]]&gt;1000000,"High Volume","Low Volume")</f>
        <v>Low Volume</v>
      </c>
    </row>
    <row r="146" spans="1:16" x14ac:dyDescent="0.3">
      <c r="A146" t="s">
        <v>299</v>
      </c>
      <c r="B146" t="s">
        <v>300</v>
      </c>
      <c r="C146">
        <v>97.5</v>
      </c>
      <c r="D146">
        <v>97.5</v>
      </c>
      <c r="E146">
        <v>87.76</v>
      </c>
      <c r="F146">
        <v>88.53</v>
      </c>
      <c r="G146">
        <v>97.32</v>
      </c>
      <c r="H146">
        <v>400122</v>
      </c>
      <c r="I146">
        <v>2818</v>
      </c>
      <c r="J146">
        <v>5691214792</v>
      </c>
      <c r="K146">
        <v>64285720</v>
      </c>
      <c r="L146">
        <f>(Table1[[#This Row],[CLOSE_PRICE]] - Table1[[#This Row],[PREV_CL_PR]]) / Table1[[#This Row],[PREV_CL_PR]] * 100</f>
        <v>-9.0320591861898816</v>
      </c>
      <c r="M146">
        <f>Table1[[#This Row],[HIGH_PRICE]]-Table1[[#This Row],[LOW_PRICE]]</f>
        <v>9.7399999999999949</v>
      </c>
      <c r="N146" t="str">
        <f>IF(Table1[[#This Row],[CLOSE_PRICE]]&gt;Table1[[#This Row],[OPEN_PRICE]],"Gain","Loss")</f>
        <v>Loss</v>
      </c>
      <c r="O146" t="str">
        <f>IF(Table1[[#This Row],[MARKET_CAP]]&gt;200000000000,"Large Cap",
IF(Table1[[#This Row],[MARKET_CAP]]&gt;50000000000,"Mid Cap","Small Cap"))</f>
        <v>Small Cap</v>
      </c>
      <c r="P146" t="str">
        <f>IF(Table1[[#This Row],[NET_TRDQTY]]&gt;1000000,"High Volume","Low Volume")</f>
        <v>Low Volume</v>
      </c>
    </row>
    <row r="147" spans="1:16" x14ac:dyDescent="0.3">
      <c r="A147" t="s">
        <v>301</v>
      </c>
      <c r="B147" t="s">
        <v>302</v>
      </c>
      <c r="C147">
        <v>51.99</v>
      </c>
      <c r="D147">
        <v>52.5</v>
      </c>
      <c r="E147">
        <v>47.3</v>
      </c>
      <c r="F147">
        <v>47.88</v>
      </c>
      <c r="G147">
        <v>51.73</v>
      </c>
      <c r="H147">
        <v>96465</v>
      </c>
      <c r="I147">
        <v>1434</v>
      </c>
      <c r="J147">
        <v>4425955380</v>
      </c>
      <c r="K147">
        <v>92438500</v>
      </c>
      <c r="L147">
        <f>(Table1[[#This Row],[CLOSE_PRICE]] - Table1[[#This Row],[PREV_CL_PR]]) / Table1[[#This Row],[PREV_CL_PR]] * 100</f>
        <v>-7.4424898511501931</v>
      </c>
      <c r="M147">
        <f>Table1[[#This Row],[HIGH_PRICE]]-Table1[[#This Row],[LOW_PRICE]]</f>
        <v>5.2000000000000028</v>
      </c>
      <c r="N147" t="str">
        <f>IF(Table1[[#This Row],[CLOSE_PRICE]]&gt;Table1[[#This Row],[OPEN_PRICE]],"Gain","Loss")</f>
        <v>Loss</v>
      </c>
      <c r="O147" t="str">
        <f>IF(Table1[[#This Row],[MARKET_CAP]]&gt;200000000000,"Large Cap",
IF(Table1[[#This Row],[MARKET_CAP]]&gt;50000000000,"Mid Cap","Small Cap"))</f>
        <v>Small Cap</v>
      </c>
      <c r="P147" t="str">
        <f>IF(Table1[[#This Row],[NET_TRDQTY]]&gt;1000000,"High Volume","Low Volume")</f>
        <v>Low Volume</v>
      </c>
    </row>
    <row r="148" spans="1:16" x14ac:dyDescent="0.3">
      <c r="A148" t="s">
        <v>303</v>
      </c>
      <c r="B148" t="s">
        <v>304</v>
      </c>
      <c r="C148">
        <v>151.07</v>
      </c>
      <c r="D148">
        <v>151.07</v>
      </c>
      <c r="E148">
        <v>135.19999999999999</v>
      </c>
      <c r="F148">
        <v>138.63999999999999</v>
      </c>
      <c r="G148">
        <v>151.07</v>
      </c>
      <c r="H148">
        <v>291503</v>
      </c>
      <c r="I148">
        <v>5216</v>
      </c>
      <c r="J148">
        <v>7478641854</v>
      </c>
      <c r="K148">
        <v>53942887</v>
      </c>
      <c r="L148">
        <f>(Table1[[#This Row],[CLOSE_PRICE]] - Table1[[#This Row],[PREV_CL_PR]]) / Table1[[#This Row],[PREV_CL_PR]] * 100</f>
        <v>-8.2279737869861709</v>
      </c>
      <c r="M148">
        <f>Table1[[#This Row],[HIGH_PRICE]]-Table1[[#This Row],[LOW_PRICE]]</f>
        <v>15.870000000000005</v>
      </c>
      <c r="N148" t="str">
        <f>IF(Table1[[#This Row],[CLOSE_PRICE]]&gt;Table1[[#This Row],[OPEN_PRICE]],"Gain","Loss")</f>
        <v>Loss</v>
      </c>
      <c r="O148" t="str">
        <f>IF(Table1[[#This Row],[MARKET_CAP]]&gt;200000000000,"Large Cap",
IF(Table1[[#This Row],[MARKET_CAP]]&gt;50000000000,"Mid Cap","Small Cap"))</f>
        <v>Small Cap</v>
      </c>
      <c r="P148" t="str">
        <f>IF(Table1[[#This Row],[NET_TRDQTY]]&gt;1000000,"High Volume","Low Volume")</f>
        <v>Low Volume</v>
      </c>
    </row>
    <row r="149" spans="1:16" x14ac:dyDescent="0.3">
      <c r="A149" t="s">
        <v>305</v>
      </c>
      <c r="B149" t="s">
        <v>306</v>
      </c>
      <c r="C149">
        <v>267.64999999999998</v>
      </c>
      <c r="D149">
        <v>269.25</v>
      </c>
      <c r="E149">
        <v>265</v>
      </c>
      <c r="F149">
        <v>266.8</v>
      </c>
      <c r="G149">
        <v>272.60000000000002</v>
      </c>
      <c r="H149">
        <v>115173</v>
      </c>
      <c r="I149">
        <v>2838</v>
      </c>
      <c r="J149">
        <v>29862070240</v>
      </c>
      <c r="K149">
        <v>111926800</v>
      </c>
      <c r="L149">
        <f>(Table1[[#This Row],[CLOSE_PRICE]] - Table1[[#This Row],[PREV_CL_PR]]) / Table1[[#This Row],[PREV_CL_PR]] * 100</f>
        <v>-2.1276595744680891</v>
      </c>
      <c r="M149">
        <f>Table1[[#This Row],[HIGH_PRICE]]-Table1[[#This Row],[LOW_PRICE]]</f>
        <v>4.25</v>
      </c>
      <c r="N149" t="str">
        <f>IF(Table1[[#This Row],[CLOSE_PRICE]]&gt;Table1[[#This Row],[OPEN_PRICE]],"Gain","Loss")</f>
        <v>Loss</v>
      </c>
      <c r="O149" t="str">
        <f>IF(Table1[[#This Row],[MARKET_CAP]]&gt;200000000000,"Large Cap",
IF(Table1[[#This Row],[MARKET_CAP]]&gt;50000000000,"Mid Cap","Small Cap"))</f>
        <v>Small Cap</v>
      </c>
      <c r="P149" t="str">
        <f>IF(Table1[[#This Row],[NET_TRDQTY]]&gt;1000000,"High Volume","Low Volume")</f>
        <v>Low Volume</v>
      </c>
    </row>
    <row r="150" spans="1:16" x14ac:dyDescent="0.3">
      <c r="A150" t="s">
        <v>307</v>
      </c>
      <c r="B150" t="s">
        <v>308</v>
      </c>
      <c r="C150">
        <v>607</v>
      </c>
      <c r="D150">
        <v>614.29999999999995</v>
      </c>
      <c r="E150">
        <v>576.1</v>
      </c>
      <c r="F150">
        <v>587.95000000000005</v>
      </c>
      <c r="G150">
        <v>611.70000000000005</v>
      </c>
      <c r="H150">
        <v>774831</v>
      </c>
      <c r="I150">
        <v>24364</v>
      </c>
      <c r="J150">
        <v>206000000000</v>
      </c>
      <c r="K150">
        <v>351000000</v>
      </c>
      <c r="L150">
        <f>(Table1[[#This Row],[CLOSE_PRICE]] - Table1[[#This Row],[PREV_CL_PR]]) / Table1[[#This Row],[PREV_CL_PR]] * 100</f>
        <v>-3.8826222004250446</v>
      </c>
      <c r="M150">
        <f>Table1[[#This Row],[HIGH_PRICE]]-Table1[[#This Row],[LOW_PRICE]]</f>
        <v>38.199999999999932</v>
      </c>
      <c r="N150" t="str">
        <f>IF(Table1[[#This Row],[CLOSE_PRICE]]&gt;Table1[[#This Row],[OPEN_PRICE]],"Gain","Loss")</f>
        <v>Loss</v>
      </c>
      <c r="O150" t="str">
        <f>IF(Table1[[#This Row],[MARKET_CAP]]&gt;200000000000,"Large Cap",
IF(Table1[[#This Row],[MARKET_CAP]]&gt;50000000000,"Mid Cap","Small Cap"))</f>
        <v>Large Cap</v>
      </c>
      <c r="P150" t="str">
        <f>IF(Table1[[#This Row],[NET_TRDQTY]]&gt;1000000,"High Volume","Low Volume")</f>
        <v>Low Volume</v>
      </c>
    </row>
    <row r="151" spans="1:16" x14ac:dyDescent="0.3">
      <c r="A151" t="s">
        <v>309</v>
      </c>
      <c r="B151" t="s">
        <v>310</v>
      </c>
      <c r="C151">
        <v>176.5</v>
      </c>
      <c r="D151">
        <v>181.21</v>
      </c>
      <c r="E151">
        <v>168.18</v>
      </c>
      <c r="F151">
        <v>175.34</v>
      </c>
      <c r="G151">
        <v>178.54</v>
      </c>
      <c r="H151">
        <v>3114072</v>
      </c>
      <c r="I151">
        <v>52689</v>
      </c>
      <c r="J151">
        <v>194000000000</v>
      </c>
      <c r="K151">
        <v>1107991489</v>
      </c>
      <c r="L151">
        <f>(Table1[[#This Row],[CLOSE_PRICE]] - Table1[[#This Row],[PREV_CL_PR]]) / Table1[[#This Row],[PREV_CL_PR]] * 100</f>
        <v>-1.792315447518757</v>
      </c>
      <c r="M151">
        <f>Table1[[#This Row],[HIGH_PRICE]]-Table1[[#This Row],[LOW_PRICE]]</f>
        <v>13.030000000000001</v>
      </c>
      <c r="N151" t="str">
        <f>IF(Table1[[#This Row],[CLOSE_PRICE]]&gt;Table1[[#This Row],[OPEN_PRICE]],"Gain","Loss")</f>
        <v>Loss</v>
      </c>
      <c r="O151" t="str">
        <f>IF(Table1[[#This Row],[MARKET_CAP]]&gt;200000000000,"Large Cap",
IF(Table1[[#This Row],[MARKET_CAP]]&gt;50000000000,"Mid Cap","Small Cap"))</f>
        <v>Mid Cap</v>
      </c>
      <c r="P151" t="str">
        <f>IF(Table1[[#This Row],[NET_TRDQTY]]&gt;1000000,"High Volume","Low Volume")</f>
        <v>High Volume</v>
      </c>
    </row>
    <row r="152" spans="1:16" x14ac:dyDescent="0.3">
      <c r="A152" t="s">
        <v>311</v>
      </c>
      <c r="B152" t="s">
        <v>312</v>
      </c>
      <c r="C152">
        <v>17.350000000000001</v>
      </c>
      <c r="D152">
        <v>17.350000000000001</v>
      </c>
      <c r="E152">
        <v>16.05</v>
      </c>
      <c r="F152">
        <v>16.149999999999999</v>
      </c>
      <c r="G152">
        <v>16.850000000000001</v>
      </c>
      <c r="H152">
        <v>47325</v>
      </c>
      <c r="I152">
        <v>306</v>
      </c>
      <c r="J152">
        <v>4054245935</v>
      </c>
      <c r="K152">
        <v>251036900</v>
      </c>
      <c r="L152">
        <f>(Table1[[#This Row],[CLOSE_PRICE]] - Table1[[#This Row],[PREV_CL_PR]]) / Table1[[#This Row],[PREV_CL_PR]] * 100</f>
        <v>-4.1543026706231618</v>
      </c>
      <c r="M152">
        <f>Table1[[#This Row],[HIGH_PRICE]]-Table1[[#This Row],[LOW_PRICE]]</f>
        <v>1.3000000000000007</v>
      </c>
      <c r="N152" t="str">
        <f>IF(Table1[[#This Row],[CLOSE_PRICE]]&gt;Table1[[#This Row],[OPEN_PRICE]],"Gain","Loss")</f>
        <v>Loss</v>
      </c>
      <c r="O152" t="str">
        <f>IF(Table1[[#This Row],[MARKET_CAP]]&gt;200000000000,"Large Cap",
IF(Table1[[#This Row],[MARKET_CAP]]&gt;50000000000,"Mid Cap","Small Cap"))</f>
        <v>Small Cap</v>
      </c>
      <c r="P152" t="str">
        <f>IF(Table1[[#This Row],[NET_TRDQTY]]&gt;1000000,"High Volume","Low Volume")</f>
        <v>Low Volume</v>
      </c>
    </row>
    <row r="153" spans="1:16" x14ac:dyDescent="0.3">
      <c r="A153" t="s">
        <v>313</v>
      </c>
      <c r="B153" t="s">
        <v>314</v>
      </c>
      <c r="C153">
        <v>123</v>
      </c>
      <c r="D153">
        <v>123.2</v>
      </c>
      <c r="E153">
        <v>118</v>
      </c>
      <c r="F153">
        <v>120.13</v>
      </c>
      <c r="G153">
        <v>123.06</v>
      </c>
      <c r="H153">
        <v>1240545</v>
      </c>
      <c r="I153">
        <v>16980</v>
      </c>
      <c r="J153">
        <v>80567062733</v>
      </c>
      <c r="K153">
        <v>670665635</v>
      </c>
      <c r="L153">
        <f>(Table1[[#This Row],[CLOSE_PRICE]] - Table1[[#This Row],[PREV_CL_PR]]) / Table1[[#This Row],[PREV_CL_PR]] * 100</f>
        <v>-2.3809523809523863</v>
      </c>
      <c r="M153">
        <f>Table1[[#This Row],[HIGH_PRICE]]-Table1[[#This Row],[LOW_PRICE]]</f>
        <v>5.2000000000000028</v>
      </c>
      <c r="N153" t="str">
        <f>IF(Table1[[#This Row],[CLOSE_PRICE]]&gt;Table1[[#This Row],[OPEN_PRICE]],"Gain","Loss")</f>
        <v>Loss</v>
      </c>
      <c r="O153" t="str">
        <f>IF(Table1[[#This Row],[MARKET_CAP]]&gt;200000000000,"Large Cap",
IF(Table1[[#This Row],[MARKET_CAP]]&gt;50000000000,"Mid Cap","Small Cap"))</f>
        <v>Mid Cap</v>
      </c>
      <c r="P153" t="str">
        <f>IF(Table1[[#This Row],[NET_TRDQTY]]&gt;1000000,"High Volume","Low Volume")</f>
        <v>High Volume</v>
      </c>
    </row>
    <row r="154" spans="1:16" x14ac:dyDescent="0.3">
      <c r="A154" t="s">
        <v>315</v>
      </c>
      <c r="B154" t="s">
        <v>316</v>
      </c>
      <c r="C154">
        <v>70.400000000000006</v>
      </c>
      <c r="D154">
        <v>70.91</v>
      </c>
      <c r="E154">
        <v>62.2</v>
      </c>
      <c r="F154">
        <v>65.31</v>
      </c>
      <c r="G154">
        <v>72.53</v>
      </c>
      <c r="H154">
        <v>603848</v>
      </c>
      <c r="I154">
        <v>3287</v>
      </c>
      <c r="J154">
        <v>7385581350</v>
      </c>
      <c r="K154">
        <v>113085000</v>
      </c>
      <c r="L154">
        <f>(Table1[[#This Row],[CLOSE_PRICE]] - Table1[[#This Row],[PREV_CL_PR]]) / Table1[[#This Row],[PREV_CL_PR]] * 100</f>
        <v>-9.9545015855508048</v>
      </c>
      <c r="M154">
        <f>Table1[[#This Row],[HIGH_PRICE]]-Table1[[#This Row],[LOW_PRICE]]</f>
        <v>8.7099999999999937</v>
      </c>
      <c r="N154" t="str">
        <f>IF(Table1[[#This Row],[CLOSE_PRICE]]&gt;Table1[[#This Row],[OPEN_PRICE]],"Gain","Loss")</f>
        <v>Loss</v>
      </c>
      <c r="O154" t="str">
        <f>IF(Table1[[#This Row],[MARKET_CAP]]&gt;200000000000,"Large Cap",
IF(Table1[[#This Row],[MARKET_CAP]]&gt;50000000000,"Mid Cap","Small Cap"))</f>
        <v>Small Cap</v>
      </c>
      <c r="P154" t="str">
        <f>IF(Table1[[#This Row],[NET_TRDQTY]]&gt;1000000,"High Volume","Low Volume")</f>
        <v>Low Volume</v>
      </c>
    </row>
    <row r="155" spans="1:16" x14ac:dyDescent="0.3">
      <c r="A155" t="s">
        <v>317</v>
      </c>
      <c r="B155" t="s">
        <v>318</v>
      </c>
      <c r="C155">
        <v>231.9</v>
      </c>
      <c r="D155">
        <v>231.9</v>
      </c>
      <c r="E155">
        <v>220.2</v>
      </c>
      <c r="F155">
        <v>223.29</v>
      </c>
      <c r="G155">
        <v>233.75</v>
      </c>
      <c r="H155">
        <v>1028448</v>
      </c>
      <c r="I155">
        <v>12981</v>
      </c>
      <c r="J155">
        <v>28875945417</v>
      </c>
      <c r="K155">
        <v>129320370</v>
      </c>
      <c r="L155">
        <f>(Table1[[#This Row],[CLOSE_PRICE]] - Table1[[#This Row],[PREV_CL_PR]]) / Table1[[#This Row],[PREV_CL_PR]] * 100</f>
        <v>-4.4748663101604311</v>
      </c>
      <c r="M155">
        <f>Table1[[#This Row],[HIGH_PRICE]]-Table1[[#This Row],[LOW_PRICE]]</f>
        <v>11.700000000000017</v>
      </c>
      <c r="N155" t="str">
        <f>IF(Table1[[#This Row],[CLOSE_PRICE]]&gt;Table1[[#This Row],[OPEN_PRICE]],"Gain","Loss")</f>
        <v>Loss</v>
      </c>
      <c r="O155" t="str">
        <f>IF(Table1[[#This Row],[MARKET_CAP]]&gt;200000000000,"Large Cap",
IF(Table1[[#This Row],[MARKET_CAP]]&gt;50000000000,"Mid Cap","Small Cap"))</f>
        <v>Small Cap</v>
      </c>
      <c r="P155" t="str">
        <f>IF(Table1[[#This Row],[NET_TRDQTY]]&gt;1000000,"High Volume","Low Volume")</f>
        <v>High Volume</v>
      </c>
    </row>
    <row r="156" spans="1:16" x14ac:dyDescent="0.3">
      <c r="A156" t="s">
        <v>319</v>
      </c>
      <c r="B156" t="s">
        <v>320</v>
      </c>
      <c r="C156">
        <v>68.8</v>
      </c>
      <c r="D156">
        <v>69.39</v>
      </c>
      <c r="E156">
        <v>64</v>
      </c>
      <c r="F156">
        <v>68.19</v>
      </c>
      <c r="G156">
        <v>66.75</v>
      </c>
      <c r="H156">
        <v>49401</v>
      </c>
      <c r="I156">
        <v>998</v>
      </c>
      <c r="J156">
        <v>1759029240</v>
      </c>
      <c r="K156">
        <v>25796000</v>
      </c>
      <c r="L156">
        <f>(Table1[[#This Row],[CLOSE_PRICE]] - Table1[[#This Row],[PREV_CL_PR]]) / Table1[[#This Row],[PREV_CL_PR]] * 100</f>
        <v>2.1573033707865132</v>
      </c>
      <c r="M156">
        <f>Table1[[#This Row],[HIGH_PRICE]]-Table1[[#This Row],[LOW_PRICE]]</f>
        <v>5.3900000000000006</v>
      </c>
      <c r="N156" t="str">
        <f>IF(Table1[[#This Row],[CLOSE_PRICE]]&gt;Table1[[#This Row],[OPEN_PRICE]],"Gain","Loss")</f>
        <v>Loss</v>
      </c>
      <c r="O156" t="str">
        <f>IF(Table1[[#This Row],[MARKET_CAP]]&gt;200000000000,"Large Cap",
IF(Table1[[#This Row],[MARKET_CAP]]&gt;50000000000,"Mid Cap","Small Cap"))</f>
        <v>Small Cap</v>
      </c>
      <c r="P156" t="str">
        <f>IF(Table1[[#This Row],[NET_TRDQTY]]&gt;1000000,"High Volume","Low Volume")</f>
        <v>Low Volume</v>
      </c>
    </row>
    <row r="157" spans="1:16" x14ac:dyDescent="0.3">
      <c r="A157" t="s">
        <v>321</v>
      </c>
      <c r="B157" t="s">
        <v>322</v>
      </c>
      <c r="C157">
        <v>1149.8</v>
      </c>
      <c r="D157">
        <v>1175.95</v>
      </c>
      <c r="E157">
        <v>1077.3</v>
      </c>
      <c r="F157">
        <v>1085.05</v>
      </c>
      <c r="G157">
        <v>1155.55</v>
      </c>
      <c r="H157">
        <v>465849</v>
      </c>
      <c r="I157">
        <v>33619</v>
      </c>
      <c r="J157">
        <v>144000000000</v>
      </c>
      <c r="K157">
        <v>132612818</v>
      </c>
      <c r="L157">
        <f>(Table1[[#This Row],[CLOSE_PRICE]] - Table1[[#This Row],[PREV_CL_PR]]) / Table1[[#This Row],[PREV_CL_PR]] * 100</f>
        <v>-6.1009908701484141</v>
      </c>
      <c r="M157">
        <f>Table1[[#This Row],[HIGH_PRICE]]-Table1[[#This Row],[LOW_PRICE]]</f>
        <v>98.650000000000091</v>
      </c>
      <c r="N157" t="str">
        <f>IF(Table1[[#This Row],[CLOSE_PRICE]]&gt;Table1[[#This Row],[OPEN_PRICE]],"Gain","Loss")</f>
        <v>Loss</v>
      </c>
      <c r="O157" t="str">
        <f>IF(Table1[[#This Row],[MARKET_CAP]]&gt;200000000000,"Large Cap",
IF(Table1[[#This Row],[MARKET_CAP]]&gt;50000000000,"Mid Cap","Small Cap"))</f>
        <v>Mid Cap</v>
      </c>
      <c r="P157" t="str">
        <f>IF(Table1[[#This Row],[NET_TRDQTY]]&gt;1000000,"High Volume","Low Volume")</f>
        <v>Low Volume</v>
      </c>
    </row>
    <row r="158" spans="1:16" x14ac:dyDescent="0.3">
      <c r="A158" t="s">
        <v>323</v>
      </c>
      <c r="B158" t="s">
        <v>324</v>
      </c>
      <c r="C158">
        <v>276.75</v>
      </c>
      <c r="D158">
        <v>276.75</v>
      </c>
      <c r="E158">
        <v>265.8</v>
      </c>
      <c r="F158">
        <v>271.2</v>
      </c>
      <c r="G158">
        <v>278.75</v>
      </c>
      <c r="H158">
        <v>641426</v>
      </c>
      <c r="I158">
        <v>19481</v>
      </c>
      <c r="J158">
        <v>99743191927</v>
      </c>
      <c r="K158">
        <v>367784631</v>
      </c>
      <c r="L158">
        <f>(Table1[[#This Row],[CLOSE_PRICE]] - Table1[[#This Row],[PREV_CL_PR]]) / Table1[[#This Row],[PREV_CL_PR]] * 100</f>
        <v>-2.7085201793722016</v>
      </c>
      <c r="M158">
        <f>Table1[[#This Row],[HIGH_PRICE]]-Table1[[#This Row],[LOW_PRICE]]</f>
        <v>10.949999999999989</v>
      </c>
      <c r="N158" t="str">
        <f>IF(Table1[[#This Row],[CLOSE_PRICE]]&gt;Table1[[#This Row],[OPEN_PRICE]],"Gain","Loss")</f>
        <v>Loss</v>
      </c>
      <c r="O158" t="str">
        <f>IF(Table1[[#This Row],[MARKET_CAP]]&gt;200000000000,"Large Cap",
IF(Table1[[#This Row],[MARKET_CAP]]&gt;50000000000,"Mid Cap","Small Cap"))</f>
        <v>Mid Cap</v>
      </c>
      <c r="P158" t="str">
        <f>IF(Table1[[#This Row],[NET_TRDQTY]]&gt;1000000,"High Volume","Low Volume")</f>
        <v>Low Volume</v>
      </c>
    </row>
    <row r="159" spans="1:16" x14ac:dyDescent="0.3">
      <c r="A159" t="s">
        <v>325</v>
      </c>
      <c r="B159" t="s">
        <v>326</v>
      </c>
      <c r="C159">
        <v>1275</v>
      </c>
      <c r="D159">
        <v>1279.3</v>
      </c>
      <c r="E159">
        <v>1251.3</v>
      </c>
      <c r="F159">
        <v>1268.7</v>
      </c>
      <c r="G159">
        <v>1285.7</v>
      </c>
      <c r="H159">
        <v>261048</v>
      </c>
      <c r="I159">
        <v>37409</v>
      </c>
      <c r="J159">
        <v>179000000000</v>
      </c>
      <c r="K159">
        <v>140695134</v>
      </c>
      <c r="L159">
        <f>(Table1[[#This Row],[CLOSE_PRICE]] - Table1[[#This Row],[PREV_CL_PR]]) / Table1[[#This Row],[PREV_CL_PR]] * 100</f>
        <v>-1.322236913743486</v>
      </c>
      <c r="M159">
        <f>Table1[[#This Row],[HIGH_PRICE]]-Table1[[#This Row],[LOW_PRICE]]</f>
        <v>28</v>
      </c>
      <c r="N159" t="str">
        <f>IF(Table1[[#This Row],[CLOSE_PRICE]]&gt;Table1[[#This Row],[OPEN_PRICE]],"Gain","Loss")</f>
        <v>Loss</v>
      </c>
      <c r="O159" t="str">
        <f>IF(Table1[[#This Row],[MARKET_CAP]]&gt;200000000000,"Large Cap",
IF(Table1[[#This Row],[MARKET_CAP]]&gt;50000000000,"Mid Cap","Small Cap"))</f>
        <v>Mid Cap</v>
      </c>
      <c r="P159" t="str">
        <f>IF(Table1[[#This Row],[NET_TRDQTY]]&gt;1000000,"High Volume","Low Volume")</f>
        <v>Low Volume</v>
      </c>
    </row>
    <row r="160" spans="1:16" x14ac:dyDescent="0.3">
      <c r="A160" t="s">
        <v>327</v>
      </c>
      <c r="B160" t="s">
        <v>328</v>
      </c>
      <c r="C160">
        <v>142.6</v>
      </c>
      <c r="D160">
        <v>142.6</v>
      </c>
      <c r="E160">
        <v>137.01</v>
      </c>
      <c r="F160">
        <v>139.11000000000001</v>
      </c>
      <c r="G160">
        <v>142.09</v>
      </c>
      <c r="H160">
        <v>41915</v>
      </c>
      <c r="I160">
        <v>1565</v>
      </c>
      <c r="J160">
        <v>1564468063</v>
      </c>
      <c r="K160">
        <v>11246266</v>
      </c>
      <c r="L160">
        <f>(Table1[[#This Row],[CLOSE_PRICE]] - Table1[[#This Row],[PREV_CL_PR]]) / Table1[[#This Row],[PREV_CL_PR]] * 100</f>
        <v>-2.0972622985431695</v>
      </c>
      <c r="M160">
        <f>Table1[[#This Row],[HIGH_PRICE]]-Table1[[#This Row],[LOW_PRICE]]</f>
        <v>5.5900000000000034</v>
      </c>
      <c r="N160" t="str">
        <f>IF(Table1[[#This Row],[CLOSE_PRICE]]&gt;Table1[[#This Row],[OPEN_PRICE]],"Gain","Loss")</f>
        <v>Loss</v>
      </c>
      <c r="O160" t="str">
        <f>IF(Table1[[#This Row],[MARKET_CAP]]&gt;200000000000,"Large Cap",
IF(Table1[[#This Row],[MARKET_CAP]]&gt;50000000000,"Mid Cap","Small Cap"))</f>
        <v>Small Cap</v>
      </c>
      <c r="P160" t="str">
        <f>IF(Table1[[#This Row],[NET_TRDQTY]]&gt;1000000,"High Volume","Low Volume")</f>
        <v>Low Volume</v>
      </c>
    </row>
    <row r="161" spans="1:16" x14ac:dyDescent="0.3">
      <c r="A161" t="s">
        <v>329</v>
      </c>
      <c r="B161" t="s">
        <v>330</v>
      </c>
      <c r="C161">
        <v>201</v>
      </c>
      <c r="D161">
        <v>202</v>
      </c>
      <c r="E161">
        <v>201</v>
      </c>
      <c r="F161">
        <v>201.04</v>
      </c>
      <c r="G161">
        <v>201</v>
      </c>
      <c r="H161">
        <v>46903</v>
      </c>
      <c r="I161">
        <v>145</v>
      </c>
      <c r="J161">
        <v>10184453194</v>
      </c>
      <c r="K161">
        <v>50658840</v>
      </c>
      <c r="L161">
        <f>(Table1[[#This Row],[CLOSE_PRICE]] - Table1[[#This Row],[PREV_CL_PR]]) / Table1[[#This Row],[PREV_CL_PR]] * 100</f>
        <v>1.9900497512433852E-2</v>
      </c>
      <c r="M161">
        <f>Table1[[#This Row],[HIGH_PRICE]]-Table1[[#This Row],[LOW_PRICE]]</f>
        <v>1</v>
      </c>
      <c r="N161" t="str">
        <f>IF(Table1[[#This Row],[CLOSE_PRICE]]&gt;Table1[[#This Row],[OPEN_PRICE]],"Gain","Loss")</f>
        <v>Gain</v>
      </c>
      <c r="O161" t="str">
        <f>IF(Table1[[#This Row],[MARKET_CAP]]&gt;200000000000,"Large Cap",
IF(Table1[[#This Row],[MARKET_CAP]]&gt;50000000000,"Mid Cap","Small Cap"))</f>
        <v>Small Cap</v>
      </c>
      <c r="P161" t="str">
        <f>IF(Table1[[#This Row],[NET_TRDQTY]]&gt;1000000,"High Volume","Low Volume")</f>
        <v>Low Volume</v>
      </c>
    </row>
    <row r="162" spans="1:16" x14ac:dyDescent="0.3">
      <c r="A162" t="s">
        <v>331</v>
      </c>
      <c r="B162" t="s">
        <v>332</v>
      </c>
      <c r="C162">
        <v>410.1</v>
      </c>
      <c r="D162">
        <v>410.4</v>
      </c>
      <c r="E162">
        <v>375</v>
      </c>
      <c r="F162">
        <v>382.2</v>
      </c>
      <c r="G162">
        <v>412.45</v>
      </c>
      <c r="H162">
        <v>60190</v>
      </c>
      <c r="I162">
        <v>2346</v>
      </c>
      <c r="J162">
        <v>5716866956</v>
      </c>
      <c r="K162">
        <v>14957789</v>
      </c>
      <c r="L162">
        <f>(Table1[[#This Row],[CLOSE_PRICE]] - Table1[[#This Row],[PREV_CL_PR]]) / Table1[[#This Row],[PREV_CL_PR]] * 100</f>
        <v>-7.3342223299793909</v>
      </c>
      <c r="M162">
        <f>Table1[[#This Row],[HIGH_PRICE]]-Table1[[#This Row],[LOW_PRICE]]</f>
        <v>35.399999999999977</v>
      </c>
      <c r="N162" t="str">
        <f>IF(Table1[[#This Row],[CLOSE_PRICE]]&gt;Table1[[#This Row],[OPEN_PRICE]],"Gain","Loss")</f>
        <v>Loss</v>
      </c>
      <c r="O162" t="str">
        <f>IF(Table1[[#This Row],[MARKET_CAP]]&gt;200000000000,"Large Cap",
IF(Table1[[#This Row],[MARKET_CAP]]&gt;50000000000,"Mid Cap","Small Cap"))</f>
        <v>Small Cap</v>
      </c>
      <c r="P162" t="str">
        <f>IF(Table1[[#This Row],[NET_TRDQTY]]&gt;1000000,"High Volume","Low Volume")</f>
        <v>Low Volume</v>
      </c>
    </row>
    <row r="163" spans="1:16" x14ac:dyDescent="0.3">
      <c r="A163" t="s">
        <v>333</v>
      </c>
      <c r="B163" t="s">
        <v>334</v>
      </c>
      <c r="C163">
        <v>416.5</v>
      </c>
      <c r="D163">
        <v>424.35</v>
      </c>
      <c r="E163">
        <v>410.35</v>
      </c>
      <c r="F163">
        <v>420.2</v>
      </c>
      <c r="G163">
        <v>424.35</v>
      </c>
      <c r="H163">
        <v>117548</v>
      </c>
      <c r="I163">
        <v>7320</v>
      </c>
      <c r="J163">
        <v>133000000000</v>
      </c>
      <c r="K163">
        <v>316470002</v>
      </c>
      <c r="L163">
        <f>(Table1[[#This Row],[CLOSE_PRICE]] - Table1[[#This Row],[PREV_CL_PR]]) / Table1[[#This Row],[PREV_CL_PR]] * 100</f>
        <v>-0.97796630140215246</v>
      </c>
      <c r="M163">
        <f>Table1[[#This Row],[HIGH_PRICE]]-Table1[[#This Row],[LOW_PRICE]]</f>
        <v>14</v>
      </c>
      <c r="N163" t="str">
        <f>IF(Table1[[#This Row],[CLOSE_PRICE]]&gt;Table1[[#This Row],[OPEN_PRICE]],"Gain","Loss")</f>
        <v>Gain</v>
      </c>
      <c r="O163" t="str">
        <f>IF(Table1[[#This Row],[MARKET_CAP]]&gt;200000000000,"Large Cap",
IF(Table1[[#This Row],[MARKET_CAP]]&gt;50000000000,"Mid Cap","Small Cap"))</f>
        <v>Mid Cap</v>
      </c>
      <c r="P163" t="str">
        <f>IF(Table1[[#This Row],[NET_TRDQTY]]&gt;1000000,"High Volume","Low Volume")</f>
        <v>Low Volume</v>
      </c>
    </row>
    <row r="164" spans="1:16" x14ac:dyDescent="0.3">
      <c r="A164" t="s">
        <v>335</v>
      </c>
      <c r="B164" t="s">
        <v>336</v>
      </c>
      <c r="C164">
        <v>492</v>
      </c>
      <c r="D164">
        <v>498</v>
      </c>
      <c r="E164">
        <v>465</v>
      </c>
      <c r="F164">
        <v>473.1</v>
      </c>
      <c r="G164">
        <v>499.1</v>
      </c>
      <c r="H164">
        <v>210975</v>
      </c>
      <c r="I164">
        <v>8682</v>
      </c>
      <c r="J164">
        <v>30608330951</v>
      </c>
      <c r="K164">
        <v>64697381</v>
      </c>
      <c r="L164">
        <f>(Table1[[#This Row],[CLOSE_PRICE]] - Table1[[#This Row],[PREV_CL_PR]]) / Table1[[#This Row],[PREV_CL_PR]] * 100</f>
        <v>-5.2093768783810859</v>
      </c>
      <c r="M164">
        <f>Table1[[#This Row],[HIGH_PRICE]]-Table1[[#This Row],[LOW_PRICE]]</f>
        <v>33</v>
      </c>
      <c r="N164" t="str">
        <f>IF(Table1[[#This Row],[CLOSE_PRICE]]&gt;Table1[[#This Row],[OPEN_PRICE]],"Gain","Loss")</f>
        <v>Loss</v>
      </c>
      <c r="O164" t="str">
        <f>IF(Table1[[#This Row],[MARKET_CAP]]&gt;200000000000,"Large Cap",
IF(Table1[[#This Row],[MARKET_CAP]]&gt;50000000000,"Mid Cap","Small Cap"))</f>
        <v>Small Cap</v>
      </c>
      <c r="P164" t="str">
        <f>IF(Table1[[#This Row],[NET_TRDQTY]]&gt;1000000,"High Volume","Low Volume")</f>
        <v>Low Volume</v>
      </c>
    </row>
    <row r="165" spans="1:16" x14ac:dyDescent="0.3">
      <c r="A165" t="s">
        <v>337</v>
      </c>
      <c r="B165" t="s">
        <v>338</v>
      </c>
      <c r="C165">
        <v>311</v>
      </c>
      <c r="D165">
        <v>311</v>
      </c>
      <c r="E165">
        <v>287.35000000000002</v>
      </c>
      <c r="F165">
        <v>293.45</v>
      </c>
      <c r="G165">
        <v>311.7</v>
      </c>
      <c r="H165">
        <v>1926863</v>
      </c>
      <c r="I165">
        <v>13224</v>
      </c>
      <c r="J165">
        <v>35849964840</v>
      </c>
      <c r="K165">
        <v>122167200</v>
      </c>
      <c r="L165">
        <f>(Table1[[#This Row],[CLOSE_PRICE]] - Table1[[#This Row],[PREV_CL_PR]]) / Table1[[#This Row],[PREV_CL_PR]] * 100</f>
        <v>-5.854988771254412</v>
      </c>
      <c r="M165">
        <f>Table1[[#This Row],[HIGH_PRICE]]-Table1[[#This Row],[LOW_PRICE]]</f>
        <v>23.649999999999977</v>
      </c>
      <c r="N165" t="str">
        <f>IF(Table1[[#This Row],[CLOSE_PRICE]]&gt;Table1[[#This Row],[OPEN_PRICE]],"Gain","Loss")</f>
        <v>Loss</v>
      </c>
      <c r="O165" t="str">
        <f>IF(Table1[[#This Row],[MARKET_CAP]]&gt;200000000000,"Large Cap",
IF(Table1[[#This Row],[MARKET_CAP]]&gt;50000000000,"Mid Cap","Small Cap"))</f>
        <v>Small Cap</v>
      </c>
      <c r="P165" t="str">
        <f>IF(Table1[[#This Row],[NET_TRDQTY]]&gt;1000000,"High Volume","Low Volume")</f>
        <v>High Volume</v>
      </c>
    </row>
    <row r="166" spans="1:16" x14ac:dyDescent="0.3">
      <c r="A166" t="s">
        <v>339</v>
      </c>
      <c r="B166" t="s">
        <v>340</v>
      </c>
      <c r="C166">
        <v>110</v>
      </c>
      <c r="D166">
        <v>110</v>
      </c>
      <c r="E166">
        <v>100</v>
      </c>
      <c r="F166">
        <v>102.01</v>
      </c>
      <c r="G166">
        <v>105.12</v>
      </c>
      <c r="H166">
        <v>2043</v>
      </c>
      <c r="I166">
        <v>140</v>
      </c>
      <c r="J166">
        <v>605939400</v>
      </c>
      <c r="K166">
        <v>5940000</v>
      </c>
      <c r="L166">
        <f>(Table1[[#This Row],[CLOSE_PRICE]] - Table1[[#This Row],[PREV_CL_PR]]) / Table1[[#This Row],[PREV_CL_PR]] * 100</f>
        <v>-2.9585235920852355</v>
      </c>
      <c r="M166">
        <f>Table1[[#This Row],[HIGH_PRICE]]-Table1[[#This Row],[LOW_PRICE]]</f>
        <v>10</v>
      </c>
      <c r="N166" t="str">
        <f>IF(Table1[[#This Row],[CLOSE_PRICE]]&gt;Table1[[#This Row],[OPEN_PRICE]],"Gain","Loss")</f>
        <v>Loss</v>
      </c>
      <c r="O166" t="str">
        <f>IF(Table1[[#This Row],[MARKET_CAP]]&gt;200000000000,"Large Cap",
IF(Table1[[#This Row],[MARKET_CAP]]&gt;50000000000,"Mid Cap","Small Cap"))</f>
        <v>Small Cap</v>
      </c>
      <c r="P166" t="str">
        <f>IF(Table1[[#This Row],[NET_TRDQTY]]&gt;1000000,"High Volume","Low Volume")</f>
        <v>Low Volume</v>
      </c>
    </row>
    <row r="167" spans="1:16" x14ac:dyDescent="0.3">
      <c r="A167" t="s">
        <v>341</v>
      </c>
      <c r="B167" t="s">
        <v>342</v>
      </c>
      <c r="C167">
        <v>30.61</v>
      </c>
      <c r="D167">
        <v>31.59</v>
      </c>
      <c r="E167">
        <v>30.01</v>
      </c>
      <c r="F167">
        <v>30.76</v>
      </c>
      <c r="G167">
        <v>31.59</v>
      </c>
      <c r="H167">
        <v>10533</v>
      </c>
      <c r="I167">
        <v>166</v>
      </c>
      <c r="J167">
        <v>623631777.39999998</v>
      </c>
      <c r="K167">
        <v>20274115</v>
      </c>
      <c r="L167">
        <f>(Table1[[#This Row],[CLOSE_PRICE]] - Table1[[#This Row],[PREV_CL_PR]]) / Table1[[#This Row],[PREV_CL_PR]] * 100</f>
        <v>-2.6274137385248442</v>
      </c>
      <c r="M167">
        <f>Table1[[#This Row],[HIGH_PRICE]]-Table1[[#This Row],[LOW_PRICE]]</f>
        <v>1.5799999999999983</v>
      </c>
      <c r="N167" t="str">
        <f>IF(Table1[[#This Row],[CLOSE_PRICE]]&gt;Table1[[#This Row],[OPEN_PRICE]],"Gain","Loss")</f>
        <v>Gain</v>
      </c>
      <c r="O167" t="str">
        <f>IF(Table1[[#This Row],[MARKET_CAP]]&gt;200000000000,"Large Cap",
IF(Table1[[#This Row],[MARKET_CAP]]&gt;50000000000,"Mid Cap","Small Cap"))</f>
        <v>Small Cap</v>
      </c>
      <c r="P167" t="str">
        <f>IF(Table1[[#This Row],[NET_TRDQTY]]&gt;1000000,"High Volume","Low Volume")</f>
        <v>Low Volume</v>
      </c>
    </row>
    <row r="168" spans="1:16" x14ac:dyDescent="0.3">
      <c r="A168" t="s">
        <v>343</v>
      </c>
      <c r="B168" t="s">
        <v>344</v>
      </c>
      <c r="C168">
        <v>119.4</v>
      </c>
      <c r="D168">
        <v>119.41</v>
      </c>
      <c r="E168">
        <v>111.5</v>
      </c>
      <c r="F168">
        <v>114.32</v>
      </c>
      <c r="G168">
        <v>121.11</v>
      </c>
      <c r="H168">
        <v>131034</v>
      </c>
      <c r="I168">
        <v>1832</v>
      </c>
      <c r="J168">
        <v>6076279480</v>
      </c>
      <c r="K168">
        <v>53151500</v>
      </c>
      <c r="L168">
        <f>(Table1[[#This Row],[CLOSE_PRICE]] - Table1[[#This Row],[PREV_CL_PR]]) / Table1[[#This Row],[PREV_CL_PR]] * 100</f>
        <v>-5.6064734538849033</v>
      </c>
      <c r="M168">
        <f>Table1[[#This Row],[HIGH_PRICE]]-Table1[[#This Row],[LOW_PRICE]]</f>
        <v>7.9099999999999966</v>
      </c>
      <c r="N168" t="str">
        <f>IF(Table1[[#This Row],[CLOSE_PRICE]]&gt;Table1[[#This Row],[OPEN_PRICE]],"Gain","Loss")</f>
        <v>Loss</v>
      </c>
      <c r="O168" t="str">
        <f>IF(Table1[[#This Row],[MARKET_CAP]]&gt;200000000000,"Large Cap",
IF(Table1[[#This Row],[MARKET_CAP]]&gt;50000000000,"Mid Cap","Small Cap"))</f>
        <v>Small Cap</v>
      </c>
      <c r="P168" t="str">
        <f>IF(Table1[[#This Row],[NET_TRDQTY]]&gt;1000000,"High Volume","Low Volume")</f>
        <v>Low Volume</v>
      </c>
    </row>
    <row r="169" spans="1:16" x14ac:dyDescent="0.3">
      <c r="A169" t="s">
        <v>345</v>
      </c>
      <c r="B169" t="s">
        <v>346</v>
      </c>
      <c r="C169">
        <v>39.380000000000003</v>
      </c>
      <c r="D169">
        <v>39.380000000000003</v>
      </c>
      <c r="E169">
        <v>34.51</v>
      </c>
      <c r="F169">
        <v>36.409999999999997</v>
      </c>
      <c r="G169">
        <v>39.380000000000003</v>
      </c>
      <c r="H169">
        <v>24123</v>
      </c>
      <c r="I169">
        <v>446</v>
      </c>
      <c r="J169">
        <v>470453610</v>
      </c>
      <c r="K169">
        <v>12921000</v>
      </c>
      <c r="L169">
        <f>(Table1[[#This Row],[CLOSE_PRICE]] - Table1[[#This Row],[PREV_CL_PR]]) / Table1[[#This Row],[PREV_CL_PR]] * 100</f>
        <v>-7.5418994413407967</v>
      </c>
      <c r="M169">
        <f>Table1[[#This Row],[HIGH_PRICE]]-Table1[[#This Row],[LOW_PRICE]]</f>
        <v>4.8700000000000045</v>
      </c>
      <c r="N169" t="str">
        <f>IF(Table1[[#This Row],[CLOSE_PRICE]]&gt;Table1[[#This Row],[OPEN_PRICE]],"Gain","Loss")</f>
        <v>Loss</v>
      </c>
      <c r="O169" t="str">
        <f>IF(Table1[[#This Row],[MARKET_CAP]]&gt;200000000000,"Large Cap",
IF(Table1[[#This Row],[MARKET_CAP]]&gt;50000000000,"Mid Cap","Small Cap"))</f>
        <v>Small Cap</v>
      </c>
      <c r="P169" t="str">
        <f>IF(Table1[[#This Row],[NET_TRDQTY]]&gt;1000000,"High Volume","Low Volume")</f>
        <v>Low Volume</v>
      </c>
    </row>
    <row r="170" spans="1:16" x14ac:dyDescent="0.3">
      <c r="A170" t="s">
        <v>347</v>
      </c>
      <c r="B170" t="s">
        <v>348</v>
      </c>
      <c r="C170">
        <v>149.11000000000001</v>
      </c>
      <c r="D170">
        <v>149.16999999999999</v>
      </c>
      <c r="E170">
        <v>142.1</v>
      </c>
      <c r="F170">
        <v>143.68</v>
      </c>
      <c r="G170">
        <v>151.38999999999999</v>
      </c>
      <c r="H170">
        <v>2763</v>
      </c>
      <c r="I170">
        <v>58</v>
      </c>
      <c r="J170">
        <v>2484470881</v>
      </c>
      <c r="K170">
        <v>17291696</v>
      </c>
      <c r="L170">
        <f>(Table1[[#This Row],[CLOSE_PRICE]] - Table1[[#This Row],[PREV_CL_PR]]) / Table1[[#This Row],[PREV_CL_PR]] * 100</f>
        <v>-5.0928066582997422</v>
      </c>
      <c r="M170">
        <f>Table1[[#This Row],[HIGH_PRICE]]-Table1[[#This Row],[LOW_PRICE]]</f>
        <v>7.0699999999999932</v>
      </c>
      <c r="N170" t="str">
        <f>IF(Table1[[#This Row],[CLOSE_PRICE]]&gt;Table1[[#This Row],[OPEN_PRICE]],"Gain","Loss")</f>
        <v>Loss</v>
      </c>
      <c r="O170" t="str">
        <f>IF(Table1[[#This Row],[MARKET_CAP]]&gt;200000000000,"Large Cap",
IF(Table1[[#This Row],[MARKET_CAP]]&gt;50000000000,"Mid Cap","Small Cap"))</f>
        <v>Small Cap</v>
      </c>
      <c r="P170" t="str">
        <f>IF(Table1[[#This Row],[NET_TRDQTY]]&gt;1000000,"High Volume","Low Volume")</f>
        <v>Low Volume</v>
      </c>
    </row>
    <row r="171" spans="1:16" x14ac:dyDescent="0.3">
      <c r="A171" t="s">
        <v>349</v>
      </c>
      <c r="B171" t="s">
        <v>350</v>
      </c>
      <c r="C171">
        <v>719</v>
      </c>
      <c r="D171">
        <v>719.15</v>
      </c>
      <c r="E171">
        <v>669.95</v>
      </c>
      <c r="F171">
        <v>680.55</v>
      </c>
      <c r="G171">
        <v>724.95</v>
      </c>
      <c r="H171">
        <v>148682</v>
      </c>
      <c r="I171">
        <v>6777</v>
      </c>
      <c r="J171">
        <v>45588383958</v>
      </c>
      <c r="K171">
        <v>66987560</v>
      </c>
      <c r="L171">
        <f>(Table1[[#This Row],[CLOSE_PRICE]] - Table1[[#This Row],[PREV_CL_PR]]) / Table1[[#This Row],[PREV_CL_PR]] * 100</f>
        <v>-6.1245603145044614</v>
      </c>
      <c r="M171">
        <f>Table1[[#This Row],[HIGH_PRICE]]-Table1[[#This Row],[LOW_PRICE]]</f>
        <v>49.199999999999932</v>
      </c>
      <c r="N171" t="str">
        <f>IF(Table1[[#This Row],[CLOSE_PRICE]]&gt;Table1[[#This Row],[OPEN_PRICE]],"Gain","Loss")</f>
        <v>Loss</v>
      </c>
      <c r="O171" t="str">
        <f>IF(Table1[[#This Row],[MARKET_CAP]]&gt;200000000000,"Large Cap",
IF(Table1[[#This Row],[MARKET_CAP]]&gt;50000000000,"Mid Cap","Small Cap"))</f>
        <v>Small Cap</v>
      </c>
      <c r="P171" t="str">
        <f>IF(Table1[[#This Row],[NET_TRDQTY]]&gt;1000000,"High Volume","Low Volume")</f>
        <v>Low Volume</v>
      </c>
    </row>
    <row r="172" spans="1:16" x14ac:dyDescent="0.3">
      <c r="A172" t="s">
        <v>351</v>
      </c>
      <c r="B172" t="s">
        <v>352</v>
      </c>
      <c r="C172">
        <v>3399.9</v>
      </c>
      <c r="D172">
        <v>3400.4</v>
      </c>
      <c r="E172">
        <v>3282.2</v>
      </c>
      <c r="F172">
        <v>3315.9</v>
      </c>
      <c r="G172">
        <v>3409.6</v>
      </c>
      <c r="H172">
        <v>76579</v>
      </c>
      <c r="I172">
        <v>16778</v>
      </c>
      <c r="J172">
        <v>309000000000</v>
      </c>
      <c r="K172">
        <v>93320370</v>
      </c>
      <c r="L172">
        <f>(Table1[[#This Row],[CLOSE_PRICE]] - Table1[[#This Row],[PREV_CL_PR]]) / Table1[[#This Row],[PREV_CL_PR]] * 100</f>
        <v>-2.7481229469732469</v>
      </c>
      <c r="M172">
        <f>Table1[[#This Row],[HIGH_PRICE]]-Table1[[#This Row],[LOW_PRICE]]</f>
        <v>118.20000000000027</v>
      </c>
      <c r="N172" t="str">
        <f>IF(Table1[[#This Row],[CLOSE_PRICE]]&gt;Table1[[#This Row],[OPEN_PRICE]],"Gain","Loss")</f>
        <v>Loss</v>
      </c>
      <c r="O172" t="str">
        <f>IF(Table1[[#This Row],[MARKET_CAP]]&gt;200000000000,"Large Cap",
IF(Table1[[#This Row],[MARKET_CAP]]&gt;50000000000,"Mid Cap","Small Cap"))</f>
        <v>Large Cap</v>
      </c>
      <c r="P172" t="str">
        <f>IF(Table1[[#This Row],[NET_TRDQTY]]&gt;1000000,"High Volume","Low Volume")</f>
        <v>Low Volume</v>
      </c>
    </row>
    <row r="173" spans="1:16" x14ac:dyDescent="0.3">
      <c r="A173" t="s">
        <v>353</v>
      </c>
      <c r="B173" t="s">
        <v>354</v>
      </c>
      <c r="C173">
        <v>481.65</v>
      </c>
      <c r="D173">
        <v>508.8</v>
      </c>
      <c r="E173">
        <v>470.8</v>
      </c>
      <c r="F173">
        <v>480.5</v>
      </c>
      <c r="G173">
        <v>492.2</v>
      </c>
      <c r="H173">
        <v>526615</v>
      </c>
      <c r="I173">
        <v>28360</v>
      </c>
      <c r="J173">
        <v>408000000000</v>
      </c>
      <c r="K173">
        <v>849225500</v>
      </c>
      <c r="L173">
        <f>(Table1[[#This Row],[CLOSE_PRICE]] - Table1[[#This Row],[PREV_CL_PR]]) / Table1[[#This Row],[PREV_CL_PR]] * 100</f>
        <v>-2.3770824867939839</v>
      </c>
      <c r="M173">
        <f>Table1[[#This Row],[HIGH_PRICE]]-Table1[[#This Row],[LOW_PRICE]]</f>
        <v>38</v>
      </c>
      <c r="N173" t="str">
        <f>IF(Table1[[#This Row],[CLOSE_PRICE]]&gt;Table1[[#This Row],[OPEN_PRICE]],"Gain","Loss")</f>
        <v>Loss</v>
      </c>
      <c r="O173" t="str">
        <f>IF(Table1[[#This Row],[MARKET_CAP]]&gt;200000000000,"Large Cap",
IF(Table1[[#This Row],[MARKET_CAP]]&gt;50000000000,"Mid Cap","Small Cap"))</f>
        <v>Large Cap</v>
      </c>
      <c r="P173" t="str">
        <f>IF(Table1[[#This Row],[NET_TRDQTY]]&gt;1000000,"High Volume","Low Volume")</f>
        <v>Low Volume</v>
      </c>
    </row>
    <row r="174" spans="1:16" x14ac:dyDescent="0.3">
      <c r="A174" t="s">
        <v>355</v>
      </c>
      <c r="B174" t="s">
        <v>356</v>
      </c>
      <c r="C174">
        <v>15.35</v>
      </c>
      <c r="D174">
        <v>15.35</v>
      </c>
      <c r="E174">
        <v>14.5</v>
      </c>
      <c r="F174">
        <v>14.55</v>
      </c>
      <c r="G174">
        <v>15.22</v>
      </c>
      <c r="H174">
        <v>81350</v>
      </c>
      <c r="I174">
        <v>553</v>
      </c>
      <c r="J174">
        <v>1819041000</v>
      </c>
      <c r="K174">
        <v>125020000</v>
      </c>
      <c r="L174">
        <f>(Table1[[#This Row],[CLOSE_PRICE]] - Table1[[#This Row],[PREV_CL_PR]]) / Table1[[#This Row],[PREV_CL_PR]] * 100</f>
        <v>-4.4021024967148481</v>
      </c>
      <c r="M174">
        <f>Table1[[#This Row],[HIGH_PRICE]]-Table1[[#This Row],[LOW_PRICE]]</f>
        <v>0.84999999999999964</v>
      </c>
      <c r="N174" t="str">
        <f>IF(Table1[[#This Row],[CLOSE_PRICE]]&gt;Table1[[#This Row],[OPEN_PRICE]],"Gain","Loss")</f>
        <v>Loss</v>
      </c>
      <c r="O174" t="str">
        <f>IF(Table1[[#This Row],[MARKET_CAP]]&gt;200000000000,"Large Cap",
IF(Table1[[#This Row],[MARKET_CAP]]&gt;50000000000,"Mid Cap","Small Cap"))</f>
        <v>Small Cap</v>
      </c>
      <c r="P174" t="str">
        <f>IF(Table1[[#This Row],[NET_TRDQTY]]&gt;1000000,"High Volume","Low Volume")</f>
        <v>Low Volume</v>
      </c>
    </row>
    <row r="175" spans="1:16" x14ac:dyDescent="0.3">
      <c r="A175" t="s">
        <v>357</v>
      </c>
      <c r="B175" t="s">
        <v>358</v>
      </c>
      <c r="C175">
        <v>87.94</v>
      </c>
      <c r="D175">
        <v>89.01</v>
      </c>
      <c r="E175">
        <v>84.15</v>
      </c>
      <c r="F175">
        <v>84.38</v>
      </c>
      <c r="G175">
        <v>87.41</v>
      </c>
      <c r="H175">
        <v>3698</v>
      </c>
      <c r="I175">
        <v>59</v>
      </c>
      <c r="J175">
        <v>1265868760</v>
      </c>
      <c r="K175">
        <v>15002000</v>
      </c>
      <c r="L175">
        <f>(Table1[[#This Row],[CLOSE_PRICE]] - Table1[[#This Row],[PREV_CL_PR]]) / Table1[[#This Row],[PREV_CL_PR]] * 100</f>
        <v>-3.4664226061091421</v>
      </c>
      <c r="M175">
        <f>Table1[[#This Row],[HIGH_PRICE]]-Table1[[#This Row],[LOW_PRICE]]</f>
        <v>4.8599999999999994</v>
      </c>
      <c r="N175" t="str">
        <f>IF(Table1[[#This Row],[CLOSE_PRICE]]&gt;Table1[[#This Row],[OPEN_PRICE]],"Gain","Loss")</f>
        <v>Loss</v>
      </c>
      <c r="O175" t="str">
        <f>IF(Table1[[#This Row],[MARKET_CAP]]&gt;200000000000,"Large Cap",
IF(Table1[[#This Row],[MARKET_CAP]]&gt;50000000000,"Mid Cap","Small Cap"))</f>
        <v>Small Cap</v>
      </c>
      <c r="P175" t="str">
        <f>IF(Table1[[#This Row],[NET_TRDQTY]]&gt;1000000,"High Volume","Low Volume")</f>
        <v>Low Volume</v>
      </c>
    </row>
    <row r="176" spans="1:16" x14ac:dyDescent="0.3">
      <c r="A176" t="s">
        <v>359</v>
      </c>
      <c r="B176" t="s">
        <v>360</v>
      </c>
      <c r="C176">
        <v>2904.7</v>
      </c>
      <c r="D176">
        <v>2904.7</v>
      </c>
      <c r="E176">
        <v>2785.2</v>
      </c>
      <c r="F176">
        <v>2796.8</v>
      </c>
      <c r="G176">
        <v>2904.7</v>
      </c>
      <c r="H176">
        <v>117241</v>
      </c>
      <c r="I176">
        <v>23981</v>
      </c>
      <c r="J176">
        <v>349000000000</v>
      </c>
      <c r="K176">
        <v>124935624</v>
      </c>
      <c r="L176">
        <f>(Table1[[#This Row],[CLOSE_PRICE]] - Table1[[#This Row],[PREV_CL_PR]]) / Table1[[#This Row],[PREV_CL_PR]] * 100</f>
        <v>-3.7146693290184754</v>
      </c>
      <c r="M176">
        <f>Table1[[#This Row],[HIGH_PRICE]]-Table1[[#This Row],[LOW_PRICE]]</f>
        <v>119.5</v>
      </c>
      <c r="N176" t="str">
        <f>IF(Table1[[#This Row],[CLOSE_PRICE]]&gt;Table1[[#This Row],[OPEN_PRICE]],"Gain","Loss")</f>
        <v>Loss</v>
      </c>
      <c r="O176" t="str">
        <f>IF(Table1[[#This Row],[MARKET_CAP]]&gt;200000000000,"Large Cap",
IF(Table1[[#This Row],[MARKET_CAP]]&gt;50000000000,"Mid Cap","Small Cap"))</f>
        <v>Large Cap</v>
      </c>
      <c r="P176" t="str">
        <f>IF(Table1[[#This Row],[NET_TRDQTY]]&gt;1000000,"High Volume","Low Volume")</f>
        <v>Low Volume</v>
      </c>
    </row>
    <row r="177" spans="1:16" x14ac:dyDescent="0.3">
      <c r="A177" t="s">
        <v>361</v>
      </c>
      <c r="B177" t="s">
        <v>362</v>
      </c>
      <c r="C177">
        <v>476</v>
      </c>
      <c r="D177">
        <v>476</v>
      </c>
      <c r="E177">
        <v>450</v>
      </c>
      <c r="F177">
        <v>454.2</v>
      </c>
      <c r="G177">
        <v>471</v>
      </c>
      <c r="H177">
        <v>55164</v>
      </c>
      <c r="I177">
        <v>3511</v>
      </c>
      <c r="J177">
        <v>51963568560</v>
      </c>
      <c r="K177">
        <v>114406800</v>
      </c>
      <c r="L177">
        <f>(Table1[[#This Row],[CLOSE_PRICE]] - Table1[[#This Row],[PREV_CL_PR]]) / Table1[[#This Row],[PREV_CL_PR]] * 100</f>
        <v>-3.5668789808917225</v>
      </c>
      <c r="M177">
        <f>Table1[[#This Row],[HIGH_PRICE]]-Table1[[#This Row],[LOW_PRICE]]</f>
        <v>26</v>
      </c>
      <c r="N177" t="str">
        <f>IF(Table1[[#This Row],[CLOSE_PRICE]]&gt;Table1[[#This Row],[OPEN_PRICE]],"Gain","Loss")</f>
        <v>Loss</v>
      </c>
      <c r="O177" t="str">
        <f>IF(Table1[[#This Row],[MARKET_CAP]]&gt;200000000000,"Large Cap",
IF(Table1[[#This Row],[MARKET_CAP]]&gt;50000000000,"Mid Cap","Small Cap"))</f>
        <v>Mid Cap</v>
      </c>
      <c r="P177" t="str">
        <f>IF(Table1[[#This Row],[NET_TRDQTY]]&gt;1000000,"High Volume","Low Volume")</f>
        <v>Low Volume</v>
      </c>
    </row>
    <row r="178" spans="1:16" x14ac:dyDescent="0.3">
      <c r="A178" t="s">
        <v>363</v>
      </c>
      <c r="B178" t="s">
        <v>364</v>
      </c>
      <c r="C178">
        <v>108.5</v>
      </c>
      <c r="D178">
        <v>108.5</v>
      </c>
      <c r="E178">
        <v>100</v>
      </c>
      <c r="F178">
        <v>100.87</v>
      </c>
      <c r="G178">
        <v>108.52</v>
      </c>
      <c r="H178">
        <v>547244</v>
      </c>
      <c r="I178">
        <v>4184</v>
      </c>
      <c r="J178">
        <v>19850777216</v>
      </c>
      <c r="K178">
        <v>196795650</v>
      </c>
      <c r="L178">
        <f>(Table1[[#This Row],[CLOSE_PRICE]] - Table1[[#This Row],[PREV_CL_PR]]) / Table1[[#This Row],[PREV_CL_PR]] * 100</f>
        <v>-7.0493918171765495</v>
      </c>
      <c r="M178">
        <f>Table1[[#This Row],[HIGH_PRICE]]-Table1[[#This Row],[LOW_PRICE]]</f>
        <v>8.5</v>
      </c>
      <c r="N178" t="str">
        <f>IF(Table1[[#This Row],[CLOSE_PRICE]]&gt;Table1[[#This Row],[OPEN_PRICE]],"Gain","Loss")</f>
        <v>Loss</v>
      </c>
      <c r="O178" t="str">
        <f>IF(Table1[[#This Row],[MARKET_CAP]]&gt;200000000000,"Large Cap",
IF(Table1[[#This Row],[MARKET_CAP]]&gt;50000000000,"Mid Cap","Small Cap"))</f>
        <v>Small Cap</v>
      </c>
      <c r="P178" t="str">
        <f>IF(Table1[[#This Row],[NET_TRDQTY]]&gt;1000000,"High Volume","Low Volume")</f>
        <v>Low Volume</v>
      </c>
    </row>
    <row r="179" spans="1:16" x14ac:dyDescent="0.3">
      <c r="A179" t="s">
        <v>365</v>
      </c>
      <c r="B179" t="s">
        <v>366</v>
      </c>
      <c r="C179">
        <v>4.24</v>
      </c>
      <c r="D179">
        <v>4.24</v>
      </c>
      <c r="E179">
        <v>4</v>
      </c>
      <c r="F179">
        <v>4.05</v>
      </c>
      <c r="G179">
        <v>4.26</v>
      </c>
      <c r="H179">
        <v>648653</v>
      </c>
      <c r="I179">
        <v>717</v>
      </c>
      <c r="J179">
        <v>697586571.89999998</v>
      </c>
      <c r="K179">
        <v>172243598</v>
      </c>
      <c r="L179">
        <f>(Table1[[#This Row],[CLOSE_PRICE]] - Table1[[#This Row],[PREV_CL_PR]]) / Table1[[#This Row],[PREV_CL_PR]] * 100</f>
        <v>-4.929577464788732</v>
      </c>
      <c r="M179">
        <f>Table1[[#This Row],[HIGH_PRICE]]-Table1[[#This Row],[LOW_PRICE]]</f>
        <v>0.24000000000000021</v>
      </c>
      <c r="N179" t="str">
        <f>IF(Table1[[#This Row],[CLOSE_PRICE]]&gt;Table1[[#This Row],[OPEN_PRICE]],"Gain","Loss")</f>
        <v>Loss</v>
      </c>
      <c r="O179" t="str">
        <f>IF(Table1[[#This Row],[MARKET_CAP]]&gt;200000000000,"Large Cap",
IF(Table1[[#This Row],[MARKET_CAP]]&gt;50000000000,"Mid Cap","Small Cap"))</f>
        <v>Small Cap</v>
      </c>
      <c r="P179" t="str">
        <f>IF(Table1[[#This Row],[NET_TRDQTY]]&gt;1000000,"High Volume","Low Volume")</f>
        <v>Low Volume</v>
      </c>
    </row>
    <row r="180" spans="1:16" x14ac:dyDescent="0.3">
      <c r="A180" t="s">
        <v>367</v>
      </c>
      <c r="B180" t="s">
        <v>368</v>
      </c>
      <c r="C180">
        <v>25.09</v>
      </c>
      <c r="D180">
        <v>26</v>
      </c>
      <c r="E180">
        <v>24.32</v>
      </c>
      <c r="F180">
        <v>24.73</v>
      </c>
      <c r="G180">
        <v>25.61</v>
      </c>
      <c r="H180">
        <v>5782</v>
      </c>
      <c r="I180">
        <v>61</v>
      </c>
      <c r="J180">
        <v>417010465.80000001</v>
      </c>
      <c r="K180">
        <v>16862534</v>
      </c>
      <c r="L180">
        <f>(Table1[[#This Row],[CLOSE_PRICE]] - Table1[[#This Row],[PREV_CL_PR]]) / Table1[[#This Row],[PREV_CL_PR]] * 100</f>
        <v>-3.4361577508785595</v>
      </c>
      <c r="M180">
        <f>Table1[[#This Row],[HIGH_PRICE]]-Table1[[#This Row],[LOW_PRICE]]</f>
        <v>1.6799999999999997</v>
      </c>
      <c r="N180" t="str">
        <f>IF(Table1[[#This Row],[CLOSE_PRICE]]&gt;Table1[[#This Row],[OPEN_PRICE]],"Gain","Loss")</f>
        <v>Loss</v>
      </c>
      <c r="O180" t="str">
        <f>IF(Table1[[#This Row],[MARKET_CAP]]&gt;200000000000,"Large Cap",
IF(Table1[[#This Row],[MARKET_CAP]]&gt;50000000000,"Mid Cap","Small Cap"))</f>
        <v>Small Cap</v>
      </c>
      <c r="P180" t="str">
        <f>IF(Table1[[#This Row],[NET_TRDQTY]]&gt;1000000,"High Volume","Low Volume")</f>
        <v>Low Volume</v>
      </c>
    </row>
    <row r="181" spans="1:16" x14ac:dyDescent="0.3">
      <c r="A181" t="s">
        <v>369</v>
      </c>
      <c r="B181" t="s">
        <v>370</v>
      </c>
      <c r="C181">
        <v>11.05</v>
      </c>
      <c r="D181">
        <v>11.05</v>
      </c>
      <c r="E181">
        <v>10.36</v>
      </c>
      <c r="F181">
        <v>10.43</v>
      </c>
      <c r="G181">
        <v>10.82</v>
      </c>
      <c r="H181">
        <v>29824</v>
      </c>
      <c r="I181">
        <v>146</v>
      </c>
      <c r="J181">
        <v>331429687.69999999</v>
      </c>
      <c r="K181">
        <v>31776576</v>
      </c>
      <c r="L181">
        <f>(Table1[[#This Row],[CLOSE_PRICE]] - Table1[[#This Row],[PREV_CL_PR]]) / Table1[[#This Row],[PREV_CL_PR]] * 100</f>
        <v>-3.6044362292051808</v>
      </c>
      <c r="M181">
        <f>Table1[[#This Row],[HIGH_PRICE]]-Table1[[#This Row],[LOW_PRICE]]</f>
        <v>0.69000000000000128</v>
      </c>
      <c r="N181" t="str">
        <f>IF(Table1[[#This Row],[CLOSE_PRICE]]&gt;Table1[[#This Row],[OPEN_PRICE]],"Gain","Loss")</f>
        <v>Loss</v>
      </c>
      <c r="O181" t="str">
        <f>IF(Table1[[#This Row],[MARKET_CAP]]&gt;200000000000,"Large Cap",
IF(Table1[[#This Row],[MARKET_CAP]]&gt;50000000000,"Mid Cap","Small Cap"))</f>
        <v>Small Cap</v>
      </c>
      <c r="P181" t="str">
        <f>IF(Table1[[#This Row],[NET_TRDQTY]]&gt;1000000,"High Volume","Low Volume")</f>
        <v>Low Volume</v>
      </c>
    </row>
    <row r="182" spans="1:16" x14ac:dyDescent="0.3">
      <c r="A182" t="s">
        <v>371</v>
      </c>
      <c r="B182" t="s">
        <v>372</v>
      </c>
      <c r="C182">
        <v>4.6500000000000004</v>
      </c>
      <c r="D182">
        <v>4.6900000000000004</v>
      </c>
      <c r="E182">
        <v>4.21</v>
      </c>
      <c r="F182">
        <v>4.37</v>
      </c>
      <c r="G182">
        <v>4.59</v>
      </c>
      <c r="H182">
        <v>366998</v>
      </c>
      <c r="I182">
        <v>301</v>
      </c>
      <c r="J182">
        <v>451010027.69999999</v>
      </c>
      <c r="K182">
        <v>103205956</v>
      </c>
      <c r="L182">
        <f>(Table1[[#This Row],[CLOSE_PRICE]] - Table1[[#This Row],[PREV_CL_PR]]) / Table1[[#This Row],[PREV_CL_PR]] * 100</f>
        <v>-4.7930283224400823</v>
      </c>
      <c r="M182">
        <f>Table1[[#This Row],[HIGH_PRICE]]-Table1[[#This Row],[LOW_PRICE]]</f>
        <v>0.48000000000000043</v>
      </c>
      <c r="N182" t="str">
        <f>IF(Table1[[#This Row],[CLOSE_PRICE]]&gt;Table1[[#This Row],[OPEN_PRICE]],"Gain","Loss")</f>
        <v>Loss</v>
      </c>
      <c r="O182" t="str">
        <f>IF(Table1[[#This Row],[MARKET_CAP]]&gt;200000000000,"Large Cap",
IF(Table1[[#This Row],[MARKET_CAP]]&gt;50000000000,"Mid Cap","Small Cap"))</f>
        <v>Small Cap</v>
      </c>
      <c r="P182" t="str">
        <f>IF(Table1[[#This Row],[NET_TRDQTY]]&gt;1000000,"High Volume","Low Volume")</f>
        <v>Low Volume</v>
      </c>
    </row>
    <row r="183" spans="1:16" x14ac:dyDescent="0.3">
      <c r="A183" t="s">
        <v>373</v>
      </c>
      <c r="B183" t="s">
        <v>374</v>
      </c>
      <c r="C183">
        <v>0.4</v>
      </c>
      <c r="D183">
        <v>0.41</v>
      </c>
      <c r="E183">
        <v>0.39</v>
      </c>
      <c r="F183">
        <v>0.4</v>
      </c>
      <c r="G183">
        <v>0.4</v>
      </c>
      <c r="H183">
        <v>1265384</v>
      </c>
      <c r="I183">
        <v>534</v>
      </c>
      <c r="J183">
        <v>314987400</v>
      </c>
      <c r="K183">
        <v>787468500</v>
      </c>
      <c r="L183">
        <f>(Table1[[#This Row],[CLOSE_PRICE]] - Table1[[#This Row],[PREV_CL_PR]]) / Table1[[#This Row],[PREV_CL_PR]] * 100</f>
        <v>0</v>
      </c>
      <c r="M183">
        <f>Table1[[#This Row],[HIGH_PRICE]]-Table1[[#This Row],[LOW_PRICE]]</f>
        <v>1.9999999999999962E-2</v>
      </c>
      <c r="N183" t="str">
        <f>IF(Table1[[#This Row],[CLOSE_PRICE]]&gt;Table1[[#This Row],[OPEN_PRICE]],"Gain","Loss")</f>
        <v>Loss</v>
      </c>
      <c r="O183" t="str">
        <f>IF(Table1[[#This Row],[MARKET_CAP]]&gt;200000000000,"Large Cap",
IF(Table1[[#This Row],[MARKET_CAP]]&gt;50000000000,"Mid Cap","Small Cap"))</f>
        <v>Small Cap</v>
      </c>
      <c r="P183" t="str">
        <f>IF(Table1[[#This Row],[NET_TRDQTY]]&gt;1000000,"High Volume","Low Volume")</f>
        <v>High Volume</v>
      </c>
    </row>
    <row r="184" spans="1:16" x14ac:dyDescent="0.3">
      <c r="A184" t="s">
        <v>375</v>
      </c>
      <c r="B184" t="s">
        <v>376</v>
      </c>
      <c r="C184">
        <v>184.05</v>
      </c>
      <c r="D184">
        <v>184.05</v>
      </c>
      <c r="E184">
        <v>170</v>
      </c>
      <c r="F184">
        <v>172.15</v>
      </c>
      <c r="G184">
        <v>184.03</v>
      </c>
      <c r="H184">
        <v>4042</v>
      </c>
      <c r="I184">
        <v>222</v>
      </c>
      <c r="J184">
        <v>1382897993</v>
      </c>
      <c r="K184">
        <v>8033099</v>
      </c>
      <c r="L184">
        <f>(Table1[[#This Row],[CLOSE_PRICE]] - Table1[[#This Row],[PREV_CL_PR]]) / Table1[[#This Row],[PREV_CL_PR]] * 100</f>
        <v>-6.4554692169754899</v>
      </c>
      <c r="M184">
        <f>Table1[[#This Row],[HIGH_PRICE]]-Table1[[#This Row],[LOW_PRICE]]</f>
        <v>14.050000000000011</v>
      </c>
      <c r="N184" t="str">
        <f>IF(Table1[[#This Row],[CLOSE_PRICE]]&gt;Table1[[#This Row],[OPEN_PRICE]],"Gain","Loss")</f>
        <v>Loss</v>
      </c>
      <c r="O184" t="str">
        <f>IF(Table1[[#This Row],[MARKET_CAP]]&gt;200000000000,"Large Cap",
IF(Table1[[#This Row],[MARKET_CAP]]&gt;50000000000,"Mid Cap","Small Cap"))</f>
        <v>Small Cap</v>
      </c>
      <c r="P184" t="str">
        <f>IF(Table1[[#This Row],[NET_TRDQTY]]&gt;1000000,"High Volume","Low Volume")</f>
        <v>Low Volume</v>
      </c>
    </row>
    <row r="185" spans="1:16" x14ac:dyDescent="0.3">
      <c r="A185" t="s">
        <v>377</v>
      </c>
      <c r="B185" t="s">
        <v>378</v>
      </c>
      <c r="C185">
        <v>4.59</v>
      </c>
      <c r="D185">
        <v>4.59</v>
      </c>
      <c r="E185">
        <v>4.4000000000000004</v>
      </c>
      <c r="F185">
        <v>4.4000000000000004</v>
      </c>
      <c r="G185">
        <v>4.5999999999999996</v>
      </c>
      <c r="H185">
        <v>387659</v>
      </c>
      <c r="I185">
        <v>473</v>
      </c>
      <c r="J185">
        <v>715871072.39999998</v>
      </c>
      <c r="K185">
        <v>162697971</v>
      </c>
      <c r="L185">
        <f>(Table1[[#This Row],[CLOSE_PRICE]] - Table1[[#This Row],[PREV_CL_PR]]) / Table1[[#This Row],[PREV_CL_PR]] * 100</f>
        <v>-4.3478260869565064</v>
      </c>
      <c r="M185">
        <f>Table1[[#This Row],[HIGH_PRICE]]-Table1[[#This Row],[LOW_PRICE]]</f>
        <v>0.1899999999999995</v>
      </c>
      <c r="N185" t="str">
        <f>IF(Table1[[#This Row],[CLOSE_PRICE]]&gt;Table1[[#This Row],[OPEN_PRICE]],"Gain","Loss")</f>
        <v>Loss</v>
      </c>
      <c r="O185" t="str">
        <f>IF(Table1[[#This Row],[MARKET_CAP]]&gt;200000000000,"Large Cap",
IF(Table1[[#This Row],[MARKET_CAP]]&gt;50000000000,"Mid Cap","Small Cap"))</f>
        <v>Small Cap</v>
      </c>
      <c r="P185" t="str">
        <f>IF(Table1[[#This Row],[NET_TRDQTY]]&gt;1000000,"High Volume","Low Volume")</f>
        <v>Low Volume</v>
      </c>
    </row>
    <row r="186" spans="1:16" x14ac:dyDescent="0.3">
      <c r="A186" t="s">
        <v>379</v>
      </c>
      <c r="B186" t="s">
        <v>380</v>
      </c>
      <c r="C186">
        <v>482.9</v>
      </c>
      <c r="D186">
        <v>483</v>
      </c>
      <c r="E186">
        <v>463</v>
      </c>
      <c r="F186">
        <v>467.4</v>
      </c>
      <c r="G186">
        <v>483.4</v>
      </c>
      <c r="H186">
        <v>109384</v>
      </c>
      <c r="I186">
        <v>4645</v>
      </c>
      <c r="J186">
        <v>73565949991</v>
      </c>
      <c r="K186">
        <v>157393988</v>
      </c>
      <c r="L186">
        <f>(Table1[[#This Row],[CLOSE_PRICE]] - Table1[[#This Row],[PREV_CL_PR]]) / Table1[[#This Row],[PREV_CL_PR]] * 100</f>
        <v>-3.3098882912701697</v>
      </c>
      <c r="M186">
        <f>Table1[[#This Row],[HIGH_PRICE]]-Table1[[#This Row],[LOW_PRICE]]</f>
        <v>20</v>
      </c>
      <c r="N186" t="str">
        <f>IF(Table1[[#This Row],[CLOSE_PRICE]]&gt;Table1[[#This Row],[OPEN_PRICE]],"Gain","Loss")</f>
        <v>Loss</v>
      </c>
      <c r="O186" t="str">
        <f>IF(Table1[[#This Row],[MARKET_CAP]]&gt;200000000000,"Large Cap",
IF(Table1[[#This Row],[MARKET_CAP]]&gt;50000000000,"Mid Cap","Small Cap"))</f>
        <v>Mid Cap</v>
      </c>
      <c r="P186" t="str">
        <f>IF(Table1[[#This Row],[NET_TRDQTY]]&gt;1000000,"High Volume","Low Volume")</f>
        <v>Low Volume</v>
      </c>
    </row>
    <row r="187" spans="1:16" x14ac:dyDescent="0.3">
      <c r="A187" t="s">
        <v>381</v>
      </c>
      <c r="B187" t="s">
        <v>382</v>
      </c>
      <c r="C187">
        <v>2844</v>
      </c>
      <c r="D187">
        <v>2869.7</v>
      </c>
      <c r="E187">
        <v>2743.2</v>
      </c>
      <c r="F187">
        <v>2847.4</v>
      </c>
      <c r="G187">
        <v>2885.1</v>
      </c>
      <c r="H187">
        <v>25290</v>
      </c>
      <c r="I187">
        <v>6576</v>
      </c>
      <c r="J187">
        <v>130000000000</v>
      </c>
      <c r="K187">
        <v>45540314</v>
      </c>
      <c r="L187">
        <f>(Table1[[#This Row],[CLOSE_PRICE]] - Table1[[#This Row],[PREV_CL_PR]]) / Table1[[#This Row],[PREV_CL_PR]] * 100</f>
        <v>-1.3067138054140175</v>
      </c>
      <c r="M187">
        <f>Table1[[#This Row],[HIGH_PRICE]]-Table1[[#This Row],[LOW_PRICE]]</f>
        <v>126.5</v>
      </c>
      <c r="N187" t="str">
        <f>IF(Table1[[#This Row],[CLOSE_PRICE]]&gt;Table1[[#This Row],[OPEN_PRICE]],"Gain","Loss")</f>
        <v>Gain</v>
      </c>
      <c r="O187" t="str">
        <f>IF(Table1[[#This Row],[MARKET_CAP]]&gt;200000000000,"Large Cap",
IF(Table1[[#This Row],[MARKET_CAP]]&gt;50000000000,"Mid Cap","Small Cap"))</f>
        <v>Mid Cap</v>
      </c>
      <c r="P187" t="str">
        <f>IF(Table1[[#This Row],[NET_TRDQTY]]&gt;1000000,"High Volume","Low Volume")</f>
        <v>Low Volume</v>
      </c>
    </row>
    <row r="188" spans="1:16" x14ac:dyDescent="0.3">
      <c r="A188" t="s">
        <v>383</v>
      </c>
      <c r="B188" t="s">
        <v>384</v>
      </c>
      <c r="C188">
        <v>7.7</v>
      </c>
      <c r="D188">
        <v>7.7</v>
      </c>
      <c r="E188">
        <v>7.05</v>
      </c>
      <c r="F188">
        <v>7.11</v>
      </c>
      <c r="G188">
        <v>7.54</v>
      </c>
      <c r="H188">
        <v>499248</v>
      </c>
      <c r="I188">
        <v>1567</v>
      </c>
      <c r="J188">
        <v>1927934091</v>
      </c>
      <c r="K188">
        <v>271158100</v>
      </c>
      <c r="L188">
        <f>(Table1[[#This Row],[CLOSE_PRICE]] - Table1[[#This Row],[PREV_CL_PR]]) / Table1[[#This Row],[PREV_CL_PR]] * 100</f>
        <v>-5.7029177718832855</v>
      </c>
      <c r="M188">
        <f>Table1[[#This Row],[HIGH_PRICE]]-Table1[[#This Row],[LOW_PRICE]]</f>
        <v>0.65000000000000036</v>
      </c>
      <c r="N188" t="str">
        <f>IF(Table1[[#This Row],[CLOSE_PRICE]]&gt;Table1[[#This Row],[OPEN_PRICE]],"Gain","Loss")</f>
        <v>Loss</v>
      </c>
      <c r="O188" t="str">
        <f>IF(Table1[[#This Row],[MARKET_CAP]]&gt;200000000000,"Large Cap",
IF(Table1[[#This Row],[MARKET_CAP]]&gt;50000000000,"Mid Cap","Small Cap"))</f>
        <v>Small Cap</v>
      </c>
      <c r="P188" t="str">
        <f>IF(Table1[[#This Row],[NET_TRDQTY]]&gt;1000000,"High Volume","Low Volume")</f>
        <v>Low Volume</v>
      </c>
    </row>
    <row r="189" spans="1:16" x14ac:dyDescent="0.3">
      <c r="A189" t="s">
        <v>385</v>
      </c>
      <c r="B189" t="s">
        <v>386</v>
      </c>
      <c r="C189">
        <v>667.95</v>
      </c>
      <c r="D189">
        <v>667.95</v>
      </c>
      <c r="E189">
        <v>639</v>
      </c>
      <c r="F189">
        <v>647.6</v>
      </c>
      <c r="G189">
        <v>658.5</v>
      </c>
      <c r="H189">
        <v>7066</v>
      </c>
      <c r="I189">
        <v>604</v>
      </c>
      <c r="J189">
        <v>3695958111</v>
      </c>
      <c r="K189">
        <v>5707162</v>
      </c>
      <c r="L189">
        <f>(Table1[[#This Row],[CLOSE_PRICE]] - Table1[[#This Row],[PREV_CL_PR]]) / Table1[[#This Row],[PREV_CL_PR]] * 100</f>
        <v>-1.6552771450265722</v>
      </c>
      <c r="M189">
        <f>Table1[[#This Row],[HIGH_PRICE]]-Table1[[#This Row],[LOW_PRICE]]</f>
        <v>28.950000000000045</v>
      </c>
      <c r="N189" t="str">
        <f>IF(Table1[[#This Row],[CLOSE_PRICE]]&gt;Table1[[#This Row],[OPEN_PRICE]],"Gain","Loss")</f>
        <v>Loss</v>
      </c>
      <c r="O189" t="str">
        <f>IF(Table1[[#This Row],[MARKET_CAP]]&gt;200000000000,"Large Cap",
IF(Table1[[#This Row],[MARKET_CAP]]&gt;50000000000,"Mid Cap","Small Cap"))</f>
        <v>Small Cap</v>
      </c>
      <c r="P189" t="str">
        <f>IF(Table1[[#This Row],[NET_TRDQTY]]&gt;1000000,"High Volume","Low Volume")</f>
        <v>Low Volume</v>
      </c>
    </row>
    <row r="190" spans="1:16" x14ac:dyDescent="0.3">
      <c r="A190" t="s">
        <v>387</v>
      </c>
      <c r="B190" t="s">
        <v>388</v>
      </c>
      <c r="C190">
        <v>77.78</v>
      </c>
      <c r="D190">
        <v>78.37</v>
      </c>
      <c r="E190">
        <v>74.930000000000007</v>
      </c>
      <c r="F190">
        <v>75.33</v>
      </c>
      <c r="G190">
        <v>79.900000000000006</v>
      </c>
      <c r="H190">
        <v>490303</v>
      </c>
      <c r="I190">
        <v>4703</v>
      </c>
      <c r="J190">
        <v>19343375103</v>
      </c>
      <c r="K190">
        <v>256781828</v>
      </c>
      <c r="L190">
        <f>(Table1[[#This Row],[CLOSE_PRICE]] - Table1[[#This Row],[PREV_CL_PR]]) / Table1[[#This Row],[PREV_CL_PR]] * 100</f>
        <v>-5.7196495619524494</v>
      </c>
      <c r="M190">
        <f>Table1[[#This Row],[HIGH_PRICE]]-Table1[[#This Row],[LOW_PRICE]]</f>
        <v>3.4399999999999977</v>
      </c>
      <c r="N190" t="str">
        <f>IF(Table1[[#This Row],[CLOSE_PRICE]]&gt;Table1[[#This Row],[OPEN_PRICE]],"Gain","Loss")</f>
        <v>Loss</v>
      </c>
      <c r="O190" t="str">
        <f>IF(Table1[[#This Row],[MARKET_CAP]]&gt;200000000000,"Large Cap",
IF(Table1[[#This Row],[MARKET_CAP]]&gt;50000000000,"Mid Cap","Small Cap"))</f>
        <v>Small Cap</v>
      </c>
      <c r="P190" t="str">
        <f>IF(Table1[[#This Row],[NET_TRDQTY]]&gt;1000000,"High Volume","Low Volume")</f>
        <v>Low Volume</v>
      </c>
    </row>
    <row r="191" spans="1:16" x14ac:dyDescent="0.3">
      <c r="A191" t="s">
        <v>389</v>
      </c>
      <c r="B191" t="s">
        <v>390</v>
      </c>
      <c r="C191">
        <v>54.16</v>
      </c>
      <c r="D191">
        <v>54.49</v>
      </c>
      <c r="E191">
        <v>47.8</v>
      </c>
      <c r="F191">
        <v>50.16</v>
      </c>
      <c r="G191">
        <v>54.65</v>
      </c>
      <c r="H191">
        <v>915324</v>
      </c>
      <c r="I191">
        <v>1975</v>
      </c>
      <c r="J191">
        <v>14099776765</v>
      </c>
      <c r="K191">
        <v>281096028</v>
      </c>
      <c r="L191">
        <f>(Table1[[#This Row],[CLOSE_PRICE]] - Table1[[#This Row],[PREV_CL_PR]]) / Table1[[#This Row],[PREV_CL_PR]] * 100</f>
        <v>-8.2159194876486783</v>
      </c>
      <c r="M191">
        <f>Table1[[#This Row],[HIGH_PRICE]]-Table1[[#This Row],[LOW_PRICE]]</f>
        <v>6.6900000000000048</v>
      </c>
      <c r="N191" t="str">
        <f>IF(Table1[[#This Row],[CLOSE_PRICE]]&gt;Table1[[#This Row],[OPEN_PRICE]],"Gain","Loss")</f>
        <v>Loss</v>
      </c>
      <c r="O191" t="str">
        <f>IF(Table1[[#This Row],[MARKET_CAP]]&gt;200000000000,"Large Cap",
IF(Table1[[#This Row],[MARKET_CAP]]&gt;50000000000,"Mid Cap","Small Cap"))</f>
        <v>Small Cap</v>
      </c>
      <c r="P191" t="str">
        <f>IF(Table1[[#This Row],[NET_TRDQTY]]&gt;1000000,"High Volume","Low Volume")</f>
        <v>Low Volume</v>
      </c>
    </row>
    <row r="192" spans="1:16" x14ac:dyDescent="0.3">
      <c r="A192" t="s">
        <v>391</v>
      </c>
      <c r="B192" t="s">
        <v>392</v>
      </c>
      <c r="C192">
        <v>650.79999999999995</v>
      </c>
      <c r="D192">
        <v>652.70000000000005</v>
      </c>
      <c r="E192">
        <v>598</v>
      </c>
      <c r="F192">
        <v>607.6</v>
      </c>
      <c r="G192">
        <v>647.35</v>
      </c>
      <c r="H192">
        <v>11403</v>
      </c>
      <c r="I192">
        <v>1214</v>
      </c>
      <c r="J192">
        <v>9926263984</v>
      </c>
      <c r="K192">
        <v>16336840</v>
      </c>
      <c r="L192">
        <f>(Table1[[#This Row],[CLOSE_PRICE]] - Table1[[#This Row],[PREV_CL_PR]]) / Table1[[#This Row],[PREV_CL_PR]] * 100</f>
        <v>-6.1404186297984085</v>
      </c>
      <c r="M192">
        <f>Table1[[#This Row],[HIGH_PRICE]]-Table1[[#This Row],[LOW_PRICE]]</f>
        <v>54.700000000000045</v>
      </c>
      <c r="N192" t="str">
        <f>IF(Table1[[#This Row],[CLOSE_PRICE]]&gt;Table1[[#This Row],[OPEN_PRICE]],"Gain","Loss")</f>
        <v>Loss</v>
      </c>
      <c r="O192" t="str">
        <f>IF(Table1[[#This Row],[MARKET_CAP]]&gt;200000000000,"Large Cap",
IF(Table1[[#This Row],[MARKET_CAP]]&gt;50000000000,"Mid Cap","Small Cap"))</f>
        <v>Small Cap</v>
      </c>
      <c r="P192" t="str">
        <f>IF(Table1[[#This Row],[NET_TRDQTY]]&gt;1000000,"High Volume","Low Volume")</f>
        <v>Low Volume</v>
      </c>
    </row>
    <row r="193" spans="1:16" x14ac:dyDescent="0.3">
      <c r="A193" t="s">
        <v>393</v>
      </c>
      <c r="B193" t="s">
        <v>394</v>
      </c>
      <c r="C193">
        <v>939</v>
      </c>
      <c r="D193">
        <v>945</v>
      </c>
      <c r="E193">
        <v>916.75</v>
      </c>
      <c r="F193">
        <v>934.15</v>
      </c>
      <c r="G193">
        <v>949.8</v>
      </c>
      <c r="H193">
        <v>106165</v>
      </c>
      <c r="I193">
        <v>7683</v>
      </c>
      <c r="J193">
        <v>115000000000</v>
      </c>
      <c r="K193">
        <v>122681348</v>
      </c>
      <c r="L193">
        <f>(Table1[[#This Row],[CLOSE_PRICE]] - Table1[[#This Row],[PREV_CL_PR]]) / Table1[[#This Row],[PREV_CL_PR]] * 100</f>
        <v>-1.6477153084859948</v>
      </c>
      <c r="M193">
        <f>Table1[[#This Row],[HIGH_PRICE]]-Table1[[#This Row],[LOW_PRICE]]</f>
        <v>28.25</v>
      </c>
      <c r="N193" t="str">
        <f>IF(Table1[[#This Row],[CLOSE_PRICE]]&gt;Table1[[#This Row],[OPEN_PRICE]],"Gain","Loss")</f>
        <v>Loss</v>
      </c>
      <c r="O193" t="str">
        <f>IF(Table1[[#This Row],[MARKET_CAP]]&gt;200000000000,"Large Cap",
IF(Table1[[#This Row],[MARKET_CAP]]&gt;50000000000,"Mid Cap","Small Cap"))</f>
        <v>Mid Cap</v>
      </c>
      <c r="P193" t="str">
        <f>IF(Table1[[#This Row],[NET_TRDQTY]]&gt;1000000,"High Volume","Low Volume")</f>
        <v>Low Volume</v>
      </c>
    </row>
    <row r="194" spans="1:16" x14ac:dyDescent="0.3">
      <c r="A194" t="s">
        <v>395</v>
      </c>
      <c r="B194" t="s">
        <v>396</v>
      </c>
      <c r="C194">
        <v>55.2</v>
      </c>
      <c r="D194">
        <v>56.23</v>
      </c>
      <c r="E194">
        <v>53.1</v>
      </c>
      <c r="F194">
        <v>53.91</v>
      </c>
      <c r="G194">
        <v>55.14</v>
      </c>
      <c r="H194">
        <v>11619</v>
      </c>
      <c r="I194">
        <v>221</v>
      </c>
      <c r="J194">
        <v>548938898.5</v>
      </c>
      <c r="K194">
        <v>10182506</v>
      </c>
      <c r="L194">
        <f>(Table1[[#This Row],[CLOSE_PRICE]] - Table1[[#This Row],[PREV_CL_PR]]) / Table1[[#This Row],[PREV_CL_PR]] * 100</f>
        <v>-2.2306855277475588</v>
      </c>
      <c r="M194">
        <f>Table1[[#This Row],[HIGH_PRICE]]-Table1[[#This Row],[LOW_PRICE]]</f>
        <v>3.1299999999999955</v>
      </c>
      <c r="N194" t="str">
        <f>IF(Table1[[#This Row],[CLOSE_PRICE]]&gt;Table1[[#This Row],[OPEN_PRICE]],"Gain","Loss")</f>
        <v>Loss</v>
      </c>
      <c r="O194" t="str">
        <f>IF(Table1[[#This Row],[MARKET_CAP]]&gt;200000000000,"Large Cap",
IF(Table1[[#This Row],[MARKET_CAP]]&gt;50000000000,"Mid Cap","Small Cap"))</f>
        <v>Small Cap</v>
      </c>
      <c r="P194" t="str">
        <f>IF(Table1[[#This Row],[NET_TRDQTY]]&gt;1000000,"High Volume","Low Volume")</f>
        <v>Low Volume</v>
      </c>
    </row>
    <row r="195" spans="1:16" x14ac:dyDescent="0.3">
      <c r="A195" t="s">
        <v>397</v>
      </c>
      <c r="B195" t="s">
        <v>398</v>
      </c>
      <c r="C195">
        <v>5260</v>
      </c>
      <c r="D195">
        <v>5272.5</v>
      </c>
      <c r="E195">
        <v>5111.5</v>
      </c>
      <c r="F195">
        <v>5144.5</v>
      </c>
      <c r="G195">
        <v>5257.5</v>
      </c>
      <c r="H195">
        <v>110544</v>
      </c>
      <c r="I195">
        <v>23945</v>
      </c>
      <c r="J195">
        <v>615000000000</v>
      </c>
      <c r="K195">
        <v>119565000</v>
      </c>
      <c r="L195">
        <f>(Table1[[#This Row],[CLOSE_PRICE]] - Table1[[#This Row],[PREV_CL_PR]]) / Table1[[#This Row],[PREV_CL_PR]] * 100</f>
        <v>-2.1493105087969568</v>
      </c>
      <c r="M195">
        <f>Table1[[#This Row],[HIGH_PRICE]]-Table1[[#This Row],[LOW_PRICE]]</f>
        <v>161</v>
      </c>
      <c r="N195" t="str">
        <f>IF(Table1[[#This Row],[CLOSE_PRICE]]&gt;Table1[[#This Row],[OPEN_PRICE]],"Gain","Loss")</f>
        <v>Loss</v>
      </c>
      <c r="O195" t="str">
        <f>IF(Table1[[#This Row],[MARKET_CAP]]&gt;200000000000,"Large Cap",
IF(Table1[[#This Row],[MARKET_CAP]]&gt;50000000000,"Mid Cap","Small Cap"))</f>
        <v>Large Cap</v>
      </c>
      <c r="P195" t="str">
        <f>IF(Table1[[#This Row],[NET_TRDQTY]]&gt;1000000,"High Volume","Low Volume")</f>
        <v>Low Volume</v>
      </c>
    </row>
    <row r="196" spans="1:16" x14ac:dyDescent="0.3">
      <c r="A196" t="s">
        <v>399</v>
      </c>
      <c r="B196" t="s">
        <v>400</v>
      </c>
      <c r="C196">
        <v>1290</v>
      </c>
      <c r="D196">
        <v>1290</v>
      </c>
      <c r="E196">
        <v>1235</v>
      </c>
      <c r="F196">
        <v>1239.4000000000001</v>
      </c>
      <c r="G196">
        <v>1292</v>
      </c>
      <c r="H196">
        <v>52071</v>
      </c>
      <c r="I196">
        <v>7246</v>
      </c>
      <c r="J196">
        <v>63387845094</v>
      </c>
      <c r="K196">
        <v>51143977</v>
      </c>
      <c r="L196">
        <f>(Table1[[#This Row],[CLOSE_PRICE]] - Table1[[#This Row],[PREV_CL_PR]]) / Table1[[#This Row],[PREV_CL_PR]] * 100</f>
        <v>-4.0712074303405501</v>
      </c>
      <c r="M196">
        <f>Table1[[#This Row],[HIGH_PRICE]]-Table1[[#This Row],[LOW_PRICE]]</f>
        <v>55</v>
      </c>
      <c r="N196" t="str">
        <f>IF(Table1[[#This Row],[CLOSE_PRICE]]&gt;Table1[[#This Row],[OPEN_PRICE]],"Gain","Loss")</f>
        <v>Loss</v>
      </c>
      <c r="O196" t="str">
        <f>IF(Table1[[#This Row],[MARKET_CAP]]&gt;200000000000,"Large Cap",
IF(Table1[[#This Row],[MARKET_CAP]]&gt;50000000000,"Mid Cap","Small Cap"))</f>
        <v>Mid Cap</v>
      </c>
      <c r="P196" t="str">
        <f>IF(Table1[[#This Row],[NET_TRDQTY]]&gt;1000000,"High Volume","Low Volume")</f>
        <v>Low Volume</v>
      </c>
    </row>
    <row r="197" spans="1:16" x14ac:dyDescent="0.3">
      <c r="A197" t="s">
        <v>401</v>
      </c>
      <c r="B197" t="s">
        <v>402</v>
      </c>
      <c r="C197">
        <v>8</v>
      </c>
      <c r="D197">
        <v>8</v>
      </c>
      <c r="E197">
        <v>7.6</v>
      </c>
      <c r="F197">
        <v>7.69</v>
      </c>
      <c r="G197">
        <v>8.08</v>
      </c>
      <c r="H197">
        <v>7021579</v>
      </c>
      <c r="I197">
        <v>9526</v>
      </c>
      <c r="J197">
        <v>11517916427</v>
      </c>
      <c r="K197">
        <v>1497778469</v>
      </c>
      <c r="L197">
        <f>(Table1[[#This Row],[CLOSE_PRICE]] - Table1[[#This Row],[PREV_CL_PR]]) / Table1[[#This Row],[PREV_CL_PR]] * 100</f>
        <v>-4.8267326732673226</v>
      </c>
      <c r="M197">
        <f>Table1[[#This Row],[HIGH_PRICE]]-Table1[[#This Row],[LOW_PRICE]]</f>
        <v>0.40000000000000036</v>
      </c>
      <c r="N197" t="str">
        <f>IF(Table1[[#This Row],[CLOSE_PRICE]]&gt;Table1[[#This Row],[OPEN_PRICE]],"Gain","Loss")</f>
        <v>Loss</v>
      </c>
      <c r="O197" t="str">
        <f>IF(Table1[[#This Row],[MARKET_CAP]]&gt;200000000000,"Large Cap",
IF(Table1[[#This Row],[MARKET_CAP]]&gt;50000000000,"Mid Cap","Small Cap"))</f>
        <v>Small Cap</v>
      </c>
      <c r="P197" t="str">
        <f>IF(Table1[[#This Row],[NET_TRDQTY]]&gt;1000000,"High Volume","Low Volume")</f>
        <v>High Volume</v>
      </c>
    </row>
    <row r="198" spans="1:16" x14ac:dyDescent="0.3">
      <c r="A198" t="s">
        <v>403</v>
      </c>
      <c r="B198" t="s">
        <v>404</v>
      </c>
      <c r="C198">
        <v>734.05</v>
      </c>
      <c r="D198">
        <v>735.15</v>
      </c>
      <c r="E198">
        <v>719</v>
      </c>
      <c r="F198">
        <v>722.4</v>
      </c>
      <c r="G198">
        <v>733.8</v>
      </c>
      <c r="H198">
        <v>6796</v>
      </c>
      <c r="I198">
        <v>809</v>
      </c>
      <c r="J198">
        <v>11008166702</v>
      </c>
      <c r="K198">
        <v>15238326</v>
      </c>
      <c r="L198">
        <f>(Table1[[#This Row],[CLOSE_PRICE]] - Table1[[#This Row],[PREV_CL_PR]]) / Table1[[#This Row],[PREV_CL_PR]] * 100</f>
        <v>-1.5535568274734231</v>
      </c>
      <c r="M198">
        <f>Table1[[#This Row],[HIGH_PRICE]]-Table1[[#This Row],[LOW_PRICE]]</f>
        <v>16.149999999999977</v>
      </c>
      <c r="N198" t="str">
        <f>IF(Table1[[#This Row],[CLOSE_PRICE]]&gt;Table1[[#This Row],[OPEN_PRICE]],"Gain","Loss")</f>
        <v>Loss</v>
      </c>
      <c r="O198" t="str">
        <f>IF(Table1[[#This Row],[MARKET_CAP]]&gt;200000000000,"Large Cap",
IF(Table1[[#This Row],[MARKET_CAP]]&gt;50000000000,"Mid Cap","Small Cap"))</f>
        <v>Small Cap</v>
      </c>
      <c r="P198" t="str">
        <f>IF(Table1[[#This Row],[NET_TRDQTY]]&gt;1000000,"High Volume","Low Volume")</f>
        <v>Low Volume</v>
      </c>
    </row>
    <row r="199" spans="1:16" x14ac:dyDescent="0.3">
      <c r="A199" t="s">
        <v>405</v>
      </c>
      <c r="B199" t="s">
        <v>406</v>
      </c>
      <c r="C199">
        <v>209.9</v>
      </c>
      <c r="D199">
        <v>209.9</v>
      </c>
      <c r="E199">
        <v>198.7</v>
      </c>
      <c r="F199">
        <v>202.7</v>
      </c>
      <c r="G199">
        <v>210.78</v>
      </c>
      <c r="H199">
        <v>100295</v>
      </c>
      <c r="I199">
        <v>1807</v>
      </c>
      <c r="J199">
        <v>13278426601</v>
      </c>
      <c r="K199">
        <v>65507778</v>
      </c>
      <c r="L199">
        <f>(Table1[[#This Row],[CLOSE_PRICE]] - Table1[[#This Row],[PREV_CL_PR]]) / Table1[[#This Row],[PREV_CL_PR]] * 100</f>
        <v>-3.8333807761647276</v>
      </c>
      <c r="M199">
        <f>Table1[[#This Row],[HIGH_PRICE]]-Table1[[#This Row],[LOW_PRICE]]</f>
        <v>11.200000000000017</v>
      </c>
      <c r="N199" t="str">
        <f>IF(Table1[[#This Row],[CLOSE_PRICE]]&gt;Table1[[#This Row],[OPEN_PRICE]],"Gain","Loss")</f>
        <v>Loss</v>
      </c>
      <c r="O199" t="str">
        <f>IF(Table1[[#This Row],[MARKET_CAP]]&gt;200000000000,"Large Cap",
IF(Table1[[#This Row],[MARKET_CAP]]&gt;50000000000,"Mid Cap","Small Cap"))</f>
        <v>Small Cap</v>
      </c>
      <c r="P199" t="str">
        <f>IF(Table1[[#This Row],[NET_TRDQTY]]&gt;1000000,"High Volume","Low Volume")</f>
        <v>Low Volume</v>
      </c>
    </row>
    <row r="200" spans="1:16" x14ac:dyDescent="0.3">
      <c r="A200" t="s">
        <v>407</v>
      </c>
      <c r="B200" t="s">
        <v>408</v>
      </c>
      <c r="C200">
        <v>14.22</v>
      </c>
      <c r="D200">
        <v>14.84</v>
      </c>
      <c r="E200">
        <v>13.6</v>
      </c>
      <c r="F200">
        <v>13.63</v>
      </c>
      <c r="G200">
        <v>14.31</v>
      </c>
      <c r="H200">
        <v>110825</v>
      </c>
      <c r="I200">
        <v>351</v>
      </c>
      <c r="J200">
        <v>2366805257</v>
      </c>
      <c r="K200">
        <v>173646754</v>
      </c>
      <c r="L200">
        <f>(Table1[[#This Row],[CLOSE_PRICE]] - Table1[[#This Row],[PREV_CL_PR]]) / Table1[[#This Row],[PREV_CL_PR]] * 100</f>
        <v>-4.7519217330538064</v>
      </c>
      <c r="M200">
        <f>Table1[[#This Row],[HIGH_PRICE]]-Table1[[#This Row],[LOW_PRICE]]</f>
        <v>1.2400000000000002</v>
      </c>
      <c r="N200" t="str">
        <f>IF(Table1[[#This Row],[CLOSE_PRICE]]&gt;Table1[[#This Row],[OPEN_PRICE]],"Gain","Loss")</f>
        <v>Loss</v>
      </c>
      <c r="O200" t="str">
        <f>IF(Table1[[#This Row],[MARKET_CAP]]&gt;200000000000,"Large Cap",
IF(Table1[[#This Row],[MARKET_CAP]]&gt;50000000000,"Mid Cap","Small Cap"))</f>
        <v>Small Cap</v>
      </c>
      <c r="P200" t="str">
        <f>IF(Table1[[#This Row],[NET_TRDQTY]]&gt;1000000,"High Volume","Low Volume")</f>
        <v>Low Volume</v>
      </c>
    </row>
    <row r="201" spans="1:16" x14ac:dyDescent="0.3">
      <c r="A201" t="s">
        <v>409</v>
      </c>
      <c r="B201" t="s">
        <v>410</v>
      </c>
      <c r="C201">
        <v>12.61</v>
      </c>
      <c r="D201">
        <v>12.69</v>
      </c>
      <c r="E201">
        <v>12.05</v>
      </c>
      <c r="F201">
        <v>12.17</v>
      </c>
      <c r="G201">
        <v>12.84</v>
      </c>
      <c r="H201">
        <v>7398995</v>
      </c>
      <c r="I201">
        <v>13384</v>
      </c>
      <c r="J201">
        <v>60426975680</v>
      </c>
      <c r="K201">
        <v>4965240401</v>
      </c>
      <c r="L201">
        <f>(Table1[[#This Row],[CLOSE_PRICE]] - Table1[[#This Row],[PREV_CL_PR]]) / Table1[[#This Row],[PREV_CL_PR]] * 100</f>
        <v>-5.2180685358255445</v>
      </c>
      <c r="M201">
        <f>Table1[[#This Row],[HIGH_PRICE]]-Table1[[#This Row],[LOW_PRICE]]</f>
        <v>0.63999999999999879</v>
      </c>
      <c r="N201" t="str">
        <f>IF(Table1[[#This Row],[CLOSE_PRICE]]&gt;Table1[[#This Row],[OPEN_PRICE]],"Gain","Loss")</f>
        <v>Loss</v>
      </c>
      <c r="O201" t="str">
        <f>IF(Table1[[#This Row],[MARKET_CAP]]&gt;200000000000,"Large Cap",
IF(Table1[[#This Row],[MARKET_CAP]]&gt;50000000000,"Mid Cap","Small Cap"))</f>
        <v>Mid Cap</v>
      </c>
      <c r="P201" t="str">
        <f>IF(Table1[[#This Row],[NET_TRDQTY]]&gt;1000000,"High Volume","Low Volume")</f>
        <v>High Volume</v>
      </c>
    </row>
    <row r="202" spans="1:16" x14ac:dyDescent="0.3">
      <c r="A202" t="s">
        <v>411</v>
      </c>
      <c r="B202" t="s">
        <v>412</v>
      </c>
      <c r="C202">
        <v>60.16</v>
      </c>
      <c r="D202">
        <v>61.25</v>
      </c>
      <c r="E202">
        <v>56.63</v>
      </c>
      <c r="F202">
        <v>57.19</v>
      </c>
      <c r="G202">
        <v>60.17</v>
      </c>
      <c r="H202">
        <v>10921</v>
      </c>
      <c r="I202">
        <v>344</v>
      </c>
      <c r="J202">
        <v>1203311914</v>
      </c>
      <c r="K202">
        <v>21040600</v>
      </c>
      <c r="L202">
        <f>(Table1[[#This Row],[CLOSE_PRICE]] - Table1[[#This Row],[PREV_CL_PR]]) / Table1[[#This Row],[PREV_CL_PR]] * 100</f>
        <v>-4.9526342030912485</v>
      </c>
      <c r="M202">
        <f>Table1[[#This Row],[HIGH_PRICE]]-Table1[[#This Row],[LOW_PRICE]]</f>
        <v>4.6199999999999974</v>
      </c>
      <c r="N202" t="str">
        <f>IF(Table1[[#This Row],[CLOSE_PRICE]]&gt;Table1[[#This Row],[OPEN_PRICE]],"Gain","Loss")</f>
        <v>Loss</v>
      </c>
      <c r="O202" t="str">
        <f>IF(Table1[[#This Row],[MARKET_CAP]]&gt;200000000000,"Large Cap",
IF(Table1[[#This Row],[MARKET_CAP]]&gt;50000000000,"Mid Cap","Small Cap"))</f>
        <v>Small Cap</v>
      </c>
      <c r="P202" t="str">
        <f>IF(Table1[[#This Row],[NET_TRDQTY]]&gt;1000000,"High Volume","Low Volume")</f>
        <v>Low Volume</v>
      </c>
    </row>
    <row r="203" spans="1:16" x14ac:dyDescent="0.3">
      <c r="A203" t="s">
        <v>413</v>
      </c>
      <c r="B203" t="s">
        <v>414</v>
      </c>
      <c r="C203">
        <v>176.62</v>
      </c>
      <c r="D203">
        <v>190.01</v>
      </c>
      <c r="E203">
        <v>176.25</v>
      </c>
      <c r="F203">
        <v>179.25</v>
      </c>
      <c r="G203">
        <v>184.89</v>
      </c>
      <c r="H203">
        <v>25725</v>
      </c>
      <c r="I203">
        <v>1121</v>
      </c>
      <c r="J203">
        <v>1140884485</v>
      </c>
      <c r="K203">
        <v>6364767</v>
      </c>
      <c r="L203">
        <f>(Table1[[#This Row],[CLOSE_PRICE]] - Table1[[#This Row],[PREV_CL_PR]]) / Table1[[#This Row],[PREV_CL_PR]] * 100</f>
        <v>-3.0504624371247697</v>
      </c>
      <c r="M203">
        <f>Table1[[#This Row],[HIGH_PRICE]]-Table1[[#This Row],[LOW_PRICE]]</f>
        <v>13.759999999999991</v>
      </c>
      <c r="N203" t="str">
        <f>IF(Table1[[#This Row],[CLOSE_PRICE]]&gt;Table1[[#This Row],[OPEN_PRICE]],"Gain","Loss")</f>
        <v>Gain</v>
      </c>
      <c r="O203" t="str">
        <f>IF(Table1[[#This Row],[MARKET_CAP]]&gt;200000000000,"Large Cap",
IF(Table1[[#This Row],[MARKET_CAP]]&gt;50000000000,"Mid Cap","Small Cap"))</f>
        <v>Small Cap</v>
      </c>
      <c r="P203" t="str">
        <f>IF(Table1[[#This Row],[NET_TRDQTY]]&gt;1000000,"High Volume","Low Volume")</f>
        <v>Low Volume</v>
      </c>
    </row>
    <row r="204" spans="1:16" x14ac:dyDescent="0.3">
      <c r="A204" t="s">
        <v>415</v>
      </c>
      <c r="B204" t="s">
        <v>416</v>
      </c>
      <c r="C204">
        <v>343.85</v>
      </c>
      <c r="D204">
        <v>360</v>
      </c>
      <c r="E204">
        <v>325.55</v>
      </c>
      <c r="F204">
        <v>334.25</v>
      </c>
      <c r="G204">
        <v>349.1</v>
      </c>
      <c r="H204">
        <v>395431</v>
      </c>
      <c r="I204">
        <v>9680</v>
      </c>
      <c r="J204">
        <v>72311292032</v>
      </c>
      <c r="K204">
        <v>216338944</v>
      </c>
      <c r="L204">
        <f>(Table1[[#This Row],[CLOSE_PRICE]] - Table1[[#This Row],[PREV_CL_PR]]) / Table1[[#This Row],[PREV_CL_PR]] * 100</f>
        <v>-4.2537954740762025</v>
      </c>
      <c r="M204">
        <f>Table1[[#This Row],[HIGH_PRICE]]-Table1[[#This Row],[LOW_PRICE]]</f>
        <v>34.449999999999989</v>
      </c>
      <c r="N204" t="str">
        <f>IF(Table1[[#This Row],[CLOSE_PRICE]]&gt;Table1[[#This Row],[OPEN_PRICE]],"Gain","Loss")</f>
        <v>Loss</v>
      </c>
      <c r="O204" t="str">
        <f>IF(Table1[[#This Row],[MARKET_CAP]]&gt;200000000000,"Large Cap",
IF(Table1[[#This Row],[MARKET_CAP]]&gt;50000000000,"Mid Cap","Small Cap"))</f>
        <v>Mid Cap</v>
      </c>
      <c r="P204" t="str">
        <f>IF(Table1[[#This Row],[NET_TRDQTY]]&gt;1000000,"High Volume","Low Volume")</f>
        <v>Low Volume</v>
      </c>
    </row>
    <row r="205" spans="1:16" x14ac:dyDescent="0.3">
      <c r="A205" t="s">
        <v>417</v>
      </c>
      <c r="B205" t="s">
        <v>418</v>
      </c>
      <c r="C205">
        <v>95.18</v>
      </c>
      <c r="D205">
        <v>96.98</v>
      </c>
      <c r="E205">
        <v>93</v>
      </c>
      <c r="F205">
        <v>96.41</v>
      </c>
      <c r="G205">
        <v>95.91</v>
      </c>
      <c r="H205">
        <v>257741</v>
      </c>
      <c r="I205">
        <v>787</v>
      </c>
      <c r="J205">
        <v>3743537730</v>
      </c>
      <c r="K205">
        <v>38829351</v>
      </c>
      <c r="L205">
        <f>(Table1[[#This Row],[CLOSE_PRICE]] - Table1[[#This Row],[PREV_CL_PR]]) / Table1[[#This Row],[PREV_CL_PR]] * 100</f>
        <v>0.5213220727765614</v>
      </c>
      <c r="M205">
        <f>Table1[[#This Row],[HIGH_PRICE]]-Table1[[#This Row],[LOW_PRICE]]</f>
        <v>3.980000000000004</v>
      </c>
      <c r="N205" t="str">
        <f>IF(Table1[[#This Row],[CLOSE_PRICE]]&gt;Table1[[#This Row],[OPEN_PRICE]],"Gain","Loss")</f>
        <v>Gain</v>
      </c>
      <c r="O205" t="str">
        <f>IF(Table1[[#This Row],[MARKET_CAP]]&gt;200000000000,"Large Cap",
IF(Table1[[#This Row],[MARKET_CAP]]&gt;50000000000,"Mid Cap","Small Cap"))</f>
        <v>Small Cap</v>
      </c>
      <c r="P205" t="str">
        <f>IF(Table1[[#This Row],[NET_TRDQTY]]&gt;1000000,"High Volume","Low Volume")</f>
        <v>Low Volume</v>
      </c>
    </row>
    <row r="206" spans="1:16" x14ac:dyDescent="0.3">
      <c r="A206" t="s">
        <v>419</v>
      </c>
      <c r="B206" t="s">
        <v>420</v>
      </c>
      <c r="C206">
        <v>6574</v>
      </c>
      <c r="D206">
        <v>6580</v>
      </c>
      <c r="E206">
        <v>6206</v>
      </c>
      <c r="F206">
        <v>6289</v>
      </c>
      <c r="G206">
        <v>6654.5</v>
      </c>
      <c r="H206">
        <v>314526</v>
      </c>
      <c r="I206">
        <v>44402</v>
      </c>
      <c r="J206">
        <v>221000000000</v>
      </c>
      <c r="K206">
        <v>35172042</v>
      </c>
      <c r="L206">
        <f>(Table1[[#This Row],[CLOSE_PRICE]] - Table1[[#This Row],[PREV_CL_PR]]) / Table1[[#This Row],[PREV_CL_PR]] * 100</f>
        <v>-5.492523856037268</v>
      </c>
      <c r="M206">
        <f>Table1[[#This Row],[HIGH_PRICE]]-Table1[[#This Row],[LOW_PRICE]]</f>
        <v>374</v>
      </c>
      <c r="N206" t="str">
        <f>IF(Table1[[#This Row],[CLOSE_PRICE]]&gt;Table1[[#This Row],[OPEN_PRICE]],"Gain","Loss")</f>
        <v>Loss</v>
      </c>
      <c r="O206" t="str">
        <f>IF(Table1[[#This Row],[MARKET_CAP]]&gt;200000000000,"Large Cap",
IF(Table1[[#This Row],[MARKET_CAP]]&gt;50000000000,"Mid Cap","Small Cap"))</f>
        <v>Large Cap</v>
      </c>
      <c r="P206" t="str">
        <f>IF(Table1[[#This Row],[NET_TRDQTY]]&gt;1000000,"High Volume","Low Volume")</f>
        <v>Low Volume</v>
      </c>
    </row>
    <row r="207" spans="1:16" x14ac:dyDescent="0.3">
      <c r="A207" t="s">
        <v>421</v>
      </c>
      <c r="B207" t="s">
        <v>422</v>
      </c>
      <c r="C207">
        <v>22.51</v>
      </c>
      <c r="D207">
        <v>24</v>
      </c>
      <c r="E207">
        <v>20</v>
      </c>
      <c r="F207">
        <v>22.05</v>
      </c>
      <c r="G207">
        <v>23.28</v>
      </c>
      <c r="H207">
        <v>10788</v>
      </c>
      <c r="I207">
        <v>282</v>
      </c>
      <c r="J207">
        <v>378761670</v>
      </c>
      <c r="K207">
        <v>17177400</v>
      </c>
      <c r="L207">
        <f>(Table1[[#This Row],[CLOSE_PRICE]] - Table1[[#This Row],[PREV_CL_PR]]) / Table1[[#This Row],[PREV_CL_PR]] * 100</f>
        <v>-5.2835051546391769</v>
      </c>
      <c r="M207">
        <f>Table1[[#This Row],[HIGH_PRICE]]-Table1[[#This Row],[LOW_PRICE]]</f>
        <v>4</v>
      </c>
      <c r="N207" t="str">
        <f>IF(Table1[[#This Row],[CLOSE_PRICE]]&gt;Table1[[#This Row],[OPEN_PRICE]],"Gain","Loss")</f>
        <v>Loss</v>
      </c>
      <c r="O207" t="str">
        <f>IF(Table1[[#This Row],[MARKET_CAP]]&gt;200000000000,"Large Cap",
IF(Table1[[#This Row],[MARKET_CAP]]&gt;50000000000,"Mid Cap","Small Cap"))</f>
        <v>Small Cap</v>
      </c>
      <c r="P207" t="str">
        <f>IF(Table1[[#This Row],[NET_TRDQTY]]&gt;1000000,"High Volume","Low Volume")</f>
        <v>Low Volume</v>
      </c>
    </row>
    <row r="208" spans="1:16" x14ac:dyDescent="0.3">
      <c r="A208" t="s">
        <v>423</v>
      </c>
      <c r="B208" t="s">
        <v>424</v>
      </c>
      <c r="C208">
        <v>1235.0999999999999</v>
      </c>
      <c r="D208">
        <v>1258.3</v>
      </c>
      <c r="E208">
        <v>1200</v>
      </c>
      <c r="F208">
        <v>1207.9000000000001</v>
      </c>
      <c r="G208">
        <v>1275.7</v>
      </c>
      <c r="H208">
        <v>12644</v>
      </c>
      <c r="I208">
        <v>1488</v>
      </c>
      <c r="J208">
        <v>6915227500</v>
      </c>
      <c r="K208">
        <v>5725000</v>
      </c>
      <c r="L208">
        <f>(Table1[[#This Row],[CLOSE_PRICE]] - Table1[[#This Row],[PREV_CL_PR]]) / Table1[[#This Row],[PREV_CL_PR]] * 100</f>
        <v>-5.3147291682997535</v>
      </c>
      <c r="M208">
        <f>Table1[[#This Row],[HIGH_PRICE]]-Table1[[#This Row],[LOW_PRICE]]</f>
        <v>58.299999999999955</v>
      </c>
      <c r="N208" t="str">
        <f>IF(Table1[[#This Row],[CLOSE_PRICE]]&gt;Table1[[#This Row],[OPEN_PRICE]],"Gain","Loss")</f>
        <v>Loss</v>
      </c>
      <c r="O208" t="str">
        <f>IF(Table1[[#This Row],[MARKET_CAP]]&gt;200000000000,"Large Cap",
IF(Table1[[#This Row],[MARKET_CAP]]&gt;50000000000,"Mid Cap","Small Cap"))</f>
        <v>Small Cap</v>
      </c>
      <c r="P208" t="str">
        <f>IF(Table1[[#This Row],[NET_TRDQTY]]&gt;1000000,"High Volume","Low Volume")</f>
        <v>Low Volume</v>
      </c>
    </row>
    <row r="209" spans="1:16" x14ac:dyDescent="0.3">
      <c r="A209" t="s">
        <v>425</v>
      </c>
      <c r="B209" t="s">
        <v>426</v>
      </c>
      <c r="C209">
        <v>38.450000000000003</v>
      </c>
      <c r="D209">
        <v>38.450000000000003</v>
      </c>
      <c r="E209">
        <v>35.200000000000003</v>
      </c>
      <c r="F209">
        <v>35.869999999999997</v>
      </c>
      <c r="G209">
        <v>38.07</v>
      </c>
      <c r="H209">
        <v>6096</v>
      </c>
      <c r="I209">
        <v>225</v>
      </c>
      <c r="J209">
        <v>687511286.70000005</v>
      </c>
      <c r="K209">
        <v>19166749</v>
      </c>
      <c r="L209">
        <f>(Table1[[#This Row],[CLOSE_PRICE]] - Table1[[#This Row],[PREV_CL_PR]]) / Table1[[#This Row],[PREV_CL_PR]] * 100</f>
        <v>-5.7788284738639426</v>
      </c>
      <c r="M209">
        <f>Table1[[#This Row],[HIGH_PRICE]]-Table1[[#This Row],[LOW_PRICE]]</f>
        <v>3.25</v>
      </c>
      <c r="N209" t="str">
        <f>IF(Table1[[#This Row],[CLOSE_PRICE]]&gt;Table1[[#This Row],[OPEN_PRICE]],"Gain","Loss")</f>
        <v>Loss</v>
      </c>
      <c r="O209" t="str">
        <f>IF(Table1[[#This Row],[MARKET_CAP]]&gt;200000000000,"Large Cap",
IF(Table1[[#This Row],[MARKET_CAP]]&gt;50000000000,"Mid Cap","Small Cap"))</f>
        <v>Small Cap</v>
      </c>
      <c r="P209" t="str">
        <f>IF(Table1[[#This Row],[NET_TRDQTY]]&gt;1000000,"High Volume","Low Volume")</f>
        <v>Low Volume</v>
      </c>
    </row>
    <row r="210" spans="1:16" x14ac:dyDescent="0.3">
      <c r="A210" t="s">
        <v>427</v>
      </c>
      <c r="B210" t="s">
        <v>428</v>
      </c>
      <c r="C210">
        <v>37.26</v>
      </c>
      <c r="D210">
        <v>39.229999999999997</v>
      </c>
      <c r="E210">
        <v>33.4</v>
      </c>
      <c r="F210">
        <v>35.22</v>
      </c>
      <c r="G210">
        <v>38.229999999999997</v>
      </c>
      <c r="H210">
        <v>134243</v>
      </c>
      <c r="I210">
        <v>1079</v>
      </c>
      <c r="J210">
        <v>1444020000</v>
      </c>
      <c r="K210">
        <v>41000000</v>
      </c>
      <c r="L210">
        <f>(Table1[[#This Row],[CLOSE_PRICE]] - Table1[[#This Row],[PREV_CL_PR]]) / Table1[[#This Row],[PREV_CL_PR]] * 100</f>
        <v>-7.8733978550876227</v>
      </c>
      <c r="M210">
        <f>Table1[[#This Row],[HIGH_PRICE]]-Table1[[#This Row],[LOW_PRICE]]</f>
        <v>5.8299999999999983</v>
      </c>
      <c r="N210" t="str">
        <f>IF(Table1[[#This Row],[CLOSE_PRICE]]&gt;Table1[[#This Row],[OPEN_PRICE]],"Gain","Loss")</f>
        <v>Loss</v>
      </c>
      <c r="O210" t="str">
        <f>IF(Table1[[#This Row],[MARKET_CAP]]&gt;200000000000,"Large Cap",
IF(Table1[[#This Row],[MARKET_CAP]]&gt;50000000000,"Mid Cap","Small Cap"))</f>
        <v>Small Cap</v>
      </c>
      <c r="P210" t="str">
        <f>IF(Table1[[#This Row],[NET_TRDQTY]]&gt;1000000,"High Volume","Low Volume")</f>
        <v>Low Volume</v>
      </c>
    </row>
    <row r="211" spans="1:16" x14ac:dyDescent="0.3">
      <c r="A211" t="s">
        <v>429</v>
      </c>
      <c r="B211" t="s">
        <v>430</v>
      </c>
      <c r="C211">
        <v>152.69</v>
      </c>
      <c r="D211">
        <v>152.69</v>
      </c>
      <c r="E211">
        <v>141</v>
      </c>
      <c r="F211">
        <v>142.41</v>
      </c>
      <c r="G211">
        <v>151.94</v>
      </c>
      <c r="H211">
        <v>6978</v>
      </c>
      <c r="I211">
        <v>220</v>
      </c>
      <c r="J211">
        <v>7835398200</v>
      </c>
      <c r="K211">
        <v>55020000</v>
      </c>
      <c r="L211">
        <f>(Table1[[#This Row],[CLOSE_PRICE]] - Table1[[#This Row],[PREV_CL_PR]]) / Table1[[#This Row],[PREV_CL_PR]] * 100</f>
        <v>-6.2722127155456109</v>
      </c>
      <c r="M211">
        <f>Table1[[#This Row],[HIGH_PRICE]]-Table1[[#This Row],[LOW_PRICE]]</f>
        <v>11.689999999999998</v>
      </c>
      <c r="N211" t="str">
        <f>IF(Table1[[#This Row],[CLOSE_PRICE]]&gt;Table1[[#This Row],[OPEN_PRICE]],"Gain","Loss")</f>
        <v>Loss</v>
      </c>
      <c r="O211" t="str">
        <f>IF(Table1[[#This Row],[MARKET_CAP]]&gt;200000000000,"Large Cap",
IF(Table1[[#This Row],[MARKET_CAP]]&gt;50000000000,"Mid Cap","Small Cap"))</f>
        <v>Small Cap</v>
      </c>
      <c r="P211" t="str">
        <f>IF(Table1[[#This Row],[NET_TRDQTY]]&gt;1000000,"High Volume","Low Volume")</f>
        <v>Low Volume</v>
      </c>
    </row>
    <row r="212" spans="1:16" x14ac:dyDescent="0.3">
      <c r="A212" t="s">
        <v>431</v>
      </c>
      <c r="B212" t="s">
        <v>432</v>
      </c>
      <c r="C212">
        <v>507.8</v>
      </c>
      <c r="D212">
        <v>530.85</v>
      </c>
      <c r="E212">
        <v>498</v>
      </c>
      <c r="F212">
        <v>517.54999999999995</v>
      </c>
      <c r="G212">
        <v>515.54999999999995</v>
      </c>
      <c r="H212">
        <v>75662</v>
      </c>
      <c r="I212">
        <v>2687</v>
      </c>
      <c r="J212">
        <v>14962696557</v>
      </c>
      <c r="K212">
        <v>28910630</v>
      </c>
      <c r="L212">
        <f>(Table1[[#This Row],[CLOSE_PRICE]] - Table1[[#This Row],[PREV_CL_PR]]) / Table1[[#This Row],[PREV_CL_PR]] * 100</f>
        <v>0.38793521481912524</v>
      </c>
      <c r="M212">
        <f>Table1[[#This Row],[HIGH_PRICE]]-Table1[[#This Row],[LOW_PRICE]]</f>
        <v>32.850000000000023</v>
      </c>
      <c r="N212" t="str">
        <f>IF(Table1[[#This Row],[CLOSE_PRICE]]&gt;Table1[[#This Row],[OPEN_PRICE]],"Gain","Loss")</f>
        <v>Gain</v>
      </c>
      <c r="O212" t="str">
        <f>IF(Table1[[#This Row],[MARKET_CAP]]&gt;200000000000,"Large Cap",
IF(Table1[[#This Row],[MARKET_CAP]]&gt;50000000000,"Mid Cap","Small Cap"))</f>
        <v>Small Cap</v>
      </c>
      <c r="P212" t="str">
        <f>IF(Table1[[#This Row],[NET_TRDQTY]]&gt;1000000,"High Volume","Low Volume")</f>
        <v>Low Volume</v>
      </c>
    </row>
    <row r="213" spans="1:16" x14ac:dyDescent="0.3">
      <c r="A213" t="s">
        <v>433</v>
      </c>
      <c r="B213" t="s">
        <v>434</v>
      </c>
      <c r="C213">
        <v>2990</v>
      </c>
      <c r="D213">
        <v>2990</v>
      </c>
      <c r="E213">
        <v>2903</v>
      </c>
      <c r="F213">
        <v>2912.4</v>
      </c>
      <c r="G213">
        <v>3003.4</v>
      </c>
      <c r="H213">
        <v>145086</v>
      </c>
      <c r="I213">
        <v>21013</v>
      </c>
      <c r="J213">
        <v>242000000000</v>
      </c>
      <c r="K213">
        <v>83020634</v>
      </c>
      <c r="L213">
        <f>(Table1[[#This Row],[CLOSE_PRICE]] - Table1[[#This Row],[PREV_CL_PR]]) / Table1[[#This Row],[PREV_CL_PR]] * 100</f>
        <v>-3.0298994472930678</v>
      </c>
      <c r="M213">
        <f>Table1[[#This Row],[HIGH_PRICE]]-Table1[[#This Row],[LOW_PRICE]]</f>
        <v>87</v>
      </c>
      <c r="N213" t="str">
        <f>IF(Table1[[#This Row],[CLOSE_PRICE]]&gt;Table1[[#This Row],[OPEN_PRICE]],"Gain","Loss")</f>
        <v>Loss</v>
      </c>
      <c r="O213" t="str">
        <f>IF(Table1[[#This Row],[MARKET_CAP]]&gt;200000000000,"Large Cap",
IF(Table1[[#This Row],[MARKET_CAP]]&gt;50000000000,"Mid Cap","Small Cap"))</f>
        <v>Large Cap</v>
      </c>
      <c r="P213" t="str">
        <f>IF(Table1[[#This Row],[NET_TRDQTY]]&gt;1000000,"High Volume","Low Volume")</f>
        <v>Low Volume</v>
      </c>
    </row>
    <row r="214" spans="1:16" x14ac:dyDescent="0.3">
      <c r="A214" t="s">
        <v>435</v>
      </c>
      <c r="B214" t="s">
        <v>436</v>
      </c>
      <c r="C214">
        <v>455</v>
      </c>
      <c r="D214">
        <v>456</v>
      </c>
      <c r="E214">
        <v>440</v>
      </c>
      <c r="F214">
        <v>442.15</v>
      </c>
      <c r="G214">
        <v>465.85</v>
      </c>
      <c r="H214">
        <v>1717859</v>
      </c>
      <c r="I214">
        <v>41613</v>
      </c>
      <c r="J214">
        <v>159000000000</v>
      </c>
      <c r="K214">
        <v>359876930</v>
      </c>
      <c r="L214">
        <f>(Table1[[#This Row],[CLOSE_PRICE]] - Table1[[#This Row],[PREV_CL_PR]]) / Table1[[#This Row],[PREV_CL_PR]] * 100</f>
        <v>-5.0874745089621216</v>
      </c>
      <c r="M214">
        <f>Table1[[#This Row],[HIGH_PRICE]]-Table1[[#This Row],[LOW_PRICE]]</f>
        <v>16</v>
      </c>
      <c r="N214" t="str">
        <f>IF(Table1[[#This Row],[CLOSE_PRICE]]&gt;Table1[[#This Row],[OPEN_PRICE]],"Gain","Loss")</f>
        <v>Loss</v>
      </c>
      <c r="O214" t="str">
        <f>IF(Table1[[#This Row],[MARKET_CAP]]&gt;200000000000,"Large Cap",
IF(Table1[[#This Row],[MARKET_CAP]]&gt;50000000000,"Mid Cap","Small Cap"))</f>
        <v>Mid Cap</v>
      </c>
      <c r="P214" t="str">
        <f>IF(Table1[[#This Row],[NET_TRDQTY]]&gt;1000000,"High Volume","Low Volume")</f>
        <v>High Volume</v>
      </c>
    </row>
    <row r="215" spans="1:16" x14ac:dyDescent="0.3">
      <c r="A215" t="s">
        <v>437</v>
      </c>
      <c r="B215" t="s">
        <v>438</v>
      </c>
      <c r="C215">
        <v>59.79</v>
      </c>
      <c r="D215">
        <v>61.83</v>
      </c>
      <c r="E215">
        <v>59</v>
      </c>
      <c r="F215">
        <v>59.94</v>
      </c>
      <c r="G215">
        <v>60.4</v>
      </c>
      <c r="H215">
        <v>252768</v>
      </c>
      <c r="I215">
        <v>3551</v>
      </c>
      <c r="J215">
        <v>11919080688</v>
      </c>
      <c r="K215">
        <v>198850195</v>
      </c>
      <c r="L215">
        <f>(Table1[[#This Row],[CLOSE_PRICE]] - Table1[[#This Row],[PREV_CL_PR]]) / Table1[[#This Row],[PREV_CL_PR]] * 100</f>
        <v>-0.76158940397351138</v>
      </c>
      <c r="M215">
        <f>Table1[[#This Row],[HIGH_PRICE]]-Table1[[#This Row],[LOW_PRICE]]</f>
        <v>2.8299999999999983</v>
      </c>
      <c r="N215" t="str">
        <f>IF(Table1[[#This Row],[CLOSE_PRICE]]&gt;Table1[[#This Row],[OPEN_PRICE]],"Gain","Loss")</f>
        <v>Gain</v>
      </c>
      <c r="O215" t="str">
        <f>IF(Table1[[#This Row],[MARKET_CAP]]&gt;200000000000,"Large Cap",
IF(Table1[[#This Row],[MARKET_CAP]]&gt;50000000000,"Mid Cap","Small Cap"))</f>
        <v>Small Cap</v>
      </c>
      <c r="P215" t="str">
        <f>IF(Table1[[#This Row],[NET_TRDQTY]]&gt;1000000,"High Volume","Low Volume")</f>
        <v>Low Volume</v>
      </c>
    </row>
    <row r="216" spans="1:16" x14ac:dyDescent="0.3">
      <c r="A216" t="s">
        <v>439</v>
      </c>
      <c r="B216" t="s">
        <v>440</v>
      </c>
      <c r="C216">
        <v>69.099999999999994</v>
      </c>
      <c r="D216">
        <v>70.5</v>
      </c>
      <c r="E216">
        <v>67.47</v>
      </c>
      <c r="F216">
        <v>69.56</v>
      </c>
      <c r="G216">
        <v>70.959999999999994</v>
      </c>
      <c r="H216">
        <v>202329</v>
      </c>
      <c r="I216">
        <v>2436</v>
      </c>
      <c r="J216">
        <v>9427841728</v>
      </c>
      <c r="K216">
        <v>135535390</v>
      </c>
      <c r="L216">
        <f>(Table1[[#This Row],[CLOSE_PRICE]] - Table1[[#This Row],[PREV_CL_PR]]) / Table1[[#This Row],[PREV_CL_PR]] * 100</f>
        <v>-1.9729425028184775</v>
      </c>
      <c r="M216">
        <f>Table1[[#This Row],[HIGH_PRICE]]-Table1[[#This Row],[LOW_PRICE]]</f>
        <v>3.0300000000000011</v>
      </c>
      <c r="N216" t="str">
        <f>IF(Table1[[#This Row],[CLOSE_PRICE]]&gt;Table1[[#This Row],[OPEN_PRICE]],"Gain","Loss")</f>
        <v>Gain</v>
      </c>
      <c r="O216" t="str">
        <f>IF(Table1[[#This Row],[MARKET_CAP]]&gt;200000000000,"Large Cap",
IF(Table1[[#This Row],[MARKET_CAP]]&gt;50000000000,"Mid Cap","Small Cap"))</f>
        <v>Small Cap</v>
      </c>
      <c r="P216" t="str">
        <f>IF(Table1[[#This Row],[NET_TRDQTY]]&gt;1000000,"High Volume","Low Volume")</f>
        <v>Low Volume</v>
      </c>
    </row>
    <row r="217" spans="1:16" x14ac:dyDescent="0.3">
      <c r="A217" t="s">
        <v>441</v>
      </c>
      <c r="B217" t="s">
        <v>442</v>
      </c>
      <c r="C217">
        <v>227</v>
      </c>
      <c r="D217">
        <v>228.6</v>
      </c>
      <c r="E217">
        <v>218.8</v>
      </c>
      <c r="F217">
        <v>220.91</v>
      </c>
      <c r="G217">
        <v>231.32</v>
      </c>
      <c r="H217">
        <v>6295384</v>
      </c>
      <c r="I217">
        <v>64087</v>
      </c>
      <c r="J217">
        <v>201000000000</v>
      </c>
      <c r="K217">
        <v>908393390</v>
      </c>
      <c r="L217">
        <f>(Table1[[#This Row],[CLOSE_PRICE]] - Table1[[#This Row],[PREV_CL_PR]]) / Table1[[#This Row],[PREV_CL_PR]] * 100</f>
        <v>-4.5002593809441453</v>
      </c>
      <c r="M217">
        <f>Table1[[#This Row],[HIGH_PRICE]]-Table1[[#This Row],[LOW_PRICE]]</f>
        <v>9.7999999999999829</v>
      </c>
      <c r="N217" t="str">
        <f>IF(Table1[[#This Row],[CLOSE_PRICE]]&gt;Table1[[#This Row],[OPEN_PRICE]],"Gain","Loss")</f>
        <v>Loss</v>
      </c>
      <c r="O217" t="str">
        <f>IF(Table1[[#This Row],[MARKET_CAP]]&gt;200000000000,"Large Cap",
IF(Table1[[#This Row],[MARKET_CAP]]&gt;50000000000,"Mid Cap","Small Cap"))</f>
        <v>Large Cap</v>
      </c>
      <c r="P217" t="str">
        <f>IF(Table1[[#This Row],[NET_TRDQTY]]&gt;1000000,"High Volume","Low Volume")</f>
        <v>High Volume</v>
      </c>
    </row>
    <row r="218" spans="1:16" x14ac:dyDescent="0.3">
      <c r="A218" t="s">
        <v>443</v>
      </c>
      <c r="B218" t="s">
        <v>444</v>
      </c>
      <c r="C218">
        <v>39.700000000000003</v>
      </c>
      <c r="D218">
        <v>39.700000000000003</v>
      </c>
      <c r="E218">
        <v>36</v>
      </c>
      <c r="F218">
        <v>37.01</v>
      </c>
      <c r="G218">
        <v>37.93</v>
      </c>
      <c r="H218">
        <v>6227</v>
      </c>
      <c r="I218">
        <v>146</v>
      </c>
      <c r="J218">
        <v>1027156517</v>
      </c>
      <c r="K218">
        <v>27753486</v>
      </c>
      <c r="L218">
        <f>(Table1[[#This Row],[CLOSE_PRICE]] - Table1[[#This Row],[PREV_CL_PR]]) / Table1[[#This Row],[PREV_CL_PR]] * 100</f>
        <v>-2.425520696018987</v>
      </c>
      <c r="M218">
        <f>Table1[[#This Row],[HIGH_PRICE]]-Table1[[#This Row],[LOW_PRICE]]</f>
        <v>3.7000000000000028</v>
      </c>
      <c r="N218" t="str">
        <f>IF(Table1[[#This Row],[CLOSE_PRICE]]&gt;Table1[[#This Row],[OPEN_PRICE]],"Gain","Loss")</f>
        <v>Loss</v>
      </c>
      <c r="O218" t="str">
        <f>IF(Table1[[#This Row],[MARKET_CAP]]&gt;200000000000,"Large Cap",
IF(Table1[[#This Row],[MARKET_CAP]]&gt;50000000000,"Mid Cap","Small Cap"))</f>
        <v>Small Cap</v>
      </c>
      <c r="P218" t="str">
        <f>IF(Table1[[#This Row],[NET_TRDQTY]]&gt;1000000,"High Volume","Low Volume")</f>
        <v>Low Volume</v>
      </c>
    </row>
    <row r="219" spans="1:16" x14ac:dyDescent="0.3">
      <c r="A219" t="s">
        <v>445</v>
      </c>
      <c r="B219" t="s">
        <v>446</v>
      </c>
      <c r="C219">
        <v>10.48</v>
      </c>
      <c r="D219">
        <v>10.48</v>
      </c>
      <c r="E219">
        <v>10.01</v>
      </c>
      <c r="F219">
        <v>10.1</v>
      </c>
      <c r="G219">
        <v>10.48</v>
      </c>
      <c r="H219">
        <v>97655</v>
      </c>
      <c r="I219">
        <v>386</v>
      </c>
      <c r="J219">
        <v>574832915</v>
      </c>
      <c r="K219">
        <v>56914150</v>
      </c>
      <c r="L219">
        <f>(Table1[[#This Row],[CLOSE_PRICE]] - Table1[[#This Row],[PREV_CL_PR]]) / Table1[[#This Row],[PREV_CL_PR]] * 100</f>
        <v>-3.6259541984732899</v>
      </c>
      <c r="M219">
        <f>Table1[[#This Row],[HIGH_PRICE]]-Table1[[#This Row],[LOW_PRICE]]</f>
        <v>0.47000000000000064</v>
      </c>
      <c r="N219" t="str">
        <f>IF(Table1[[#This Row],[CLOSE_PRICE]]&gt;Table1[[#This Row],[OPEN_PRICE]],"Gain","Loss")</f>
        <v>Loss</v>
      </c>
      <c r="O219" t="str">
        <f>IF(Table1[[#This Row],[MARKET_CAP]]&gt;200000000000,"Large Cap",
IF(Table1[[#This Row],[MARKET_CAP]]&gt;50000000000,"Mid Cap","Small Cap"))</f>
        <v>Small Cap</v>
      </c>
      <c r="P219" t="str">
        <f>IF(Table1[[#This Row],[NET_TRDQTY]]&gt;1000000,"High Volume","Low Volume")</f>
        <v>Low Volume</v>
      </c>
    </row>
    <row r="220" spans="1:16" x14ac:dyDescent="0.3">
      <c r="A220" t="s">
        <v>447</v>
      </c>
      <c r="B220" t="s">
        <v>448</v>
      </c>
      <c r="C220">
        <v>515</v>
      </c>
      <c r="D220">
        <v>555</v>
      </c>
      <c r="E220">
        <v>504</v>
      </c>
      <c r="F220">
        <v>513.65</v>
      </c>
      <c r="G220">
        <v>515.45000000000005</v>
      </c>
      <c r="H220">
        <v>598797</v>
      </c>
      <c r="I220">
        <v>19930</v>
      </c>
      <c r="J220">
        <v>18061145187</v>
      </c>
      <c r="K220">
        <v>35162358</v>
      </c>
      <c r="L220">
        <f>(Table1[[#This Row],[CLOSE_PRICE]] - Table1[[#This Row],[PREV_CL_PR]]) / Table1[[#This Row],[PREV_CL_PR]] * 100</f>
        <v>-0.34920942865458687</v>
      </c>
      <c r="M220">
        <f>Table1[[#This Row],[HIGH_PRICE]]-Table1[[#This Row],[LOW_PRICE]]</f>
        <v>51</v>
      </c>
      <c r="N220" t="str">
        <f>IF(Table1[[#This Row],[CLOSE_PRICE]]&gt;Table1[[#This Row],[OPEN_PRICE]],"Gain","Loss")</f>
        <v>Loss</v>
      </c>
      <c r="O220" t="str">
        <f>IF(Table1[[#This Row],[MARKET_CAP]]&gt;200000000000,"Large Cap",
IF(Table1[[#This Row],[MARKET_CAP]]&gt;50000000000,"Mid Cap","Small Cap"))</f>
        <v>Small Cap</v>
      </c>
      <c r="P220" t="str">
        <f>IF(Table1[[#This Row],[NET_TRDQTY]]&gt;1000000,"High Volume","Low Volume")</f>
        <v>Low Volume</v>
      </c>
    </row>
    <row r="221" spans="1:16" x14ac:dyDescent="0.3">
      <c r="A221" t="s">
        <v>449</v>
      </c>
      <c r="B221" t="s">
        <v>450</v>
      </c>
      <c r="C221">
        <v>0.81</v>
      </c>
      <c r="D221">
        <v>0.81</v>
      </c>
      <c r="E221">
        <v>0.71</v>
      </c>
      <c r="F221">
        <v>0.74</v>
      </c>
      <c r="G221">
        <v>0.77</v>
      </c>
      <c r="H221">
        <v>146695</v>
      </c>
      <c r="I221">
        <v>325</v>
      </c>
      <c r="J221">
        <v>114707104</v>
      </c>
      <c r="K221">
        <v>155009600</v>
      </c>
      <c r="L221">
        <f>(Table1[[#This Row],[CLOSE_PRICE]] - Table1[[#This Row],[PREV_CL_PR]]) / Table1[[#This Row],[PREV_CL_PR]] * 100</f>
        <v>-3.8961038961038996</v>
      </c>
      <c r="M221">
        <f>Table1[[#This Row],[HIGH_PRICE]]-Table1[[#This Row],[LOW_PRICE]]</f>
        <v>0.10000000000000009</v>
      </c>
      <c r="N221" t="str">
        <f>IF(Table1[[#This Row],[CLOSE_PRICE]]&gt;Table1[[#This Row],[OPEN_PRICE]],"Gain","Loss")</f>
        <v>Loss</v>
      </c>
      <c r="O221" t="str">
        <f>IF(Table1[[#This Row],[MARKET_CAP]]&gt;200000000000,"Large Cap",
IF(Table1[[#This Row],[MARKET_CAP]]&gt;50000000000,"Mid Cap","Small Cap"))</f>
        <v>Small Cap</v>
      </c>
      <c r="P221" t="str">
        <f>IF(Table1[[#This Row],[NET_TRDQTY]]&gt;1000000,"High Volume","Low Volume")</f>
        <v>Low Volume</v>
      </c>
    </row>
    <row r="222" spans="1:16" x14ac:dyDescent="0.3">
      <c r="A222" t="s">
        <v>451</v>
      </c>
      <c r="B222" t="s">
        <v>452</v>
      </c>
      <c r="C222">
        <v>635</v>
      </c>
      <c r="D222">
        <v>635.79999999999995</v>
      </c>
      <c r="E222">
        <v>625.20000000000005</v>
      </c>
      <c r="F222">
        <v>628.45000000000005</v>
      </c>
      <c r="G222">
        <v>644.85</v>
      </c>
      <c r="H222">
        <v>166996</v>
      </c>
      <c r="I222">
        <v>10723</v>
      </c>
      <c r="J222">
        <v>353000000000</v>
      </c>
      <c r="K222">
        <v>561610051</v>
      </c>
      <c r="L222">
        <f>(Table1[[#This Row],[CLOSE_PRICE]] - Table1[[#This Row],[PREV_CL_PR]]) / Table1[[#This Row],[PREV_CL_PR]] * 100</f>
        <v>-2.5432271070791623</v>
      </c>
      <c r="M222">
        <f>Table1[[#This Row],[HIGH_PRICE]]-Table1[[#This Row],[LOW_PRICE]]</f>
        <v>10.599999999999909</v>
      </c>
      <c r="N222" t="str">
        <f>IF(Table1[[#This Row],[CLOSE_PRICE]]&gt;Table1[[#This Row],[OPEN_PRICE]],"Gain","Loss")</f>
        <v>Loss</v>
      </c>
      <c r="O222" t="str">
        <f>IF(Table1[[#This Row],[MARKET_CAP]]&gt;200000000000,"Large Cap",
IF(Table1[[#This Row],[MARKET_CAP]]&gt;50000000000,"Mid Cap","Small Cap"))</f>
        <v>Large Cap</v>
      </c>
      <c r="P222" t="str">
        <f>IF(Table1[[#This Row],[NET_TRDQTY]]&gt;1000000,"High Volume","Low Volume")</f>
        <v>Low Volume</v>
      </c>
    </row>
    <row r="223" spans="1:16" x14ac:dyDescent="0.3">
      <c r="A223" t="s">
        <v>453</v>
      </c>
      <c r="B223" t="s">
        <v>454</v>
      </c>
      <c r="C223">
        <v>75</v>
      </c>
      <c r="D223">
        <v>75</v>
      </c>
      <c r="E223">
        <v>70.25</v>
      </c>
      <c r="F223">
        <v>71.400000000000006</v>
      </c>
      <c r="G223">
        <v>74.31</v>
      </c>
      <c r="H223">
        <v>77146</v>
      </c>
      <c r="I223">
        <v>1542</v>
      </c>
      <c r="J223">
        <v>7155993600</v>
      </c>
      <c r="K223">
        <v>100224000</v>
      </c>
      <c r="L223">
        <f>(Table1[[#This Row],[CLOSE_PRICE]] - Table1[[#This Row],[PREV_CL_PR]]) / Table1[[#This Row],[PREV_CL_PR]] * 100</f>
        <v>-3.9160274525635801</v>
      </c>
      <c r="M223">
        <f>Table1[[#This Row],[HIGH_PRICE]]-Table1[[#This Row],[LOW_PRICE]]</f>
        <v>4.75</v>
      </c>
      <c r="N223" t="str">
        <f>IF(Table1[[#This Row],[CLOSE_PRICE]]&gt;Table1[[#This Row],[OPEN_PRICE]],"Gain","Loss")</f>
        <v>Loss</v>
      </c>
      <c r="O223" t="str">
        <f>IF(Table1[[#This Row],[MARKET_CAP]]&gt;200000000000,"Large Cap",
IF(Table1[[#This Row],[MARKET_CAP]]&gt;50000000000,"Mid Cap","Small Cap"))</f>
        <v>Small Cap</v>
      </c>
      <c r="P223" t="str">
        <f>IF(Table1[[#This Row],[NET_TRDQTY]]&gt;1000000,"High Volume","Low Volume")</f>
        <v>Low Volume</v>
      </c>
    </row>
    <row r="224" spans="1:16" x14ac:dyDescent="0.3">
      <c r="A224" t="s">
        <v>455</v>
      </c>
      <c r="B224" t="s">
        <v>456</v>
      </c>
      <c r="C224">
        <v>1570</v>
      </c>
      <c r="D224">
        <v>1570</v>
      </c>
      <c r="E224">
        <v>1495.5</v>
      </c>
      <c r="F224">
        <v>1507.7</v>
      </c>
      <c r="G224">
        <v>1588.2</v>
      </c>
      <c r="H224">
        <v>51617</v>
      </c>
      <c r="I224">
        <v>8362</v>
      </c>
      <c r="J224">
        <v>30201441288</v>
      </c>
      <c r="K224">
        <v>20031466</v>
      </c>
      <c r="L224">
        <f>(Table1[[#This Row],[CLOSE_PRICE]] - Table1[[#This Row],[PREV_CL_PR]]) / Table1[[#This Row],[PREV_CL_PR]] * 100</f>
        <v>-5.0686311547664022</v>
      </c>
      <c r="M224">
        <f>Table1[[#This Row],[HIGH_PRICE]]-Table1[[#This Row],[LOW_PRICE]]</f>
        <v>74.5</v>
      </c>
      <c r="N224" t="str">
        <f>IF(Table1[[#This Row],[CLOSE_PRICE]]&gt;Table1[[#This Row],[OPEN_PRICE]],"Gain","Loss")</f>
        <v>Loss</v>
      </c>
      <c r="O224" t="str">
        <f>IF(Table1[[#This Row],[MARKET_CAP]]&gt;200000000000,"Large Cap",
IF(Table1[[#This Row],[MARKET_CAP]]&gt;50000000000,"Mid Cap","Small Cap"))</f>
        <v>Small Cap</v>
      </c>
      <c r="P224" t="str">
        <f>IF(Table1[[#This Row],[NET_TRDQTY]]&gt;1000000,"High Volume","Low Volume")</f>
        <v>Low Volume</v>
      </c>
    </row>
    <row r="225" spans="1:16" x14ac:dyDescent="0.3">
      <c r="A225" t="s">
        <v>457</v>
      </c>
      <c r="B225" t="s">
        <v>458</v>
      </c>
      <c r="C225">
        <v>1230</v>
      </c>
      <c r="D225">
        <v>1248</v>
      </c>
      <c r="E225">
        <v>1207</v>
      </c>
      <c r="F225">
        <v>1241.8</v>
      </c>
      <c r="G225">
        <v>1252.5</v>
      </c>
      <c r="H225">
        <v>153377</v>
      </c>
      <c r="I225">
        <v>6376</v>
      </c>
      <c r="J225">
        <v>141000000000</v>
      </c>
      <c r="K225">
        <v>113848310</v>
      </c>
      <c r="L225">
        <f>(Table1[[#This Row],[CLOSE_PRICE]] - Table1[[#This Row],[PREV_CL_PR]]) / Table1[[#This Row],[PREV_CL_PR]] * 100</f>
        <v>-0.85429141716567225</v>
      </c>
      <c r="M225">
        <f>Table1[[#This Row],[HIGH_PRICE]]-Table1[[#This Row],[LOW_PRICE]]</f>
        <v>41</v>
      </c>
      <c r="N225" t="str">
        <f>IF(Table1[[#This Row],[CLOSE_PRICE]]&gt;Table1[[#This Row],[OPEN_PRICE]],"Gain","Loss")</f>
        <v>Gain</v>
      </c>
      <c r="O225" t="str">
        <f>IF(Table1[[#This Row],[MARKET_CAP]]&gt;200000000000,"Large Cap",
IF(Table1[[#This Row],[MARKET_CAP]]&gt;50000000000,"Mid Cap","Small Cap"))</f>
        <v>Mid Cap</v>
      </c>
      <c r="P225" t="str">
        <f>IF(Table1[[#This Row],[NET_TRDQTY]]&gt;1000000,"High Volume","Low Volume")</f>
        <v>Low Volume</v>
      </c>
    </row>
    <row r="226" spans="1:16" x14ac:dyDescent="0.3">
      <c r="A226" t="s">
        <v>459</v>
      </c>
      <c r="B226" t="s">
        <v>460</v>
      </c>
      <c r="C226">
        <v>9645</v>
      </c>
      <c r="D226">
        <v>9851</v>
      </c>
      <c r="E226">
        <v>9315</v>
      </c>
      <c r="F226">
        <v>9805</v>
      </c>
      <c r="G226">
        <v>9673</v>
      </c>
      <c r="H226">
        <v>110812</v>
      </c>
      <c r="I226">
        <v>32304</v>
      </c>
      <c r="J226">
        <v>394000000000</v>
      </c>
      <c r="K226">
        <v>40168315</v>
      </c>
      <c r="L226">
        <f>(Table1[[#This Row],[CLOSE_PRICE]] - Table1[[#This Row],[PREV_CL_PR]]) / Table1[[#This Row],[PREV_CL_PR]] * 100</f>
        <v>1.3646231779179159</v>
      </c>
      <c r="M226">
        <f>Table1[[#This Row],[HIGH_PRICE]]-Table1[[#This Row],[LOW_PRICE]]</f>
        <v>536</v>
      </c>
      <c r="N226" t="str">
        <f>IF(Table1[[#This Row],[CLOSE_PRICE]]&gt;Table1[[#This Row],[OPEN_PRICE]],"Gain","Loss")</f>
        <v>Gain</v>
      </c>
      <c r="O226" t="str">
        <f>IF(Table1[[#This Row],[MARKET_CAP]]&gt;200000000000,"Large Cap",
IF(Table1[[#This Row],[MARKET_CAP]]&gt;50000000000,"Mid Cap","Small Cap"))</f>
        <v>Large Cap</v>
      </c>
      <c r="P226" t="str">
        <f>IF(Table1[[#This Row],[NET_TRDQTY]]&gt;1000000,"High Volume","Low Volume")</f>
        <v>Low Volume</v>
      </c>
    </row>
    <row r="227" spans="1:16" x14ac:dyDescent="0.3">
      <c r="A227" t="s">
        <v>461</v>
      </c>
      <c r="B227" t="s">
        <v>462</v>
      </c>
      <c r="C227">
        <v>114.7</v>
      </c>
      <c r="D227">
        <v>119.79</v>
      </c>
      <c r="E227">
        <v>108</v>
      </c>
      <c r="F227">
        <v>108.76</v>
      </c>
      <c r="G227">
        <v>112.87</v>
      </c>
      <c r="H227">
        <v>9051</v>
      </c>
      <c r="I227">
        <v>224</v>
      </c>
      <c r="J227">
        <v>3194799333</v>
      </c>
      <c r="K227">
        <v>29374764</v>
      </c>
      <c r="L227">
        <f>(Table1[[#This Row],[CLOSE_PRICE]] - Table1[[#This Row],[PREV_CL_PR]]) / Table1[[#This Row],[PREV_CL_PR]] * 100</f>
        <v>-3.6413573137237525</v>
      </c>
      <c r="M227">
        <f>Table1[[#This Row],[HIGH_PRICE]]-Table1[[#This Row],[LOW_PRICE]]</f>
        <v>11.790000000000006</v>
      </c>
      <c r="N227" t="str">
        <f>IF(Table1[[#This Row],[CLOSE_PRICE]]&gt;Table1[[#This Row],[OPEN_PRICE]],"Gain","Loss")</f>
        <v>Loss</v>
      </c>
      <c r="O227" t="str">
        <f>IF(Table1[[#This Row],[MARKET_CAP]]&gt;200000000000,"Large Cap",
IF(Table1[[#This Row],[MARKET_CAP]]&gt;50000000000,"Mid Cap","Small Cap"))</f>
        <v>Small Cap</v>
      </c>
      <c r="P227" t="str">
        <f>IF(Table1[[#This Row],[NET_TRDQTY]]&gt;1000000,"High Volume","Low Volume")</f>
        <v>Low Volume</v>
      </c>
    </row>
    <row r="228" spans="1:16" x14ac:dyDescent="0.3">
      <c r="A228" t="s">
        <v>463</v>
      </c>
      <c r="B228" t="s">
        <v>464</v>
      </c>
      <c r="C228">
        <v>349</v>
      </c>
      <c r="D228">
        <v>350.7</v>
      </c>
      <c r="E228">
        <v>333</v>
      </c>
      <c r="F228">
        <v>343.75</v>
      </c>
      <c r="G228">
        <v>351.05</v>
      </c>
      <c r="H228">
        <v>69773</v>
      </c>
      <c r="I228">
        <v>5309</v>
      </c>
      <c r="J228">
        <v>17821705000</v>
      </c>
      <c r="K228">
        <v>51844960</v>
      </c>
      <c r="L228">
        <f>(Table1[[#This Row],[CLOSE_PRICE]] - Table1[[#This Row],[PREV_CL_PR]]) / Table1[[#This Row],[PREV_CL_PR]] * 100</f>
        <v>-2.0794758581398693</v>
      </c>
      <c r="M228">
        <f>Table1[[#This Row],[HIGH_PRICE]]-Table1[[#This Row],[LOW_PRICE]]</f>
        <v>17.699999999999989</v>
      </c>
      <c r="N228" t="str">
        <f>IF(Table1[[#This Row],[CLOSE_PRICE]]&gt;Table1[[#This Row],[OPEN_PRICE]],"Gain","Loss")</f>
        <v>Loss</v>
      </c>
      <c r="O228" t="str">
        <f>IF(Table1[[#This Row],[MARKET_CAP]]&gt;200000000000,"Large Cap",
IF(Table1[[#This Row],[MARKET_CAP]]&gt;50000000000,"Mid Cap","Small Cap"))</f>
        <v>Small Cap</v>
      </c>
      <c r="P228" t="str">
        <f>IF(Table1[[#This Row],[NET_TRDQTY]]&gt;1000000,"High Volume","Low Volume")</f>
        <v>Low Volume</v>
      </c>
    </row>
    <row r="229" spans="1:16" x14ac:dyDescent="0.3">
      <c r="A229" t="s">
        <v>465</v>
      </c>
      <c r="B229" t="s">
        <v>466</v>
      </c>
      <c r="C229">
        <v>363.25</v>
      </c>
      <c r="D229">
        <v>371.4</v>
      </c>
      <c r="E229">
        <v>348.25</v>
      </c>
      <c r="F229">
        <v>353.85</v>
      </c>
      <c r="G229">
        <v>376.25</v>
      </c>
      <c r="H229">
        <v>680631</v>
      </c>
      <c r="I229">
        <v>14710</v>
      </c>
      <c r="J229">
        <v>11057812500</v>
      </c>
      <c r="K229">
        <v>31250000</v>
      </c>
      <c r="L229">
        <f>(Table1[[#This Row],[CLOSE_PRICE]] - Table1[[#This Row],[PREV_CL_PR]]) / Table1[[#This Row],[PREV_CL_PR]] * 100</f>
        <v>-5.953488372093017</v>
      </c>
      <c r="M229">
        <f>Table1[[#This Row],[HIGH_PRICE]]-Table1[[#This Row],[LOW_PRICE]]</f>
        <v>23.149999999999977</v>
      </c>
      <c r="N229" t="str">
        <f>IF(Table1[[#This Row],[CLOSE_PRICE]]&gt;Table1[[#This Row],[OPEN_PRICE]],"Gain","Loss")</f>
        <v>Loss</v>
      </c>
      <c r="O229" t="str">
        <f>IF(Table1[[#This Row],[MARKET_CAP]]&gt;200000000000,"Large Cap",
IF(Table1[[#This Row],[MARKET_CAP]]&gt;50000000000,"Mid Cap","Small Cap"))</f>
        <v>Small Cap</v>
      </c>
      <c r="P229" t="str">
        <f>IF(Table1[[#This Row],[NET_TRDQTY]]&gt;1000000,"High Volume","Low Volume")</f>
        <v>Low Volume</v>
      </c>
    </row>
    <row r="230" spans="1:16" x14ac:dyDescent="0.3">
      <c r="A230" t="s">
        <v>467</v>
      </c>
      <c r="B230" t="s">
        <v>468</v>
      </c>
      <c r="C230">
        <v>1965.2</v>
      </c>
      <c r="D230">
        <v>1965.2</v>
      </c>
      <c r="E230">
        <v>1890</v>
      </c>
      <c r="F230">
        <v>1893.9</v>
      </c>
      <c r="G230">
        <v>1973.1</v>
      </c>
      <c r="H230">
        <v>512633</v>
      </c>
      <c r="I230">
        <v>47981</v>
      </c>
      <c r="J230">
        <v>526000000000</v>
      </c>
      <c r="K230">
        <v>277636026</v>
      </c>
      <c r="L230">
        <f>(Table1[[#This Row],[CLOSE_PRICE]] - Table1[[#This Row],[PREV_CL_PR]]) / Table1[[#This Row],[PREV_CL_PR]] * 100</f>
        <v>-4.0139881404895759</v>
      </c>
      <c r="M230">
        <f>Table1[[#This Row],[HIGH_PRICE]]-Table1[[#This Row],[LOW_PRICE]]</f>
        <v>75.200000000000045</v>
      </c>
      <c r="N230" t="str">
        <f>IF(Table1[[#This Row],[CLOSE_PRICE]]&gt;Table1[[#This Row],[OPEN_PRICE]],"Gain","Loss")</f>
        <v>Loss</v>
      </c>
      <c r="O230" t="str">
        <f>IF(Table1[[#This Row],[MARKET_CAP]]&gt;200000000000,"Large Cap",
IF(Table1[[#This Row],[MARKET_CAP]]&gt;50000000000,"Mid Cap","Small Cap"))</f>
        <v>Large Cap</v>
      </c>
      <c r="P230" t="str">
        <f>IF(Table1[[#This Row],[NET_TRDQTY]]&gt;1000000,"High Volume","Low Volume")</f>
        <v>Low Volume</v>
      </c>
    </row>
    <row r="231" spans="1:16" x14ac:dyDescent="0.3">
      <c r="A231" t="s">
        <v>469</v>
      </c>
      <c r="B231" t="s">
        <v>470</v>
      </c>
      <c r="C231">
        <v>666.3</v>
      </c>
      <c r="D231">
        <v>670.5</v>
      </c>
      <c r="E231">
        <v>635.79999999999995</v>
      </c>
      <c r="F231">
        <v>646.54999999999995</v>
      </c>
      <c r="G231">
        <v>677.3</v>
      </c>
      <c r="H231">
        <v>139039</v>
      </c>
      <c r="I231">
        <v>9110</v>
      </c>
      <c r="J231">
        <v>127000000000</v>
      </c>
      <c r="K231">
        <v>196563124</v>
      </c>
      <c r="L231">
        <f>(Table1[[#This Row],[CLOSE_PRICE]] - Table1[[#This Row],[PREV_CL_PR]]) / Table1[[#This Row],[PREV_CL_PR]] * 100</f>
        <v>-4.5400856341355382</v>
      </c>
      <c r="M231">
        <f>Table1[[#This Row],[HIGH_PRICE]]-Table1[[#This Row],[LOW_PRICE]]</f>
        <v>34.700000000000045</v>
      </c>
      <c r="N231" t="str">
        <f>IF(Table1[[#This Row],[CLOSE_PRICE]]&gt;Table1[[#This Row],[OPEN_PRICE]],"Gain","Loss")</f>
        <v>Loss</v>
      </c>
      <c r="O231" t="str">
        <f>IF(Table1[[#This Row],[MARKET_CAP]]&gt;200000000000,"Large Cap",
IF(Table1[[#This Row],[MARKET_CAP]]&gt;50000000000,"Mid Cap","Small Cap"))</f>
        <v>Mid Cap</v>
      </c>
      <c r="P231" t="str">
        <f>IF(Table1[[#This Row],[NET_TRDQTY]]&gt;1000000,"High Volume","Low Volume")</f>
        <v>Low Volume</v>
      </c>
    </row>
    <row r="232" spans="1:16" x14ac:dyDescent="0.3">
      <c r="A232" t="s">
        <v>471</v>
      </c>
      <c r="B232" t="s">
        <v>472</v>
      </c>
      <c r="C232">
        <v>195.5</v>
      </c>
      <c r="D232">
        <v>195.5</v>
      </c>
      <c r="E232">
        <v>185.78</v>
      </c>
      <c r="F232">
        <v>188.72</v>
      </c>
      <c r="G232">
        <v>198.63</v>
      </c>
      <c r="H232">
        <v>5339620</v>
      </c>
      <c r="I232">
        <v>35518</v>
      </c>
      <c r="J232">
        <v>66880801624</v>
      </c>
      <c r="K232">
        <v>354391700</v>
      </c>
      <c r="L232">
        <f>(Table1[[#This Row],[CLOSE_PRICE]] - Table1[[#This Row],[PREV_CL_PR]]) / Table1[[#This Row],[PREV_CL_PR]] * 100</f>
        <v>-4.9891758546040359</v>
      </c>
      <c r="M232">
        <f>Table1[[#This Row],[HIGH_PRICE]]-Table1[[#This Row],[LOW_PRICE]]</f>
        <v>9.7199999999999989</v>
      </c>
      <c r="N232" t="str">
        <f>IF(Table1[[#This Row],[CLOSE_PRICE]]&gt;Table1[[#This Row],[OPEN_PRICE]],"Gain","Loss")</f>
        <v>Loss</v>
      </c>
      <c r="O232" t="str">
        <f>IF(Table1[[#This Row],[MARKET_CAP]]&gt;200000000000,"Large Cap",
IF(Table1[[#This Row],[MARKET_CAP]]&gt;50000000000,"Mid Cap","Small Cap"))</f>
        <v>Mid Cap</v>
      </c>
      <c r="P232" t="str">
        <f>IF(Table1[[#This Row],[NET_TRDQTY]]&gt;1000000,"High Volume","Low Volume")</f>
        <v>High Volume</v>
      </c>
    </row>
    <row r="233" spans="1:16" x14ac:dyDescent="0.3">
      <c r="A233" t="s">
        <v>473</v>
      </c>
      <c r="B233" t="s">
        <v>474</v>
      </c>
      <c r="C233">
        <v>386.95</v>
      </c>
      <c r="D233">
        <v>410</v>
      </c>
      <c r="E233">
        <v>372.45</v>
      </c>
      <c r="F233">
        <v>403.4</v>
      </c>
      <c r="G233">
        <v>386.95</v>
      </c>
      <c r="H233">
        <v>1927165</v>
      </c>
      <c r="I233">
        <v>37963</v>
      </c>
      <c r="J233">
        <v>17769046300</v>
      </c>
      <c r="K233">
        <v>44048206</v>
      </c>
      <c r="L233">
        <f>(Table1[[#This Row],[CLOSE_PRICE]] - Table1[[#This Row],[PREV_CL_PR]]) / Table1[[#This Row],[PREV_CL_PR]] * 100</f>
        <v>4.2511952448636743</v>
      </c>
      <c r="M233">
        <f>Table1[[#This Row],[HIGH_PRICE]]-Table1[[#This Row],[LOW_PRICE]]</f>
        <v>37.550000000000011</v>
      </c>
      <c r="N233" t="str">
        <f>IF(Table1[[#This Row],[CLOSE_PRICE]]&gt;Table1[[#This Row],[OPEN_PRICE]],"Gain","Loss")</f>
        <v>Gain</v>
      </c>
      <c r="O233" t="str">
        <f>IF(Table1[[#This Row],[MARKET_CAP]]&gt;200000000000,"Large Cap",
IF(Table1[[#This Row],[MARKET_CAP]]&gt;50000000000,"Mid Cap","Small Cap"))</f>
        <v>Small Cap</v>
      </c>
      <c r="P233" t="str">
        <f>IF(Table1[[#This Row],[NET_TRDQTY]]&gt;1000000,"High Volume","Low Volume")</f>
        <v>High Volume</v>
      </c>
    </row>
    <row r="234" spans="1:16" x14ac:dyDescent="0.3">
      <c r="A234" t="s">
        <v>475</v>
      </c>
      <c r="B234" t="s">
        <v>476</v>
      </c>
      <c r="C234">
        <v>418</v>
      </c>
      <c r="D234">
        <v>418</v>
      </c>
      <c r="E234">
        <v>397.85</v>
      </c>
      <c r="F234">
        <v>399.5</v>
      </c>
      <c r="G234">
        <v>420.85</v>
      </c>
      <c r="H234">
        <v>590180</v>
      </c>
      <c r="I234">
        <v>24491</v>
      </c>
      <c r="J234">
        <v>254000000000</v>
      </c>
      <c r="K234">
        <v>635100946</v>
      </c>
      <c r="L234">
        <f>(Table1[[#This Row],[CLOSE_PRICE]] - Table1[[#This Row],[PREV_CL_PR]]) / Table1[[#This Row],[PREV_CL_PR]] * 100</f>
        <v>-5.0730664132113636</v>
      </c>
      <c r="M234">
        <f>Table1[[#This Row],[HIGH_PRICE]]-Table1[[#This Row],[LOW_PRICE]]</f>
        <v>20.149999999999977</v>
      </c>
      <c r="N234" t="str">
        <f>IF(Table1[[#This Row],[CLOSE_PRICE]]&gt;Table1[[#This Row],[OPEN_PRICE]],"Gain","Loss")</f>
        <v>Loss</v>
      </c>
      <c r="O234" t="str">
        <f>IF(Table1[[#This Row],[MARKET_CAP]]&gt;200000000000,"Large Cap",
IF(Table1[[#This Row],[MARKET_CAP]]&gt;50000000000,"Mid Cap","Small Cap"))</f>
        <v>Large Cap</v>
      </c>
      <c r="P234" t="str">
        <f>IF(Table1[[#This Row],[NET_TRDQTY]]&gt;1000000,"High Volume","Low Volume")</f>
        <v>Low Volume</v>
      </c>
    </row>
    <row r="235" spans="1:16" x14ac:dyDescent="0.3">
      <c r="A235" t="s">
        <v>477</v>
      </c>
      <c r="B235" t="s">
        <v>478</v>
      </c>
      <c r="C235">
        <v>1067</v>
      </c>
      <c r="D235">
        <v>1067.0999999999999</v>
      </c>
      <c r="E235">
        <v>995.4</v>
      </c>
      <c r="F235">
        <v>1037.0999999999999</v>
      </c>
      <c r="G235">
        <v>1065.5</v>
      </c>
      <c r="H235">
        <v>3997</v>
      </c>
      <c r="I235">
        <v>400</v>
      </c>
      <c r="J235">
        <v>2696874840</v>
      </c>
      <c r="K235">
        <v>2600400</v>
      </c>
      <c r="L235">
        <f>(Table1[[#This Row],[CLOSE_PRICE]] - Table1[[#This Row],[PREV_CL_PR]]) / Table1[[#This Row],[PREV_CL_PR]] * 100</f>
        <v>-2.6654152979821766</v>
      </c>
      <c r="M235">
        <f>Table1[[#This Row],[HIGH_PRICE]]-Table1[[#This Row],[LOW_PRICE]]</f>
        <v>71.699999999999932</v>
      </c>
      <c r="N235" t="str">
        <f>IF(Table1[[#This Row],[CLOSE_PRICE]]&gt;Table1[[#This Row],[OPEN_PRICE]],"Gain","Loss")</f>
        <v>Loss</v>
      </c>
      <c r="O235" t="str">
        <f>IF(Table1[[#This Row],[MARKET_CAP]]&gt;200000000000,"Large Cap",
IF(Table1[[#This Row],[MARKET_CAP]]&gt;50000000000,"Mid Cap","Small Cap"))</f>
        <v>Small Cap</v>
      </c>
      <c r="P235" t="str">
        <f>IF(Table1[[#This Row],[NET_TRDQTY]]&gt;1000000,"High Volume","Low Volume")</f>
        <v>Low Volume</v>
      </c>
    </row>
    <row r="236" spans="1:16" x14ac:dyDescent="0.3">
      <c r="A236" t="s">
        <v>479</v>
      </c>
      <c r="B236" t="s">
        <v>480</v>
      </c>
      <c r="C236">
        <v>77.2</v>
      </c>
      <c r="D236">
        <v>78.42</v>
      </c>
      <c r="E236">
        <v>74.400000000000006</v>
      </c>
      <c r="F236">
        <v>74.8</v>
      </c>
      <c r="G236">
        <v>79.069999999999993</v>
      </c>
      <c r="H236">
        <v>275064</v>
      </c>
      <c r="I236">
        <v>3018</v>
      </c>
      <c r="J236">
        <v>4340844090</v>
      </c>
      <c r="K236">
        <v>58032675</v>
      </c>
      <c r="L236">
        <f>(Table1[[#This Row],[CLOSE_PRICE]] - Table1[[#This Row],[PREV_CL_PR]]) / Table1[[#This Row],[PREV_CL_PR]] * 100</f>
        <v>-5.4002782344757767</v>
      </c>
      <c r="M236">
        <f>Table1[[#This Row],[HIGH_PRICE]]-Table1[[#This Row],[LOW_PRICE]]</f>
        <v>4.019999999999996</v>
      </c>
      <c r="N236" t="str">
        <f>IF(Table1[[#This Row],[CLOSE_PRICE]]&gt;Table1[[#This Row],[OPEN_PRICE]],"Gain","Loss")</f>
        <v>Loss</v>
      </c>
      <c r="O236" t="str">
        <f>IF(Table1[[#This Row],[MARKET_CAP]]&gt;200000000000,"Large Cap",
IF(Table1[[#This Row],[MARKET_CAP]]&gt;50000000000,"Mid Cap","Small Cap"))</f>
        <v>Small Cap</v>
      </c>
      <c r="P236" t="str">
        <f>IF(Table1[[#This Row],[NET_TRDQTY]]&gt;1000000,"High Volume","Low Volume")</f>
        <v>Low Volume</v>
      </c>
    </row>
    <row r="237" spans="1:16" x14ac:dyDescent="0.3">
      <c r="A237" t="s">
        <v>481</v>
      </c>
      <c r="B237" t="s">
        <v>482</v>
      </c>
      <c r="C237">
        <v>204.91</v>
      </c>
      <c r="D237">
        <v>207.42</v>
      </c>
      <c r="E237">
        <v>198.11</v>
      </c>
      <c r="F237">
        <v>201.36</v>
      </c>
      <c r="G237">
        <v>208.83</v>
      </c>
      <c r="H237">
        <v>6033282</v>
      </c>
      <c r="I237">
        <v>59816</v>
      </c>
      <c r="J237">
        <v>101000000000</v>
      </c>
      <c r="K237">
        <v>500722736</v>
      </c>
      <c r="L237">
        <f>(Table1[[#This Row],[CLOSE_PRICE]] - Table1[[#This Row],[PREV_CL_PR]]) / Table1[[#This Row],[PREV_CL_PR]] * 100</f>
        <v>-3.5770722597327964</v>
      </c>
      <c r="M237">
        <f>Table1[[#This Row],[HIGH_PRICE]]-Table1[[#This Row],[LOW_PRICE]]</f>
        <v>9.3099999999999739</v>
      </c>
      <c r="N237" t="str">
        <f>IF(Table1[[#This Row],[CLOSE_PRICE]]&gt;Table1[[#This Row],[OPEN_PRICE]],"Gain","Loss")</f>
        <v>Loss</v>
      </c>
      <c r="O237" t="str">
        <f>IF(Table1[[#This Row],[MARKET_CAP]]&gt;200000000000,"Large Cap",
IF(Table1[[#This Row],[MARKET_CAP]]&gt;50000000000,"Mid Cap","Small Cap"))</f>
        <v>Mid Cap</v>
      </c>
      <c r="P237" t="str">
        <f>IF(Table1[[#This Row],[NET_TRDQTY]]&gt;1000000,"High Volume","Low Volume")</f>
        <v>High Volume</v>
      </c>
    </row>
    <row r="238" spans="1:16" x14ac:dyDescent="0.3">
      <c r="A238" t="s">
        <v>483</v>
      </c>
      <c r="B238" t="s">
        <v>484</v>
      </c>
      <c r="C238">
        <v>62.1</v>
      </c>
      <c r="D238">
        <v>62.1</v>
      </c>
      <c r="E238">
        <v>62.1</v>
      </c>
      <c r="F238">
        <v>62.1</v>
      </c>
      <c r="G238">
        <v>65.3</v>
      </c>
      <c r="H238">
        <v>12167</v>
      </c>
      <c r="I238">
        <v>208</v>
      </c>
      <c r="J238">
        <v>15756667776</v>
      </c>
      <c r="K238">
        <v>253730560</v>
      </c>
      <c r="L238">
        <f>(Table1[[#This Row],[CLOSE_PRICE]] - Table1[[#This Row],[PREV_CL_PR]]) / Table1[[#This Row],[PREV_CL_PR]] * 100</f>
        <v>-4.9004594180704384</v>
      </c>
      <c r="M238">
        <f>Table1[[#This Row],[HIGH_PRICE]]-Table1[[#This Row],[LOW_PRICE]]</f>
        <v>0</v>
      </c>
      <c r="N238" t="str">
        <f>IF(Table1[[#This Row],[CLOSE_PRICE]]&gt;Table1[[#This Row],[OPEN_PRICE]],"Gain","Loss")</f>
        <v>Loss</v>
      </c>
      <c r="O238" t="str">
        <f>IF(Table1[[#This Row],[MARKET_CAP]]&gt;200000000000,"Large Cap",
IF(Table1[[#This Row],[MARKET_CAP]]&gt;50000000000,"Mid Cap","Small Cap"))</f>
        <v>Small Cap</v>
      </c>
      <c r="P238" t="str">
        <f>IF(Table1[[#This Row],[NET_TRDQTY]]&gt;1000000,"High Volume","Low Volume")</f>
        <v>Low Volume</v>
      </c>
    </row>
    <row r="239" spans="1:16" x14ac:dyDescent="0.3">
      <c r="A239" t="s">
        <v>485</v>
      </c>
      <c r="B239" t="s">
        <v>486</v>
      </c>
      <c r="C239">
        <v>69.349999999999994</v>
      </c>
      <c r="D239">
        <v>70.989999999999995</v>
      </c>
      <c r="E239">
        <v>66.260000000000005</v>
      </c>
      <c r="F239">
        <v>67.13</v>
      </c>
      <c r="G239">
        <v>69.349999999999994</v>
      </c>
      <c r="H239">
        <v>42562</v>
      </c>
      <c r="I239">
        <v>640</v>
      </c>
      <c r="J239">
        <v>1333537450</v>
      </c>
      <c r="K239">
        <v>19865000</v>
      </c>
      <c r="L239">
        <f>(Table1[[#This Row],[CLOSE_PRICE]] - Table1[[#This Row],[PREV_CL_PR]]) / Table1[[#This Row],[PREV_CL_PR]] * 100</f>
        <v>-3.2011535688536394</v>
      </c>
      <c r="M239">
        <f>Table1[[#This Row],[HIGH_PRICE]]-Table1[[#This Row],[LOW_PRICE]]</f>
        <v>4.7299999999999898</v>
      </c>
      <c r="N239" t="str">
        <f>IF(Table1[[#This Row],[CLOSE_PRICE]]&gt;Table1[[#This Row],[OPEN_PRICE]],"Gain","Loss")</f>
        <v>Loss</v>
      </c>
      <c r="O239" t="str">
        <f>IF(Table1[[#This Row],[MARKET_CAP]]&gt;200000000000,"Large Cap",
IF(Table1[[#This Row],[MARKET_CAP]]&gt;50000000000,"Mid Cap","Small Cap"))</f>
        <v>Small Cap</v>
      </c>
      <c r="P239" t="str">
        <f>IF(Table1[[#This Row],[NET_TRDQTY]]&gt;1000000,"High Volume","Low Volume")</f>
        <v>Low Volume</v>
      </c>
    </row>
    <row r="240" spans="1:16" x14ac:dyDescent="0.3">
      <c r="A240" t="s">
        <v>487</v>
      </c>
      <c r="B240" t="s">
        <v>488</v>
      </c>
      <c r="C240">
        <v>13.41</v>
      </c>
      <c r="D240">
        <v>13.41</v>
      </c>
      <c r="E240">
        <v>12.43</v>
      </c>
      <c r="F240">
        <v>12.65</v>
      </c>
      <c r="G240">
        <v>13.4</v>
      </c>
      <c r="H240">
        <v>56224</v>
      </c>
      <c r="I240">
        <v>260</v>
      </c>
      <c r="J240">
        <v>427317000</v>
      </c>
      <c r="K240">
        <v>33780000</v>
      </c>
      <c r="L240">
        <f>(Table1[[#This Row],[CLOSE_PRICE]] - Table1[[#This Row],[PREV_CL_PR]]) / Table1[[#This Row],[PREV_CL_PR]] * 100</f>
        <v>-5.5970149253731343</v>
      </c>
      <c r="M240">
        <f>Table1[[#This Row],[HIGH_PRICE]]-Table1[[#This Row],[LOW_PRICE]]</f>
        <v>0.98000000000000043</v>
      </c>
      <c r="N240" t="str">
        <f>IF(Table1[[#This Row],[CLOSE_PRICE]]&gt;Table1[[#This Row],[OPEN_PRICE]],"Gain","Loss")</f>
        <v>Loss</v>
      </c>
      <c r="O240" t="str">
        <f>IF(Table1[[#This Row],[MARKET_CAP]]&gt;200000000000,"Large Cap",
IF(Table1[[#This Row],[MARKET_CAP]]&gt;50000000000,"Mid Cap","Small Cap"))</f>
        <v>Small Cap</v>
      </c>
      <c r="P240" t="str">
        <f>IF(Table1[[#This Row],[NET_TRDQTY]]&gt;1000000,"High Volume","Low Volume")</f>
        <v>Low Volume</v>
      </c>
    </row>
    <row r="241" spans="1:16" x14ac:dyDescent="0.3">
      <c r="A241" t="s">
        <v>489</v>
      </c>
      <c r="B241" t="s">
        <v>490</v>
      </c>
      <c r="C241">
        <v>757.95</v>
      </c>
      <c r="D241">
        <v>757.95</v>
      </c>
      <c r="E241">
        <v>720.15</v>
      </c>
      <c r="F241">
        <v>727</v>
      </c>
      <c r="G241">
        <v>759.15</v>
      </c>
      <c r="H241">
        <v>569329</v>
      </c>
      <c r="I241">
        <v>37082</v>
      </c>
      <c r="J241">
        <v>133000000000</v>
      </c>
      <c r="K241">
        <v>183025364</v>
      </c>
      <c r="L241">
        <f>(Table1[[#This Row],[CLOSE_PRICE]] - Table1[[#This Row],[PREV_CL_PR]]) / Table1[[#This Row],[PREV_CL_PR]] * 100</f>
        <v>-4.2349996706843154</v>
      </c>
      <c r="M241">
        <f>Table1[[#This Row],[HIGH_PRICE]]-Table1[[#This Row],[LOW_PRICE]]</f>
        <v>37.800000000000068</v>
      </c>
      <c r="N241" t="str">
        <f>IF(Table1[[#This Row],[CLOSE_PRICE]]&gt;Table1[[#This Row],[OPEN_PRICE]],"Gain","Loss")</f>
        <v>Loss</v>
      </c>
      <c r="O241" t="str">
        <f>IF(Table1[[#This Row],[MARKET_CAP]]&gt;200000000000,"Large Cap",
IF(Table1[[#This Row],[MARKET_CAP]]&gt;50000000000,"Mid Cap","Small Cap"))</f>
        <v>Mid Cap</v>
      </c>
      <c r="P241" t="str">
        <f>IF(Table1[[#This Row],[NET_TRDQTY]]&gt;1000000,"High Volume","Low Volume")</f>
        <v>Low Volume</v>
      </c>
    </row>
    <row r="242" spans="1:16" x14ac:dyDescent="0.3">
      <c r="A242" t="s">
        <v>491</v>
      </c>
      <c r="B242" t="s">
        <v>492</v>
      </c>
      <c r="C242">
        <v>38.99</v>
      </c>
      <c r="D242">
        <v>39</v>
      </c>
      <c r="E242">
        <v>34.61</v>
      </c>
      <c r="F242">
        <v>35.06</v>
      </c>
      <c r="G242">
        <v>39.21</v>
      </c>
      <c r="H242">
        <v>18189</v>
      </c>
      <c r="I242">
        <v>288</v>
      </c>
      <c r="J242">
        <v>108976998</v>
      </c>
      <c r="K242">
        <v>3108300</v>
      </c>
      <c r="L242">
        <f>(Table1[[#This Row],[CLOSE_PRICE]] - Table1[[#This Row],[PREV_CL_PR]]) / Table1[[#This Row],[PREV_CL_PR]] * 100</f>
        <v>-10.584034685029325</v>
      </c>
      <c r="M242">
        <f>Table1[[#This Row],[HIGH_PRICE]]-Table1[[#This Row],[LOW_PRICE]]</f>
        <v>4.3900000000000006</v>
      </c>
      <c r="N242" t="str">
        <f>IF(Table1[[#This Row],[CLOSE_PRICE]]&gt;Table1[[#This Row],[OPEN_PRICE]],"Gain","Loss")</f>
        <v>Loss</v>
      </c>
      <c r="O242" t="str">
        <f>IF(Table1[[#This Row],[MARKET_CAP]]&gt;200000000000,"Large Cap",
IF(Table1[[#This Row],[MARKET_CAP]]&gt;50000000000,"Mid Cap","Small Cap"))</f>
        <v>Small Cap</v>
      </c>
      <c r="P242" t="str">
        <f>IF(Table1[[#This Row],[NET_TRDQTY]]&gt;1000000,"High Volume","Low Volume")</f>
        <v>Low Volume</v>
      </c>
    </row>
    <row r="243" spans="1:16" x14ac:dyDescent="0.3">
      <c r="A243" t="s">
        <v>493</v>
      </c>
      <c r="B243" t="s">
        <v>494</v>
      </c>
      <c r="C243">
        <v>77.489999999999995</v>
      </c>
      <c r="D243">
        <v>78</v>
      </c>
      <c r="E243">
        <v>74.849999999999994</v>
      </c>
      <c r="F243">
        <v>76.44</v>
      </c>
      <c r="G243">
        <v>76.95</v>
      </c>
      <c r="H243">
        <v>877301</v>
      </c>
      <c r="I243">
        <v>5945</v>
      </c>
      <c r="J243">
        <v>12897146524</v>
      </c>
      <c r="K243">
        <v>168722482</v>
      </c>
      <c r="L243">
        <f>(Table1[[#This Row],[CLOSE_PRICE]] - Table1[[#This Row],[PREV_CL_PR]]) / Table1[[#This Row],[PREV_CL_PR]] * 100</f>
        <v>-0.66276803118909045</v>
      </c>
      <c r="M243">
        <f>Table1[[#This Row],[HIGH_PRICE]]-Table1[[#This Row],[LOW_PRICE]]</f>
        <v>3.1500000000000057</v>
      </c>
      <c r="N243" t="str">
        <f>IF(Table1[[#This Row],[CLOSE_PRICE]]&gt;Table1[[#This Row],[OPEN_PRICE]],"Gain","Loss")</f>
        <v>Loss</v>
      </c>
      <c r="O243" t="str">
        <f>IF(Table1[[#This Row],[MARKET_CAP]]&gt;200000000000,"Large Cap",
IF(Table1[[#This Row],[MARKET_CAP]]&gt;50000000000,"Mid Cap","Small Cap"))</f>
        <v>Small Cap</v>
      </c>
      <c r="P243" t="str">
        <f>IF(Table1[[#This Row],[NET_TRDQTY]]&gt;1000000,"High Volume","Low Volume")</f>
        <v>Low Volume</v>
      </c>
    </row>
    <row r="244" spans="1:16" x14ac:dyDescent="0.3">
      <c r="A244" t="s">
        <v>495</v>
      </c>
      <c r="B244" t="s">
        <v>496</v>
      </c>
      <c r="C244">
        <v>332.35</v>
      </c>
      <c r="D244">
        <v>355.4</v>
      </c>
      <c r="E244">
        <v>320.05</v>
      </c>
      <c r="F244">
        <v>350.4</v>
      </c>
      <c r="G244">
        <v>339.05</v>
      </c>
      <c r="H244">
        <v>75294</v>
      </c>
      <c r="I244">
        <v>2339</v>
      </c>
      <c r="J244">
        <v>4556720386</v>
      </c>
      <c r="K244">
        <v>13004339</v>
      </c>
      <c r="L244">
        <f>(Table1[[#This Row],[CLOSE_PRICE]] - Table1[[#This Row],[PREV_CL_PR]]) / Table1[[#This Row],[PREV_CL_PR]] * 100</f>
        <v>3.3475888512018779</v>
      </c>
      <c r="M244">
        <f>Table1[[#This Row],[HIGH_PRICE]]-Table1[[#This Row],[LOW_PRICE]]</f>
        <v>35.349999999999966</v>
      </c>
      <c r="N244" t="str">
        <f>IF(Table1[[#This Row],[CLOSE_PRICE]]&gt;Table1[[#This Row],[OPEN_PRICE]],"Gain","Loss")</f>
        <v>Gain</v>
      </c>
      <c r="O244" t="str">
        <f>IF(Table1[[#This Row],[MARKET_CAP]]&gt;200000000000,"Large Cap",
IF(Table1[[#This Row],[MARKET_CAP]]&gt;50000000000,"Mid Cap","Small Cap"))</f>
        <v>Small Cap</v>
      </c>
      <c r="P244" t="str">
        <f>IF(Table1[[#This Row],[NET_TRDQTY]]&gt;1000000,"High Volume","Low Volume")</f>
        <v>Low Volume</v>
      </c>
    </row>
    <row r="245" spans="1:16" x14ac:dyDescent="0.3">
      <c r="A245" t="s">
        <v>497</v>
      </c>
      <c r="B245" t="s">
        <v>498</v>
      </c>
      <c r="C245">
        <v>68.010000000000005</v>
      </c>
      <c r="D245">
        <v>68.040000000000006</v>
      </c>
      <c r="E245">
        <v>64.81</v>
      </c>
      <c r="F245">
        <v>65.17</v>
      </c>
      <c r="G245">
        <v>68.010000000000005</v>
      </c>
      <c r="H245">
        <v>314715</v>
      </c>
      <c r="I245">
        <v>2107</v>
      </c>
      <c r="J245">
        <v>6817616176</v>
      </c>
      <c r="K245">
        <v>104612800</v>
      </c>
      <c r="L245">
        <f>(Table1[[#This Row],[CLOSE_PRICE]] - Table1[[#This Row],[PREV_CL_PR]]) / Table1[[#This Row],[PREV_CL_PR]] * 100</f>
        <v>-4.1758564916924028</v>
      </c>
      <c r="M245">
        <f>Table1[[#This Row],[HIGH_PRICE]]-Table1[[#This Row],[LOW_PRICE]]</f>
        <v>3.230000000000004</v>
      </c>
      <c r="N245" t="str">
        <f>IF(Table1[[#This Row],[CLOSE_PRICE]]&gt;Table1[[#This Row],[OPEN_PRICE]],"Gain","Loss")</f>
        <v>Loss</v>
      </c>
      <c r="O245" t="str">
        <f>IF(Table1[[#This Row],[MARKET_CAP]]&gt;200000000000,"Large Cap",
IF(Table1[[#This Row],[MARKET_CAP]]&gt;50000000000,"Mid Cap","Small Cap"))</f>
        <v>Small Cap</v>
      </c>
      <c r="P245" t="str">
        <f>IF(Table1[[#This Row],[NET_TRDQTY]]&gt;1000000,"High Volume","Low Volume")</f>
        <v>Low Volume</v>
      </c>
    </row>
    <row r="246" spans="1:16" x14ac:dyDescent="0.3">
      <c r="A246" t="s">
        <v>499</v>
      </c>
      <c r="B246" t="s">
        <v>500</v>
      </c>
      <c r="C246">
        <v>211.6</v>
      </c>
      <c r="D246">
        <v>211.6</v>
      </c>
      <c r="E246">
        <v>198.15</v>
      </c>
      <c r="F246">
        <v>203.35</v>
      </c>
      <c r="G246">
        <v>211.6</v>
      </c>
      <c r="H246">
        <v>57311</v>
      </c>
      <c r="I246">
        <v>323</v>
      </c>
      <c r="J246">
        <v>8794885670</v>
      </c>
      <c r="K246">
        <v>43249991</v>
      </c>
      <c r="L246">
        <f>(Table1[[#This Row],[CLOSE_PRICE]] - Table1[[#This Row],[PREV_CL_PR]]) / Table1[[#This Row],[PREV_CL_PR]] * 100</f>
        <v>-3.8988657844990553</v>
      </c>
      <c r="M246">
        <f>Table1[[#This Row],[HIGH_PRICE]]-Table1[[#This Row],[LOW_PRICE]]</f>
        <v>13.449999999999989</v>
      </c>
      <c r="N246" t="str">
        <f>IF(Table1[[#This Row],[CLOSE_PRICE]]&gt;Table1[[#This Row],[OPEN_PRICE]],"Gain","Loss")</f>
        <v>Loss</v>
      </c>
      <c r="O246" t="str">
        <f>IF(Table1[[#This Row],[MARKET_CAP]]&gt;200000000000,"Large Cap",
IF(Table1[[#This Row],[MARKET_CAP]]&gt;50000000000,"Mid Cap","Small Cap"))</f>
        <v>Small Cap</v>
      </c>
      <c r="P246" t="str">
        <f>IF(Table1[[#This Row],[NET_TRDQTY]]&gt;1000000,"High Volume","Low Volume")</f>
        <v>Low Volume</v>
      </c>
    </row>
    <row r="247" spans="1:16" x14ac:dyDescent="0.3">
      <c r="A247" t="s">
        <v>501</v>
      </c>
      <c r="B247" t="s">
        <v>502</v>
      </c>
      <c r="C247">
        <v>103.74</v>
      </c>
      <c r="D247">
        <v>103.74</v>
      </c>
      <c r="E247">
        <v>96.5</v>
      </c>
      <c r="F247">
        <v>100.74</v>
      </c>
      <c r="G247">
        <v>103.77</v>
      </c>
      <c r="H247">
        <v>893772</v>
      </c>
      <c r="I247">
        <v>5598</v>
      </c>
      <c r="J247">
        <v>8198426307</v>
      </c>
      <c r="K247">
        <v>81382036</v>
      </c>
      <c r="L247">
        <f>(Table1[[#This Row],[CLOSE_PRICE]] - Table1[[#This Row],[PREV_CL_PR]]) / Table1[[#This Row],[PREV_CL_PR]] * 100</f>
        <v>-2.9199190517490616</v>
      </c>
      <c r="M247">
        <f>Table1[[#This Row],[HIGH_PRICE]]-Table1[[#This Row],[LOW_PRICE]]</f>
        <v>7.2399999999999949</v>
      </c>
      <c r="N247" t="str">
        <f>IF(Table1[[#This Row],[CLOSE_PRICE]]&gt;Table1[[#This Row],[OPEN_PRICE]],"Gain","Loss")</f>
        <v>Loss</v>
      </c>
      <c r="O247" t="str">
        <f>IF(Table1[[#This Row],[MARKET_CAP]]&gt;200000000000,"Large Cap",
IF(Table1[[#This Row],[MARKET_CAP]]&gt;50000000000,"Mid Cap","Small Cap"))</f>
        <v>Small Cap</v>
      </c>
      <c r="P247" t="str">
        <f>IF(Table1[[#This Row],[NET_TRDQTY]]&gt;1000000,"High Volume","Low Volume")</f>
        <v>Low Volume</v>
      </c>
    </row>
    <row r="248" spans="1:16" x14ac:dyDescent="0.3">
      <c r="A248" t="s">
        <v>503</v>
      </c>
      <c r="B248" t="s">
        <v>504</v>
      </c>
      <c r="C248">
        <v>102</v>
      </c>
      <c r="D248">
        <v>102.9</v>
      </c>
      <c r="E248">
        <v>97.66</v>
      </c>
      <c r="F248">
        <v>100.58</v>
      </c>
      <c r="G248">
        <v>103.22</v>
      </c>
      <c r="H248">
        <v>556050</v>
      </c>
      <c r="I248">
        <v>6156</v>
      </c>
      <c r="J248">
        <v>18674046598</v>
      </c>
      <c r="K248">
        <v>185663617</v>
      </c>
      <c r="L248">
        <f>(Table1[[#This Row],[CLOSE_PRICE]] - Table1[[#This Row],[PREV_CL_PR]]) / Table1[[#This Row],[PREV_CL_PR]] * 100</f>
        <v>-2.5576438674675459</v>
      </c>
      <c r="M248">
        <f>Table1[[#This Row],[HIGH_PRICE]]-Table1[[#This Row],[LOW_PRICE]]</f>
        <v>5.2400000000000091</v>
      </c>
      <c r="N248" t="str">
        <f>IF(Table1[[#This Row],[CLOSE_PRICE]]&gt;Table1[[#This Row],[OPEN_PRICE]],"Gain","Loss")</f>
        <v>Loss</v>
      </c>
      <c r="O248" t="str">
        <f>IF(Table1[[#This Row],[MARKET_CAP]]&gt;200000000000,"Large Cap",
IF(Table1[[#This Row],[MARKET_CAP]]&gt;50000000000,"Mid Cap","Small Cap"))</f>
        <v>Small Cap</v>
      </c>
      <c r="P248" t="str">
        <f>IF(Table1[[#This Row],[NET_TRDQTY]]&gt;1000000,"High Volume","Low Volume")</f>
        <v>Low Volume</v>
      </c>
    </row>
    <row r="249" spans="1:16" x14ac:dyDescent="0.3">
      <c r="A249" t="s">
        <v>505</v>
      </c>
      <c r="B249" t="s">
        <v>506</v>
      </c>
      <c r="C249">
        <v>1467.8</v>
      </c>
      <c r="D249">
        <v>1510.8</v>
      </c>
      <c r="E249">
        <v>1437.4</v>
      </c>
      <c r="F249">
        <v>1459.9</v>
      </c>
      <c r="G249">
        <v>1511.6</v>
      </c>
      <c r="H249">
        <v>63030</v>
      </c>
      <c r="I249">
        <v>5364</v>
      </c>
      <c r="J249">
        <v>15347813368</v>
      </c>
      <c r="K249">
        <v>10512921</v>
      </c>
      <c r="L249">
        <f>(Table1[[#This Row],[CLOSE_PRICE]] - Table1[[#This Row],[PREV_CL_PR]]) / Table1[[#This Row],[PREV_CL_PR]] * 100</f>
        <v>-3.4202169886213163</v>
      </c>
      <c r="M249">
        <f>Table1[[#This Row],[HIGH_PRICE]]-Table1[[#This Row],[LOW_PRICE]]</f>
        <v>73.399999999999864</v>
      </c>
      <c r="N249" t="str">
        <f>IF(Table1[[#This Row],[CLOSE_PRICE]]&gt;Table1[[#This Row],[OPEN_PRICE]],"Gain","Loss")</f>
        <v>Loss</v>
      </c>
      <c r="O249" t="str">
        <f>IF(Table1[[#This Row],[MARKET_CAP]]&gt;200000000000,"Large Cap",
IF(Table1[[#This Row],[MARKET_CAP]]&gt;50000000000,"Mid Cap","Small Cap"))</f>
        <v>Small Cap</v>
      </c>
      <c r="P249" t="str">
        <f>IF(Table1[[#This Row],[NET_TRDQTY]]&gt;1000000,"High Volume","Low Volume")</f>
        <v>Low Volume</v>
      </c>
    </row>
    <row r="250" spans="1:16" x14ac:dyDescent="0.3">
      <c r="A250" t="s">
        <v>507</v>
      </c>
      <c r="B250" t="s">
        <v>508</v>
      </c>
      <c r="C250">
        <v>22.14</v>
      </c>
      <c r="D250">
        <v>22.89</v>
      </c>
      <c r="E250">
        <v>22.14</v>
      </c>
      <c r="F250">
        <v>22.55</v>
      </c>
      <c r="G250">
        <v>22.81</v>
      </c>
      <c r="H250">
        <v>11205</v>
      </c>
      <c r="I250">
        <v>86</v>
      </c>
      <c r="J250">
        <v>345015000</v>
      </c>
      <c r="K250">
        <v>15300000</v>
      </c>
      <c r="L250">
        <f>(Table1[[#This Row],[CLOSE_PRICE]] - Table1[[#This Row],[PREV_CL_PR]]) / Table1[[#This Row],[PREV_CL_PR]] * 100</f>
        <v>-1.1398509425690402</v>
      </c>
      <c r="M250">
        <f>Table1[[#This Row],[HIGH_PRICE]]-Table1[[#This Row],[LOW_PRICE]]</f>
        <v>0.75</v>
      </c>
      <c r="N250" t="str">
        <f>IF(Table1[[#This Row],[CLOSE_PRICE]]&gt;Table1[[#This Row],[OPEN_PRICE]],"Gain","Loss")</f>
        <v>Gain</v>
      </c>
      <c r="O250" t="str">
        <f>IF(Table1[[#This Row],[MARKET_CAP]]&gt;200000000000,"Large Cap",
IF(Table1[[#This Row],[MARKET_CAP]]&gt;50000000000,"Mid Cap","Small Cap"))</f>
        <v>Small Cap</v>
      </c>
      <c r="P250" t="str">
        <f>IF(Table1[[#This Row],[NET_TRDQTY]]&gt;1000000,"High Volume","Low Volume")</f>
        <v>Low Volume</v>
      </c>
    </row>
    <row r="251" spans="1:16" x14ac:dyDescent="0.3">
      <c r="A251" t="s">
        <v>509</v>
      </c>
      <c r="B251" t="s">
        <v>510</v>
      </c>
      <c r="C251">
        <v>375.35</v>
      </c>
      <c r="D251">
        <v>375.35</v>
      </c>
      <c r="E251">
        <v>356.05</v>
      </c>
      <c r="F251">
        <v>362.3</v>
      </c>
      <c r="G251">
        <v>378.45</v>
      </c>
      <c r="H251">
        <v>35118</v>
      </c>
      <c r="I251">
        <v>2098</v>
      </c>
      <c r="J251">
        <v>5466359937</v>
      </c>
      <c r="K251">
        <v>15087938</v>
      </c>
      <c r="L251">
        <f>(Table1[[#This Row],[CLOSE_PRICE]] - Table1[[#This Row],[PREV_CL_PR]]) / Table1[[#This Row],[PREV_CL_PR]] * 100</f>
        <v>-4.2674065266217402</v>
      </c>
      <c r="M251">
        <f>Table1[[#This Row],[HIGH_PRICE]]-Table1[[#This Row],[LOW_PRICE]]</f>
        <v>19.300000000000011</v>
      </c>
      <c r="N251" t="str">
        <f>IF(Table1[[#This Row],[CLOSE_PRICE]]&gt;Table1[[#This Row],[OPEN_PRICE]],"Gain","Loss")</f>
        <v>Loss</v>
      </c>
      <c r="O251" t="str">
        <f>IF(Table1[[#This Row],[MARKET_CAP]]&gt;200000000000,"Large Cap",
IF(Table1[[#This Row],[MARKET_CAP]]&gt;50000000000,"Mid Cap","Small Cap"))</f>
        <v>Small Cap</v>
      </c>
      <c r="P251" t="str">
        <f>IF(Table1[[#This Row],[NET_TRDQTY]]&gt;1000000,"High Volume","Low Volume")</f>
        <v>Low Volume</v>
      </c>
    </row>
    <row r="252" spans="1:16" x14ac:dyDescent="0.3">
      <c r="A252" t="s">
        <v>511</v>
      </c>
      <c r="B252" t="s">
        <v>512</v>
      </c>
      <c r="C252">
        <v>455</v>
      </c>
      <c r="D252">
        <v>457.95</v>
      </c>
      <c r="E252">
        <v>434.5</v>
      </c>
      <c r="F252">
        <v>439.05</v>
      </c>
      <c r="G252">
        <v>460.4</v>
      </c>
      <c r="H252">
        <v>290070</v>
      </c>
      <c r="I252">
        <v>8205</v>
      </c>
      <c r="J252">
        <v>27539521013</v>
      </c>
      <c r="K252">
        <v>62725250</v>
      </c>
      <c r="L252">
        <f>(Table1[[#This Row],[CLOSE_PRICE]] - Table1[[#This Row],[PREV_CL_PR]]) / Table1[[#This Row],[PREV_CL_PR]] * 100</f>
        <v>-4.6372719374456928</v>
      </c>
      <c r="M252">
        <f>Table1[[#This Row],[HIGH_PRICE]]-Table1[[#This Row],[LOW_PRICE]]</f>
        <v>23.449999999999989</v>
      </c>
      <c r="N252" t="str">
        <f>IF(Table1[[#This Row],[CLOSE_PRICE]]&gt;Table1[[#This Row],[OPEN_PRICE]],"Gain","Loss")</f>
        <v>Loss</v>
      </c>
      <c r="O252" t="str">
        <f>IF(Table1[[#This Row],[MARKET_CAP]]&gt;200000000000,"Large Cap",
IF(Table1[[#This Row],[MARKET_CAP]]&gt;50000000000,"Mid Cap","Small Cap"))</f>
        <v>Small Cap</v>
      </c>
      <c r="P252" t="str">
        <f>IF(Table1[[#This Row],[NET_TRDQTY]]&gt;1000000,"High Volume","Low Volume")</f>
        <v>Low Volume</v>
      </c>
    </row>
    <row r="253" spans="1:16" x14ac:dyDescent="0.3">
      <c r="A253" t="s">
        <v>513</v>
      </c>
      <c r="B253" t="s">
        <v>514</v>
      </c>
      <c r="C253">
        <v>224.8</v>
      </c>
      <c r="D253">
        <v>224.8</v>
      </c>
      <c r="E253">
        <v>218.12</v>
      </c>
      <c r="F253">
        <v>219.36</v>
      </c>
      <c r="G253">
        <v>225.85</v>
      </c>
      <c r="H253">
        <v>107699</v>
      </c>
      <c r="I253">
        <v>4309</v>
      </c>
      <c r="J253">
        <v>34702861022</v>
      </c>
      <c r="K253">
        <v>158200497</v>
      </c>
      <c r="L253">
        <f>(Table1[[#This Row],[CLOSE_PRICE]] - Table1[[#This Row],[PREV_CL_PR]]) / Table1[[#This Row],[PREV_CL_PR]] * 100</f>
        <v>-2.8735886650431617</v>
      </c>
      <c r="M253">
        <f>Table1[[#This Row],[HIGH_PRICE]]-Table1[[#This Row],[LOW_PRICE]]</f>
        <v>6.6800000000000068</v>
      </c>
      <c r="N253" t="str">
        <f>IF(Table1[[#This Row],[CLOSE_PRICE]]&gt;Table1[[#This Row],[OPEN_PRICE]],"Gain","Loss")</f>
        <v>Loss</v>
      </c>
      <c r="O253" t="str">
        <f>IF(Table1[[#This Row],[MARKET_CAP]]&gt;200000000000,"Large Cap",
IF(Table1[[#This Row],[MARKET_CAP]]&gt;50000000000,"Mid Cap","Small Cap"))</f>
        <v>Small Cap</v>
      </c>
      <c r="P253" t="str">
        <f>IF(Table1[[#This Row],[NET_TRDQTY]]&gt;1000000,"High Volume","Low Volume")</f>
        <v>Low Volume</v>
      </c>
    </row>
    <row r="254" spans="1:16" x14ac:dyDescent="0.3">
      <c r="A254" t="s">
        <v>515</v>
      </c>
      <c r="B254" t="s">
        <v>516</v>
      </c>
      <c r="C254">
        <v>34.270000000000003</v>
      </c>
      <c r="D254">
        <v>34.270000000000003</v>
      </c>
      <c r="E254">
        <v>34.270000000000003</v>
      </c>
      <c r="F254">
        <v>34.270000000000003</v>
      </c>
      <c r="G254">
        <v>34.29</v>
      </c>
      <c r="H254">
        <v>500</v>
      </c>
      <c r="I254">
        <v>2</v>
      </c>
      <c r="J254">
        <v>855242120</v>
      </c>
      <c r="K254">
        <v>24956000</v>
      </c>
      <c r="L254">
        <f>(Table1[[#This Row],[CLOSE_PRICE]] - Table1[[#This Row],[PREV_CL_PR]]) / Table1[[#This Row],[PREV_CL_PR]] * 100</f>
        <v>-5.8326042577999476E-2</v>
      </c>
      <c r="M254">
        <f>Table1[[#This Row],[HIGH_PRICE]]-Table1[[#This Row],[LOW_PRICE]]</f>
        <v>0</v>
      </c>
      <c r="N254" t="str">
        <f>IF(Table1[[#This Row],[CLOSE_PRICE]]&gt;Table1[[#This Row],[OPEN_PRICE]],"Gain","Loss")</f>
        <v>Loss</v>
      </c>
      <c r="O254" t="str">
        <f>IF(Table1[[#This Row],[MARKET_CAP]]&gt;200000000000,"Large Cap",
IF(Table1[[#This Row],[MARKET_CAP]]&gt;50000000000,"Mid Cap","Small Cap"))</f>
        <v>Small Cap</v>
      </c>
      <c r="P254" t="str">
        <f>IF(Table1[[#This Row],[NET_TRDQTY]]&gt;1000000,"High Volume","Low Volume")</f>
        <v>Low Volume</v>
      </c>
    </row>
    <row r="255" spans="1:16" x14ac:dyDescent="0.3">
      <c r="A255" t="s">
        <v>517</v>
      </c>
      <c r="B255" t="s">
        <v>518</v>
      </c>
      <c r="C255">
        <v>356.95</v>
      </c>
      <c r="D255">
        <v>356.95</v>
      </c>
      <c r="E255">
        <v>342</v>
      </c>
      <c r="F255">
        <v>346.1</v>
      </c>
      <c r="G255">
        <v>359.25</v>
      </c>
      <c r="H255">
        <v>265842</v>
      </c>
      <c r="I255">
        <v>11057</v>
      </c>
      <c r="J255">
        <v>90717876904</v>
      </c>
      <c r="K255">
        <v>262114640</v>
      </c>
      <c r="L255">
        <f>(Table1[[#This Row],[CLOSE_PRICE]] - Table1[[#This Row],[PREV_CL_PR]]) / Table1[[#This Row],[PREV_CL_PR]] * 100</f>
        <v>-3.6604036186499584</v>
      </c>
      <c r="M255">
        <f>Table1[[#This Row],[HIGH_PRICE]]-Table1[[#This Row],[LOW_PRICE]]</f>
        <v>14.949999999999989</v>
      </c>
      <c r="N255" t="str">
        <f>IF(Table1[[#This Row],[CLOSE_PRICE]]&gt;Table1[[#This Row],[OPEN_PRICE]],"Gain","Loss")</f>
        <v>Loss</v>
      </c>
      <c r="O255" t="str">
        <f>IF(Table1[[#This Row],[MARKET_CAP]]&gt;200000000000,"Large Cap",
IF(Table1[[#This Row],[MARKET_CAP]]&gt;50000000000,"Mid Cap","Small Cap"))</f>
        <v>Mid Cap</v>
      </c>
      <c r="P255" t="str">
        <f>IF(Table1[[#This Row],[NET_TRDQTY]]&gt;1000000,"High Volume","Low Volume")</f>
        <v>Low Volume</v>
      </c>
    </row>
    <row r="256" spans="1:16" x14ac:dyDescent="0.3">
      <c r="A256" t="s">
        <v>519</v>
      </c>
      <c r="B256" t="s">
        <v>520</v>
      </c>
      <c r="C256">
        <v>388.8</v>
      </c>
      <c r="D256">
        <v>392.1</v>
      </c>
      <c r="E256">
        <v>375</v>
      </c>
      <c r="F256">
        <v>378.55</v>
      </c>
      <c r="G256">
        <v>396.7</v>
      </c>
      <c r="H256">
        <v>119789</v>
      </c>
      <c r="I256">
        <v>11553</v>
      </c>
      <c r="J256">
        <v>50570756457</v>
      </c>
      <c r="K256">
        <v>133590692</v>
      </c>
      <c r="L256">
        <f>(Table1[[#This Row],[CLOSE_PRICE]] - Table1[[#This Row],[PREV_CL_PR]]) / Table1[[#This Row],[PREV_CL_PR]] * 100</f>
        <v>-4.5752457776657369</v>
      </c>
      <c r="M256">
        <f>Table1[[#This Row],[HIGH_PRICE]]-Table1[[#This Row],[LOW_PRICE]]</f>
        <v>17.100000000000023</v>
      </c>
      <c r="N256" t="str">
        <f>IF(Table1[[#This Row],[CLOSE_PRICE]]&gt;Table1[[#This Row],[OPEN_PRICE]],"Gain","Loss")</f>
        <v>Loss</v>
      </c>
      <c r="O256" t="str">
        <f>IF(Table1[[#This Row],[MARKET_CAP]]&gt;200000000000,"Large Cap",
IF(Table1[[#This Row],[MARKET_CAP]]&gt;50000000000,"Mid Cap","Small Cap"))</f>
        <v>Mid Cap</v>
      </c>
      <c r="P256" t="str">
        <f>IF(Table1[[#This Row],[NET_TRDQTY]]&gt;1000000,"High Volume","Low Volume")</f>
        <v>Low Volume</v>
      </c>
    </row>
    <row r="257" spans="1:16" x14ac:dyDescent="0.3">
      <c r="A257" t="s">
        <v>521</v>
      </c>
      <c r="B257" t="s">
        <v>522</v>
      </c>
      <c r="C257">
        <v>525.6</v>
      </c>
      <c r="D257">
        <v>526.65</v>
      </c>
      <c r="E257">
        <v>504</v>
      </c>
      <c r="F257">
        <v>513.04999999999995</v>
      </c>
      <c r="G257">
        <v>534.20000000000005</v>
      </c>
      <c r="H257">
        <v>83796</v>
      </c>
      <c r="I257">
        <v>2202</v>
      </c>
      <c r="J257">
        <v>23532053576</v>
      </c>
      <c r="K257">
        <v>45866979</v>
      </c>
      <c r="L257">
        <f>(Table1[[#This Row],[CLOSE_PRICE]] - Table1[[#This Row],[PREV_CL_PR]]) / Table1[[#This Row],[PREV_CL_PR]] * 100</f>
        <v>-3.9591913141145803</v>
      </c>
      <c r="M257">
        <f>Table1[[#This Row],[HIGH_PRICE]]-Table1[[#This Row],[LOW_PRICE]]</f>
        <v>22.649999999999977</v>
      </c>
      <c r="N257" t="str">
        <f>IF(Table1[[#This Row],[CLOSE_PRICE]]&gt;Table1[[#This Row],[OPEN_PRICE]],"Gain","Loss")</f>
        <v>Loss</v>
      </c>
      <c r="O257" t="str">
        <f>IF(Table1[[#This Row],[MARKET_CAP]]&gt;200000000000,"Large Cap",
IF(Table1[[#This Row],[MARKET_CAP]]&gt;50000000000,"Mid Cap","Small Cap"))</f>
        <v>Small Cap</v>
      </c>
      <c r="P257" t="str">
        <f>IF(Table1[[#This Row],[NET_TRDQTY]]&gt;1000000,"High Volume","Low Volume")</f>
        <v>Low Volume</v>
      </c>
    </row>
    <row r="258" spans="1:16" x14ac:dyDescent="0.3">
      <c r="A258" t="s">
        <v>523</v>
      </c>
      <c r="B258" t="s">
        <v>524</v>
      </c>
      <c r="C258">
        <v>807.1</v>
      </c>
      <c r="D258">
        <v>826.95</v>
      </c>
      <c r="E258">
        <v>782.1</v>
      </c>
      <c r="F258">
        <v>801.85</v>
      </c>
      <c r="G258">
        <v>810.45</v>
      </c>
      <c r="H258">
        <v>1034045</v>
      </c>
      <c r="I258">
        <v>59995</v>
      </c>
      <c r="J258">
        <v>204000000000</v>
      </c>
      <c r="K258">
        <v>254927192</v>
      </c>
      <c r="L258">
        <f>(Table1[[#This Row],[CLOSE_PRICE]] - Table1[[#This Row],[PREV_CL_PR]]) / Table1[[#This Row],[PREV_CL_PR]] * 100</f>
        <v>-1.0611388734653615</v>
      </c>
      <c r="M258">
        <f>Table1[[#This Row],[HIGH_PRICE]]-Table1[[#This Row],[LOW_PRICE]]</f>
        <v>44.850000000000023</v>
      </c>
      <c r="N258" t="str">
        <f>IF(Table1[[#This Row],[CLOSE_PRICE]]&gt;Table1[[#This Row],[OPEN_PRICE]],"Gain","Loss")</f>
        <v>Loss</v>
      </c>
      <c r="O258" t="str">
        <f>IF(Table1[[#This Row],[MARKET_CAP]]&gt;200000000000,"Large Cap",
IF(Table1[[#This Row],[MARKET_CAP]]&gt;50000000000,"Mid Cap","Small Cap"))</f>
        <v>Large Cap</v>
      </c>
      <c r="P258" t="str">
        <f>IF(Table1[[#This Row],[NET_TRDQTY]]&gt;1000000,"High Volume","Low Volume")</f>
        <v>High Volume</v>
      </c>
    </row>
    <row r="259" spans="1:16" x14ac:dyDescent="0.3">
      <c r="A259" t="s">
        <v>525</v>
      </c>
      <c r="B259" t="s">
        <v>526</v>
      </c>
      <c r="C259">
        <v>204.11</v>
      </c>
      <c r="D259">
        <v>207.89</v>
      </c>
      <c r="E259">
        <v>195</v>
      </c>
      <c r="F259">
        <v>200.23</v>
      </c>
      <c r="G259">
        <v>206.92</v>
      </c>
      <c r="H259">
        <v>24545</v>
      </c>
      <c r="I259">
        <v>1004</v>
      </c>
      <c r="J259">
        <v>2360163470</v>
      </c>
      <c r="K259">
        <v>11787262</v>
      </c>
      <c r="L259">
        <f>(Table1[[#This Row],[CLOSE_PRICE]] - Table1[[#This Row],[PREV_CL_PR]]) / Table1[[#This Row],[PREV_CL_PR]] * 100</f>
        <v>-3.2331335781944706</v>
      </c>
      <c r="M259">
        <f>Table1[[#This Row],[HIGH_PRICE]]-Table1[[#This Row],[LOW_PRICE]]</f>
        <v>12.889999999999986</v>
      </c>
      <c r="N259" t="str">
        <f>IF(Table1[[#This Row],[CLOSE_PRICE]]&gt;Table1[[#This Row],[OPEN_PRICE]],"Gain","Loss")</f>
        <v>Loss</v>
      </c>
      <c r="O259" t="str">
        <f>IF(Table1[[#This Row],[MARKET_CAP]]&gt;200000000000,"Large Cap",
IF(Table1[[#This Row],[MARKET_CAP]]&gt;50000000000,"Mid Cap","Small Cap"))</f>
        <v>Small Cap</v>
      </c>
      <c r="P259" t="str">
        <f>IF(Table1[[#This Row],[NET_TRDQTY]]&gt;1000000,"High Volume","Low Volume")</f>
        <v>Low Volume</v>
      </c>
    </row>
    <row r="260" spans="1:16" x14ac:dyDescent="0.3">
      <c r="A260" t="s">
        <v>527</v>
      </c>
      <c r="B260" t="s">
        <v>528</v>
      </c>
      <c r="C260">
        <v>410.3</v>
      </c>
      <c r="D260">
        <v>412.75</v>
      </c>
      <c r="E260">
        <v>400</v>
      </c>
      <c r="F260">
        <v>402.3</v>
      </c>
      <c r="G260">
        <v>416.55</v>
      </c>
      <c r="H260">
        <v>15761</v>
      </c>
      <c r="I260">
        <v>869</v>
      </c>
      <c r="J260">
        <v>6382246913</v>
      </c>
      <c r="K260">
        <v>15864397</v>
      </c>
      <c r="L260">
        <f>(Table1[[#This Row],[CLOSE_PRICE]] - Table1[[#This Row],[PREV_CL_PR]]) / Table1[[#This Row],[PREV_CL_PR]] * 100</f>
        <v>-3.420957868203097</v>
      </c>
      <c r="M260">
        <f>Table1[[#This Row],[HIGH_PRICE]]-Table1[[#This Row],[LOW_PRICE]]</f>
        <v>12.75</v>
      </c>
      <c r="N260" t="str">
        <f>IF(Table1[[#This Row],[CLOSE_PRICE]]&gt;Table1[[#This Row],[OPEN_PRICE]],"Gain","Loss")</f>
        <v>Loss</v>
      </c>
      <c r="O260" t="str">
        <f>IF(Table1[[#This Row],[MARKET_CAP]]&gt;200000000000,"Large Cap",
IF(Table1[[#This Row],[MARKET_CAP]]&gt;50000000000,"Mid Cap","Small Cap"))</f>
        <v>Small Cap</v>
      </c>
      <c r="P260" t="str">
        <f>IF(Table1[[#This Row],[NET_TRDQTY]]&gt;1000000,"High Volume","Low Volume")</f>
        <v>Low Volume</v>
      </c>
    </row>
    <row r="261" spans="1:16" x14ac:dyDescent="0.3">
      <c r="A261" t="s">
        <v>529</v>
      </c>
      <c r="B261" t="s">
        <v>530</v>
      </c>
      <c r="C261">
        <v>727.8</v>
      </c>
      <c r="D261">
        <v>728.95</v>
      </c>
      <c r="E261">
        <v>705</v>
      </c>
      <c r="F261">
        <v>717.95</v>
      </c>
      <c r="G261">
        <v>727.8</v>
      </c>
      <c r="H261">
        <v>39761</v>
      </c>
      <c r="I261">
        <v>2872</v>
      </c>
      <c r="J261">
        <v>13626116640</v>
      </c>
      <c r="K261">
        <v>18979200</v>
      </c>
      <c r="L261">
        <f>(Table1[[#This Row],[CLOSE_PRICE]] - Table1[[#This Row],[PREV_CL_PR]]) / Table1[[#This Row],[PREV_CL_PR]] * 100</f>
        <v>-1.3533937895025983</v>
      </c>
      <c r="M261">
        <f>Table1[[#This Row],[HIGH_PRICE]]-Table1[[#This Row],[LOW_PRICE]]</f>
        <v>23.950000000000045</v>
      </c>
      <c r="N261" t="str">
        <f>IF(Table1[[#This Row],[CLOSE_PRICE]]&gt;Table1[[#This Row],[OPEN_PRICE]],"Gain","Loss")</f>
        <v>Loss</v>
      </c>
      <c r="O261" t="str">
        <f>IF(Table1[[#This Row],[MARKET_CAP]]&gt;200000000000,"Large Cap",
IF(Table1[[#This Row],[MARKET_CAP]]&gt;50000000000,"Mid Cap","Small Cap"))</f>
        <v>Small Cap</v>
      </c>
      <c r="P261" t="str">
        <f>IF(Table1[[#This Row],[NET_TRDQTY]]&gt;1000000,"High Volume","Low Volume")</f>
        <v>Low Volume</v>
      </c>
    </row>
    <row r="262" spans="1:16" x14ac:dyDescent="0.3">
      <c r="A262" t="s">
        <v>531</v>
      </c>
      <c r="B262" t="s">
        <v>532</v>
      </c>
      <c r="C262">
        <v>498.4</v>
      </c>
      <c r="D262">
        <v>498.4</v>
      </c>
      <c r="E262">
        <v>471.2</v>
      </c>
      <c r="F262">
        <v>478.85</v>
      </c>
      <c r="G262">
        <v>502.85</v>
      </c>
      <c r="H262">
        <v>455207</v>
      </c>
      <c r="I262">
        <v>11750</v>
      </c>
      <c r="J262">
        <v>45742672027</v>
      </c>
      <c r="K262">
        <v>95526098</v>
      </c>
      <c r="L262">
        <f>(Table1[[#This Row],[CLOSE_PRICE]] - Table1[[#This Row],[PREV_CL_PR]]) / Table1[[#This Row],[PREV_CL_PR]] * 100</f>
        <v>-4.7727950681117628</v>
      </c>
      <c r="M262">
        <f>Table1[[#This Row],[HIGH_PRICE]]-Table1[[#This Row],[LOW_PRICE]]</f>
        <v>27.199999999999989</v>
      </c>
      <c r="N262" t="str">
        <f>IF(Table1[[#This Row],[CLOSE_PRICE]]&gt;Table1[[#This Row],[OPEN_PRICE]],"Gain","Loss")</f>
        <v>Loss</v>
      </c>
      <c r="O262" t="str">
        <f>IF(Table1[[#This Row],[MARKET_CAP]]&gt;200000000000,"Large Cap",
IF(Table1[[#This Row],[MARKET_CAP]]&gt;50000000000,"Mid Cap","Small Cap"))</f>
        <v>Small Cap</v>
      </c>
      <c r="P262" t="str">
        <f>IF(Table1[[#This Row],[NET_TRDQTY]]&gt;1000000,"High Volume","Low Volume")</f>
        <v>Low Volume</v>
      </c>
    </row>
    <row r="263" spans="1:16" x14ac:dyDescent="0.3">
      <c r="A263" t="s">
        <v>533</v>
      </c>
      <c r="B263" t="s">
        <v>534</v>
      </c>
      <c r="C263">
        <v>298.95</v>
      </c>
      <c r="D263">
        <v>305.45</v>
      </c>
      <c r="E263">
        <v>292</v>
      </c>
      <c r="F263">
        <v>294.35000000000002</v>
      </c>
      <c r="G263">
        <v>303.5</v>
      </c>
      <c r="H263">
        <v>109162</v>
      </c>
      <c r="I263">
        <v>4877</v>
      </c>
      <c r="J263">
        <v>29589491658</v>
      </c>
      <c r="K263">
        <v>100524857</v>
      </c>
      <c r="L263">
        <f>(Table1[[#This Row],[CLOSE_PRICE]] - Table1[[#This Row],[PREV_CL_PR]]) / Table1[[#This Row],[PREV_CL_PR]] * 100</f>
        <v>-3.0148270181219035</v>
      </c>
      <c r="M263">
        <f>Table1[[#This Row],[HIGH_PRICE]]-Table1[[#This Row],[LOW_PRICE]]</f>
        <v>13.449999999999989</v>
      </c>
      <c r="N263" t="str">
        <f>IF(Table1[[#This Row],[CLOSE_PRICE]]&gt;Table1[[#This Row],[OPEN_PRICE]],"Gain","Loss")</f>
        <v>Loss</v>
      </c>
      <c r="O263" t="str">
        <f>IF(Table1[[#This Row],[MARKET_CAP]]&gt;200000000000,"Large Cap",
IF(Table1[[#This Row],[MARKET_CAP]]&gt;50000000000,"Mid Cap","Small Cap"))</f>
        <v>Small Cap</v>
      </c>
      <c r="P263" t="str">
        <f>IF(Table1[[#This Row],[NET_TRDQTY]]&gt;1000000,"High Volume","Low Volume")</f>
        <v>Low Volume</v>
      </c>
    </row>
    <row r="264" spans="1:16" x14ac:dyDescent="0.3">
      <c r="A264" t="s">
        <v>535</v>
      </c>
      <c r="B264" t="s">
        <v>536</v>
      </c>
      <c r="C264">
        <v>13.52</v>
      </c>
      <c r="D264">
        <v>13.93</v>
      </c>
      <c r="E264">
        <v>12.91</v>
      </c>
      <c r="F264">
        <v>13.05</v>
      </c>
      <c r="G264">
        <v>14.07</v>
      </c>
      <c r="H264">
        <v>248475</v>
      </c>
      <c r="I264">
        <v>840</v>
      </c>
      <c r="J264">
        <v>2501164018</v>
      </c>
      <c r="K264">
        <v>191660078</v>
      </c>
      <c r="L264">
        <f>(Table1[[#This Row],[CLOSE_PRICE]] - Table1[[#This Row],[PREV_CL_PR]]) / Table1[[#This Row],[PREV_CL_PR]] * 100</f>
        <v>-7.2494669509594853</v>
      </c>
      <c r="M264">
        <f>Table1[[#This Row],[HIGH_PRICE]]-Table1[[#This Row],[LOW_PRICE]]</f>
        <v>1.0199999999999996</v>
      </c>
      <c r="N264" t="str">
        <f>IF(Table1[[#This Row],[CLOSE_PRICE]]&gt;Table1[[#This Row],[OPEN_PRICE]],"Gain","Loss")</f>
        <v>Loss</v>
      </c>
      <c r="O264" t="str">
        <f>IF(Table1[[#This Row],[MARKET_CAP]]&gt;200000000000,"Large Cap",
IF(Table1[[#This Row],[MARKET_CAP]]&gt;50000000000,"Mid Cap","Small Cap"))</f>
        <v>Small Cap</v>
      </c>
      <c r="P264" t="str">
        <f>IF(Table1[[#This Row],[NET_TRDQTY]]&gt;1000000,"High Volume","Low Volume")</f>
        <v>Low Volume</v>
      </c>
    </row>
    <row r="265" spans="1:16" x14ac:dyDescent="0.3">
      <c r="A265" t="s">
        <v>537</v>
      </c>
      <c r="B265" t="s">
        <v>538</v>
      </c>
      <c r="C265">
        <v>112</v>
      </c>
      <c r="D265">
        <v>112</v>
      </c>
      <c r="E265">
        <v>105.5</v>
      </c>
      <c r="F265">
        <v>106.3</v>
      </c>
      <c r="G265">
        <v>113.73</v>
      </c>
      <c r="H265">
        <v>1442744</v>
      </c>
      <c r="I265">
        <v>14648</v>
      </c>
      <c r="J265">
        <v>29840877967</v>
      </c>
      <c r="K265">
        <v>280723217</v>
      </c>
      <c r="L265">
        <f>(Table1[[#This Row],[CLOSE_PRICE]] - Table1[[#This Row],[PREV_CL_PR]]) / Table1[[#This Row],[PREV_CL_PR]] * 100</f>
        <v>-6.5330167941616164</v>
      </c>
      <c r="M265">
        <f>Table1[[#This Row],[HIGH_PRICE]]-Table1[[#This Row],[LOW_PRICE]]</f>
        <v>6.5</v>
      </c>
      <c r="N265" t="str">
        <f>IF(Table1[[#This Row],[CLOSE_PRICE]]&gt;Table1[[#This Row],[OPEN_PRICE]],"Gain","Loss")</f>
        <v>Loss</v>
      </c>
      <c r="O265" t="str">
        <f>IF(Table1[[#This Row],[MARKET_CAP]]&gt;200000000000,"Large Cap",
IF(Table1[[#This Row],[MARKET_CAP]]&gt;50000000000,"Mid Cap","Small Cap"))</f>
        <v>Small Cap</v>
      </c>
      <c r="P265" t="str">
        <f>IF(Table1[[#This Row],[NET_TRDQTY]]&gt;1000000,"High Volume","Low Volume")</f>
        <v>High Volume</v>
      </c>
    </row>
    <row r="266" spans="1:16" x14ac:dyDescent="0.3">
      <c r="A266" t="s">
        <v>539</v>
      </c>
      <c r="B266" t="s">
        <v>540</v>
      </c>
      <c r="C266">
        <v>14.26</v>
      </c>
      <c r="D266">
        <v>15.5</v>
      </c>
      <c r="E266">
        <v>13.62</v>
      </c>
      <c r="F266">
        <v>14.07</v>
      </c>
      <c r="G266">
        <v>14.26</v>
      </c>
      <c r="H266">
        <v>55469</v>
      </c>
      <c r="I266">
        <v>249</v>
      </c>
      <c r="J266">
        <v>351693720</v>
      </c>
      <c r="K266">
        <v>24996000</v>
      </c>
      <c r="L266">
        <f>(Table1[[#This Row],[CLOSE_PRICE]] - Table1[[#This Row],[PREV_CL_PR]]) / Table1[[#This Row],[PREV_CL_PR]] * 100</f>
        <v>-1.3323983169705436</v>
      </c>
      <c r="M266">
        <f>Table1[[#This Row],[HIGH_PRICE]]-Table1[[#This Row],[LOW_PRICE]]</f>
        <v>1.8800000000000008</v>
      </c>
      <c r="N266" t="str">
        <f>IF(Table1[[#This Row],[CLOSE_PRICE]]&gt;Table1[[#This Row],[OPEN_PRICE]],"Gain","Loss")</f>
        <v>Loss</v>
      </c>
      <c r="O266" t="str">
        <f>IF(Table1[[#This Row],[MARKET_CAP]]&gt;200000000000,"Large Cap",
IF(Table1[[#This Row],[MARKET_CAP]]&gt;50000000000,"Mid Cap","Small Cap"))</f>
        <v>Small Cap</v>
      </c>
      <c r="P266" t="str">
        <f>IF(Table1[[#This Row],[NET_TRDQTY]]&gt;1000000,"High Volume","Low Volume")</f>
        <v>Low Volume</v>
      </c>
    </row>
    <row r="267" spans="1:16" x14ac:dyDescent="0.3">
      <c r="A267" t="s">
        <v>541</v>
      </c>
      <c r="B267" t="s">
        <v>542</v>
      </c>
      <c r="C267">
        <v>167.06</v>
      </c>
      <c r="D267">
        <v>167.06</v>
      </c>
      <c r="E267">
        <v>160.91</v>
      </c>
      <c r="F267">
        <v>161.97999999999999</v>
      </c>
      <c r="G267">
        <v>168.89</v>
      </c>
      <c r="H267">
        <v>23531787</v>
      </c>
      <c r="I267">
        <v>203042</v>
      </c>
      <c r="J267">
        <v>951000000000</v>
      </c>
      <c r="K267">
        <v>5873854552</v>
      </c>
      <c r="L267">
        <f>(Table1[[#This Row],[CLOSE_PRICE]] - Table1[[#This Row],[PREV_CL_PR]]) / Table1[[#This Row],[PREV_CL_PR]] * 100</f>
        <v>-4.0914204511812411</v>
      </c>
      <c r="M267">
        <f>Table1[[#This Row],[HIGH_PRICE]]-Table1[[#This Row],[LOW_PRICE]]</f>
        <v>6.1500000000000057</v>
      </c>
      <c r="N267" t="str">
        <f>IF(Table1[[#This Row],[CLOSE_PRICE]]&gt;Table1[[#This Row],[OPEN_PRICE]],"Gain","Loss")</f>
        <v>Loss</v>
      </c>
      <c r="O267" t="str">
        <f>IF(Table1[[#This Row],[MARKET_CAP]]&gt;200000000000,"Large Cap",
IF(Table1[[#This Row],[MARKET_CAP]]&gt;50000000000,"Mid Cap","Small Cap"))</f>
        <v>Large Cap</v>
      </c>
      <c r="P267" t="str">
        <f>IF(Table1[[#This Row],[NET_TRDQTY]]&gt;1000000,"High Volume","Low Volume")</f>
        <v>High Volume</v>
      </c>
    </row>
    <row r="268" spans="1:16" x14ac:dyDescent="0.3">
      <c r="A268" t="s">
        <v>543</v>
      </c>
      <c r="B268" t="s">
        <v>544</v>
      </c>
      <c r="C268">
        <v>282.45</v>
      </c>
      <c r="D268">
        <v>282.45</v>
      </c>
      <c r="E268">
        <v>260</v>
      </c>
      <c r="F268">
        <v>263.10000000000002</v>
      </c>
      <c r="G268">
        <v>282.45</v>
      </c>
      <c r="H268">
        <v>97044</v>
      </c>
      <c r="I268">
        <v>2662</v>
      </c>
      <c r="J268">
        <v>11780156216</v>
      </c>
      <c r="K268">
        <v>44774444</v>
      </c>
      <c r="L268">
        <f>(Table1[[#This Row],[CLOSE_PRICE]] - Table1[[#This Row],[PREV_CL_PR]]) / Table1[[#This Row],[PREV_CL_PR]] * 100</f>
        <v>-6.8507700477960576</v>
      </c>
      <c r="M268">
        <f>Table1[[#This Row],[HIGH_PRICE]]-Table1[[#This Row],[LOW_PRICE]]</f>
        <v>22.449999999999989</v>
      </c>
      <c r="N268" t="str">
        <f>IF(Table1[[#This Row],[CLOSE_PRICE]]&gt;Table1[[#This Row],[OPEN_PRICE]],"Gain","Loss")</f>
        <v>Loss</v>
      </c>
      <c r="O268" t="str">
        <f>IF(Table1[[#This Row],[MARKET_CAP]]&gt;200000000000,"Large Cap",
IF(Table1[[#This Row],[MARKET_CAP]]&gt;50000000000,"Mid Cap","Small Cap"))</f>
        <v>Small Cap</v>
      </c>
      <c r="P268" t="str">
        <f>IF(Table1[[#This Row],[NET_TRDQTY]]&gt;1000000,"High Volume","Low Volume")</f>
        <v>Low Volume</v>
      </c>
    </row>
    <row r="269" spans="1:16" x14ac:dyDescent="0.3">
      <c r="A269" t="s">
        <v>545</v>
      </c>
      <c r="B269" t="s">
        <v>546</v>
      </c>
      <c r="C269">
        <v>293.55</v>
      </c>
      <c r="D269">
        <v>304</v>
      </c>
      <c r="E269">
        <v>276.85000000000002</v>
      </c>
      <c r="F269">
        <v>292.7</v>
      </c>
      <c r="G269">
        <v>287.60000000000002</v>
      </c>
      <c r="H269">
        <v>12431</v>
      </c>
      <c r="I269">
        <v>321</v>
      </c>
      <c r="J269">
        <v>5693960128</v>
      </c>
      <c r="K269">
        <v>19453229</v>
      </c>
      <c r="L269">
        <f>(Table1[[#This Row],[CLOSE_PRICE]] - Table1[[#This Row],[PREV_CL_PR]]) / Table1[[#This Row],[PREV_CL_PR]] * 100</f>
        <v>1.7732962447844107</v>
      </c>
      <c r="M269">
        <f>Table1[[#This Row],[HIGH_PRICE]]-Table1[[#This Row],[LOW_PRICE]]</f>
        <v>27.149999999999977</v>
      </c>
      <c r="N269" t="str">
        <f>IF(Table1[[#This Row],[CLOSE_PRICE]]&gt;Table1[[#This Row],[OPEN_PRICE]],"Gain","Loss")</f>
        <v>Loss</v>
      </c>
      <c r="O269" t="str">
        <f>IF(Table1[[#This Row],[MARKET_CAP]]&gt;200000000000,"Large Cap",
IF(Table1[[#This Row],[MARKET_CAP]]&gt;50000000000,"Mid Cap","Small Cap"))</f>
        <v>Small Cap</v>
      </c>
      <c r="P269" t="str">
        <f>IF(Table1[[#This Row],[NET_TRDQTY]]&gt;1000000,"High Volume","Low Volume")</f>
        <v>Low Volume</v>
      </c>
    </row>
    <row r="270" spans="1:16" x14ac:dyDescent="0.3">
      <c r="A270" t="s">
        <v>547</v>
      </c>
      <c r="B270" t="s">
        <v>548</v>
      </c>
      <c r="C270">
        <v>58.55</v>
      </c>
      <c r="D270">
        <v>59.4</v>
      </c>
      <c r="E270">
        <v>56.1</v>
      </c>
      <c r="F270">
        <v>57.31</v>
      </c>
      <c r="G270">
        <v>60.44</v>
      </c>
      <c r="H270">
        <v>3205825</v>
      </c>
      <c r="I270">
        <v>10797</v>
      </c>
      <c r="J270">
        <v>13290856604</v>
      </c>
      <c r="K270">
        <v>231911649</v>
      </c>
      <c r="L270">
        <f>(Table1[[#This Row],[CLOSE_PRICE]] - Table1[[#This Row],[PREV_CL_PR]]) / Table1[[#This Row],[PREV_CL_PR]] * 100</f>
        <v>-5.1786896095301049</v>
      </c>
      <c r="M270">
        <f>Table1[[#This Row],[HIGH_PRICE]]-Table1[[#This Row],[LOW_PRICE]]</f>
        <v>3.2999999999999972</v>
      </c>
      <c r="N270" t="str">
        <f>IF(Table1[[#This Row],[CLOSE_PRICE]]&gt;Table1[[#This Row],[OPEN_PRICE]],"Gain","Loss")</f>
        <v>Loss</v>
      </c>
      <c r="O270" t="str">
        <f>IF(Table1[[#This Row],[MARKET_CAP]]&gt;200000000000,"Large Cap",
IF(Table1[[#This Row],[MARKET_CAP]]&gt;50000000000,"Mid Cap","Small Cap"))</f>
        <v>Small Cap</v>
      </c>
      <c r="P270" t="str">
        <f>IF(Table1[[#This Row],[NET_TRDQTY]]&gt;1000000,"High Volume","Low Volume")</f>
        <v>High Volume</v>
      </c>
    </row>
    <row r="271" spans="1:16" x14ac:dyDescent="0.3">
      <c r="A271" t="s">
        <v>549</v>
      </c>
      <c r="B271" t="s">
        <v>550</v>
      </c>
      <c r="C271">
        <v>410.4</v>
      </c>
      <c r="D271">
        <v>410.4</v>
      </c>
      <c r="E271">
        <v>392.3</v>
      </c>
      <c r="F271">
        <v>394.75</v>
      </c>
      <c r="G271">
        <v>409.2</v>
      </c>
      <c r="H271">
        <v>173023</v>
      </c>
      <c r="I271">
        <v>14248</v>
      </c>
      <c r="J271">
        <v>77822041350</v>
      </c>
      <c r="K271">
        <v>197142600</v>
      </c>
      <c r="L271">
        <f>(Table1[[#This Row],[CLOSE_PRICE]] - Table1[[#This Row],[PREV_CL_PR]]) / Table1[[#This Row],[PREV_CL_PR]] * 100</f>
        <v>-3.5312805474095774</v>
      </c>
      <c r="M271">
        <f>Table1[[#This Row],[HIGH_PRICE]]-Table1[[#This Row],[LOW_PRICE]]</f>
        <v>18.099999999999966</v>
      </c>
      <c r="N271" t="str">
        <f>IF(Table1[[#This Row],[CLOSE_PRICE]]&gt;Table1[[#This Row],[OPEN_PRICE]],"Gain","Loss")</f>
        <v>Loss</v>
      </c>
      <c r="O271" t="str">
        <f>IF(Table1[[#This Row],[MARKET_CAP]]&gt;200000000000,"Large Cap",
IF(Table1[[#This Row],[MARKET_CAP]]&gt;50000000000,"Mid Cap","Small Cap"))</f>
        <v>Mid Cap</v>
      </c>
      <c r="P271" t="str">
        <f>IF(Table1[[#This Row],[NET_TRDQTY]]&gt;1000000,"High Volume","Low Volume")</f>
        <v>Low Volume</v>
      </c>
    </row>
    <row r="272" spans="1:16" x14ac:dyDescent="0.3">
      <c r="A272" t="s">
        <v>551</v>
      </c>
      <c r="B272" t="s">
        <v>552</v>
      </c>
      <c r="C272">
        <v>7.78</v>
      </c>
      <c r="D272">
        <v>7.92</v>
      </c>
      <c r="E272">
        <v>7.32</v>
      </c>
      <c r="F272">
        <v>7.51</v>
      </c>
      <c r="G272">
        <v>7.77</v>
      </c>
      <c r="H272">
        <v>1803451</v>
      </c>
      <c r="I272">
        <v>5228</v>
      </c>
      <c r="J272">
        <v>2287371317</v>
      </c>
      <c r="K272">
        <v>304576740</v>
      </c>
      <c r="L272">
        <f>(Table1[[#This Row],[CLOSE_PRICE]] - Table1[[#This Row],[PREV_CL_PR]]) / Table1[[#This Row],[PREV_CL_PR]] * 100</f>
        <v>-3.3462033462033434</v>
      </c>
      <c r="M272">
        <f>Table1[[#This Row],[HIGH_PRICE]]-Table1[[#This Row],[LOW_PRICE]]</f>
        <v>0.59999999999999964</v>
      </c>
      <c r="N272" t="str">
        <f>IF(Table1[[#This Row],[CLOSE_PRICE]]&gt;Table1[[#This Row],[OPEN_PRICE]],"Gain","Loss")</f>
        <v>Loss</v>
      </c>
      <c r="O272" t="str">
        <f>IF(Table1[[#This Row],[MARKET_CAP]]&gt;200000000000,"Large Cap",
IF(Table1[[#This Row],[MARKET_CAP]]&gt;50000000000,"Mid Cap","Small Cap"))</f>
        <v>Small Cap</v>
      </c>
      <c r="P272" t="str">
        <f>IF(Table1[[#This Row],[NET_TRDQTY]]&gt;1000000,"High Volume","Low Volume")</f>
        <v>High Volume</v>
      </c>
    </row>
    <row r="273" spans="1:16" x14ac:dyDescent="0.3">
      <c r="A273" t="s">
        <v>553</v>
      </c>
      <c r="B273" t="s">
        <v>554</v>
      </c>
      <c r="C273">
        <v>200.25</v>
      </c>
      <c r="D273">
        <v>208</v>
      </c>
      <c r="E273">
        <v>200.25</v>
      </c>
      <c r="F273">
        <v>205.01</v>
      </c>
      <c r="G273">
        <v>207.83</v>
      </c>
      <c r="H273">
        <v>18284</v>
      </c>
      <c r="I273">
        <v>72</v>
      </c>
      <c r="J273">
        <v>1602827223</v>
      </c>
      <c r="K273">
        <v>7818288</v>
      </c>
      <c r="L273">
        <f>(Table1[[#This Row],[CLOSE_PRICE]] - Table1[[#This Row],[PREV_CL_PR]]) / Table1[[#This Row],[PREV_CL_PR]] * 100</f>
        <v>-1.3568782177741525</v>
      </c>
      <c r="M273">
        <f>Table1[[#This Row],[HIGH_PRICE]]-Table1[[#This Row],[LOW_PRICE]]</f>
        <v>7.75</v>
      </c>
      <c r="N273" t="str">
        <f>IF(Table1[[#This Row],[CLOSE_PRICE]]&gt;Table1[[#This Row],[OPEN_PRICE]],"Gain","Loss")</f>
        <v>Gain</v>
      </c>
      <c r="O273" t="str">
        <f>IF(Table1[[#This Row],[MARKET_CAP]]&gt;200000000000,"Large Cap",
IF(Table1[[#This Row],[MARKET_CAP]]&gt;50000000000,"Mid Cap","Small Cap"))</f>
        <v>Small Cap</v>
      </c>
      <c r="P273" t="str">
        <f>IF(Table1[[#This Row],[NET_TRDQTY]]&gt;1000000,"High Volume","Low Volume")</f>
        <v>Low Volume</v>
      </c>
    </row>
    <row r="274" spans="1:16" x14ac:dyDescent="0.3">
      <c r="A274" t="s">
        <v>555</v>
      </c>
      <c r="B274" t="s">
        <v>556</v>
      </c>
      <c r="C274">
        <v>551.65</v>
      </c>
      <c r="D274">
        <v>558</v>
      </c>
      <c r="E274">
        <v>513.4</v>
      </c>
      <c r="F274">
        <v>521.85</v>
      </c>
      <c r="G274">
        <v>562.85</v>
      </c>
      <c r="H274">
        <v>56867</v>
      </c>
      <c r="I274">
        <v>2808</v>
      </c>
      <c r="J274">
        <v>11627684793</v>
      </c>
      <c r="K274">
        <v>22281661</v>
      </c>
      <c r="L274">
        <f>(Table1[[#This Row],[CLOSE_PRICE]] - Table1[[#This Row],[PREV_CL_PR]]) / Table1[[#This Row],[PREV_CL_PR]] * 100</f>
        <v>-7.2843564004619346</v>
      </c>
      <c r="M274">
        <f>Table1[[#This Row],[HIGH_PRICE]]-Table1[[#This Row],[LOW_PRICE]]</f>
        <v>44.600000000000023</v>
      </c>
      <c r="N274" t="str">
        <f>IF(Table1[[#This Row],[CLOSE_PRICE]]&gt;Table1[[#This Row],[OPEN_PRICE]],"Gain","Loss")</f>
        <v>Loss</v>
      </c>
      <c r="O274" t="str">
        <f>IF(Table1[[#This Row],[MARKET_CAP]]&gt;200000000000,"Large Cap",
IF(Table1[[#This Row],[MARKET_CAP]]&gt;50000000000,"Mid Cap","Small Cap"))</f>
        <v>Small Cap</v>
      </c>
      <c r="P274" t="str">
        <f>IF(Table1[[#This Row],[NET_TRDQTY]]&gt;1000000,"High Volume","Low Volume")</f>
        <v>Low Volume</v>
      </c>
    </row>
    <row r="275" spans="1:16" x14ac:dyDescent="0.3">
      <c r="A275" t="s">
        <v>557</v>
      </c>
      <c r="B275" t="s">
        <v>558</v>
      </c>
      <c r="C275">
        <v>625.29999999999995</v>
      </c>
      <c r="D275">
        <v>626.95000000000005</v>
      </c>
      <c r="E275">
        <v>603.79999999999995</v>
      </c>
      <c r="F275">
        <v>621.29999999999995</v>
      </c>
      <c r="G275">
        <v>626.95000000000005</v>
      </c>
      <c r="H275">
        <v>671519</v>
      </c>
      <c r="I275">
        <v>37760</v>
      </c>
      <c r="J275">
        <v>322000000000</v>
      </c>
      <c r="K275">
        <v>518121029</v>
      </c>
      <c r="L275">
        <f>(Table1[[#This Row],[CLOSE_PRICE]] - Table1[[#This Row],[PREV_CL_PR]]) / Table1[[#This Row],[PREV_CL_PR]] * 100</f>
        <v>-0.90118829252732924</v>
      </c>
      <c r="M275">
        <f>Table1[[#This Row],[HIGH_PRICE]]-Table1[[#This Row],[LOW_PRICE]]</f>
        <v>23.150000000000091</v>
      </c>
      <c r="N275" t="str">
        <f>IF(Table1[[#This Row],[CLOSE_PRICE]]&gt;Table1[[#This Row],[OPEN_PRICE]],"Gain","Loss")</f>
        <v>Loss</v>
      </c>
      <c r="O275" t="str">
        <f>IF(Table1[[#This Row],[MARKET_CAP]]&gt;200000000000,"Large Cap",
IF(Table1[[#This Row],[MARKET_CAP]]&gt;50000000000,"Mid Cap","Small Cap"))</f>
        <v>Large Cap</v>
      </c>
      <c r="P275" t="str">
        <f>IF(Table1[[#This Row],[NET_TRDQTY]]&gt;1000000,"High Volume","Low Volume")</f>
        <v>Low Volume</v>
      </c>
    </row>
    <row r="276" spans="1:16" x14ac:dyDescent="0.3">
      <c r="A276" t="s">
        <v>559</v>
      </c>
      <c r="B276" t="s">
        <v>560</v>
      </c>
      <c r="C276">
        <v>1586.6</v>
      </c>
      <c r="D276">
        <v>1614.4</v>
      </c>
      <c r="E276">
        <v>1546.9</v>
      </c>
      <c r="F276">
        <v>1556.3</v>
      </c>
      <c r="G276">
        <v>1631.8</v>
      </c>
      <c r="H276">
        <v>524399</v>
      </c>
      <c r="I276">
        <v>25769</v>
      </c>
      <c r="J276">
        <v>418000000000</v>
      </c>
      <c r="K276">
        <v>268650163</v>
      </c>
      <c r="L276">
        <f>(Table1[[#This Row],[CLOSE_PRICE]] - Table1[[#This Row],[PREV_CL_PR]]) / Table1[[#This Row],[PREV_CL_PR]] * 100</f>
        <v>-4.6267924990807705</v>
      </c>
      <c r="M276">
        <f>Table1[[#This Row],[HIGH_PRICE]]-Table1[[#This Row],[LOW_PRICE]]</f>
        <v>67.5</v>
      </c>
      <c r="N276" t="str">
        <f>IF(Table1[[#This Row],[CLOSE_PRICE]]&gt;Table1[[#This Row],[OPEN_PRICE]],"Gain","Loss")</f>
        <v>Loss</v>
      </c>
      <c r="O276" t="str">
        <f>IF(Table1[[#This Row],[MARKET_CAP]]&gt;200000000000,"Large Cap",
IF(Table1[[#This Row],[MARKET_CAP]]&gt;50000000000,"Mid Cap","Small Cap"))</f>
        <v>Large Cap</v>
      </c>
      <c r="P276" t="str">
        <f>IF(Table1[[#This Row],[NET_TRDQTY]]&gt;1000000,"High Volume","Low Volume")</f>
        <v>Low Volume</v>
      </c>
    </row>
    <row r="277" spans="1:16" x14ac:dyDescent="0.3">
      <c r="A277" t="s">
        <v>561</v>
      </c>
      <c r="B277" t="s">
        <v>562</v>
      </c>
      <c r="C277">
        <v>873</v>
      </c>
      <c r="D277">
        <v>915</v>
      </c>
      <c r="E277">
        <v>872.95</v>
      </c>
      <c r="F277">
        <v>892.25</v>
      </c>
      <c r="G277">
        <v>890.8</v>
      </c>
      <c r="H277">
        <v>636013</v>
      </c>
      <c r="I277">
        <v>41899</v>
      </c>
      <c r="J277">
        <v>84714683388</v>
      </c>
      <c r="K277">
        <v>94945008</v>
      </c>
      <c r="L277">
        <f>(Table1[[#This Row],[CLOSE_PRICE]] - Table1[[#This Row],[PREV_CL_PR]]) / Table1[[#This Row],[PREV_CL_PR]] * 100</f>
        <v>0.16277503367759827</v>
      </c>
      <c r="M277">
        <f>Table1[[#This Row],[HIGH_PRICE]]-Table1[[#This Row],[LOW_PRICE]]</f>
        <v>42.049999999999955</v>
      </c>
      <c r="N277" t="str">
        <f>IF(Table1[[#This Row],[CLOSE_PRICE]]&gt;Table1[[#This Row],[OPEN_PRICE]],"Gain","Loss")</f>
        <v>Gain</v>
      </c>
      <c r="O277" t="str">
        <f>IF(Table1[[#This Row],[MARKET_CAP]]&gt;200000000000,"Large Cap",
IF(Table1[[#This Row],[MARKET_CAP]]&gt;50000000000,"Mid Cap","Small Cap"))</f>
        <v>Mid Cap</v>
      </c>
      <c r="P277" t="str">
        <f>IF(Table1[[#This Row],[NET_TRDQTY]]&gt;1000000,"High Volume","Low Volume")</f>
        <v>Low Volume</v>
      </c>
    </row>
    <row r="278" spans="1:16" x14ac:dyDescent="0.3">
      <c r="A278" t="s">
        <v>563</v>
      </c>
      <c r="B278" t="s">
        <v>564</v>
      </c>
      <c r="C278">
        <v>8300</v>
      </c>
      <c r="D278">
        <v>8300</v>
      </c>
      <c r="E278">
        <v>8001</v>
      </c>
      <c r="F278">
        <v>8154.5</v>
      </c>
      <c r="G278">
        <v>8321</v>
      </c>
      <c r="H278">
        <v>16039</v>
      </c>
      <c r="I278">
        <v>3688</v>
      </c>
      <c r="J278">
        <v>204000000000</v>
      </c>
      <c r="K278">
        <v>25000000</v>
      </c>
      <c r="L278">
        <f>(Table1[[#This Row],[CLOSE_PRICE]] - Table1[[#This Row],[PREV_CL_PR]]) / Table1[[#This Row],[PREV_CL_PR]] * 100</f>
        <v>-2.0009614229059007</v>
      </c>
      <c r="M278">
        <f>Table1[[#This Row],[HIGH_PRICE]]-Table1[[#This Row],[LOW_PRICE]]</f>
        <v>299</v>
      </c>
      <c r="N278" t="str">
        <f>IF(Table1[[#This Row],[CLOSE_PRICE]]&gt;Table1[[#This Row],[OPEN_PRICE]],"Gain","Loss")</f>
        <v>Loss</v>
      </c>
      <c r="O278" t="str">
        <f>IF(Table1[[#This Row],[MARKET_CAP]]&gt;200000000000,"Large Cap",
IF(Table1[[#This Row],[MARKET_CAP]]&gt;50000000000,"Mid Cap","Small Cap"))</f>
        <v>Large Cap</v>
      </c>
      <c r="P278" t="str">
        <f>IF(Table1[[#This Row],[NET_TRDQTY]]&gt;1000000,"High Volume","Low Volume")</f>
        <v>Low Volume</v>
      </c>
    </row>
    <row r="279" spans="1:16" x14ac:dyDescent="0.3">
      <c r="A279" t="s">
        <v>565</v>
      </c>
      <c r="B279" t="s">
        <v>566</v>
      </c>
      <c r="C279">
        <v>4.1900000000000004</v>
      </c>
      <c r="D279">
        <v>4.1900000000000004</v>
      </c>
      <c r="E279">
        <v>3.84</v>
      </c>
      <c r="F279">
        <v>3.86</v>
      </c>
      <c r="G279">
        <v>4.04</v>
      </c>
      <c r="H279">
        <v>69639</v>
      </c>
      <c r="I279">
        <v>227</v>
      </c>
      <c r="J279">
        <v>179490000</v>
      </c>
      <c r="K279">
        <v>46500000</v>
      </c>
      <c r="L279">
        <f>(Table1[[#This Row],[CLOSE_PRICE]] - Table1[[#This Row],[PREV_CL_PR]]) / Table1[[#This Row],[PREV_CL_PR]] * 100</f>
        <v>-4.4554455445544594</v>
      </c>
      <c r="M279">
        <f>Table1[[#This Row],[HIGH_PRICE]]-Table1[[#This Row],[LOW_PRICE]]</f>
        <v>0.35000000000000053</v>
      </c>
      <c r="N279" t="str">
        <f>IF(Table1[[#This Row],[CLOSE_PRICE]]&gt;Table1[[#This Row],[OPEN_PRICE]],"Gain","Loss")</f>
        <v>Loss</v>
      </c>
      <c r="O279" t="str">
        <f>IF(Table1[[#This Row],[MARKET_CAP]]&gt;200000000000,"Large Cap",
IF(Table1[[#This Row],[MARKET_CAP]]&gt;50000000000,"Mid Cap","Small Cap"))</f>
        <v>Small Cap</v>
      </c>
      <c r="P279" t="str">
        <f>IF(Table1[[#This Row],[NET_TRDQTY]]&gt;1000000,"High Volume","Low Volume")</f>
        <v>Low Volume</v>
      </c>
    </row>
    <row r="280" spans="1:16" x14ac:dyDescent="0.3">
      <c r="A280" t="s">
        <v>567</v>
      </c>
      <c r="B280" t="s">
        <v>568</v>
      </c>
      <c r="C280">
        <v>23.38</v>
      </c>
      <c r="D280">
        <v>23.46</v>
      </c>
      <c r="E280">
        <v>21.81</v>
      </c>
      <c r="F280">
        <v>22.18</v>
      </c>
      <c r="G280">
        <v>23.36</v>
      </c>
      <c r="H280">
        <v>4980203</v>
      </c>
      <c r="I280">
        <v>3162</v>
      </c>
      <c r="J280">
        <v>2728056825</v>
      </c>
      <c r="K280">
        <v>122996250</v>
      </c>
      <c r="L280">
        <f>(Table1[[#This Row],[CLOSE_PRICE]] - Table1[[#This Row],[PREV_CL_PR]]) / Table1[[#This Row],[PREV_CL_PR]] * 100</f>
        <v>-5.0513698630136972</v>
      </c>
      <c r="M280">
        <f>Table1[[#This Row],[HIGH_PRICE]]-Table1[[#This Row],[LOW_PRICE]]</f>
        <v>1.6500000000000021</v>
      </c>
      <c r="N280" t="str">
        <f>IF(Table1[[#This Row],[CLOSE_PRICE]]&gt;Table1[[#This Row],[OPEN_PRICE]],"Gain","Loss")</f>
        <v>Loss</v>
      </c>
      <c r="O280" t="str">
        <f>IF(Table1[[#This Row],[MARKET_CAP]]&gt;200000000000,"Large Cap",
IF(Table1[[#This Row],[MARKET_CAP]]&gt;50000000000,"Mid Cap","Small Cap"))</f>
        <v>Small Cap</v>
      </c>
      <c r="P280" t="str">
        <f>IF(Table1[[#This Row],[NET_TRDQTY]]&gt;1000000,"High Volume","Low Volume")</f>
        <v>High Volume</v>
      </c>
    </row>
    <row r="281" spans="1:16" x14ac:dyDescent="0.3">
      <c r="A281" t="s">
        <v>569</v>
      </c>
      <c r="B281" t="s">
        <v>570</v>
      </c>
      <c r="C281">
        <v>57.55</v>
      </c>
      <c r="D281">
        <v>61</v>
      </c>
      <c r="E281">
        <v>54</v>
      </c>
      <c r="F281">
        <v>56.63</v>
      </c>
      <c r="G281">
        <v>58.93</v>
      </c>
      <c r="H281">
        <v>18157</v>
      </c>
      <c r="I281">
        <v>343</v>
      </c>
      <c r="J281">
        <v>649149690</v>
      </c>
      <c r="K281">
        <v>11463000</v>
      </c>
      <c r="L281">
        <f>(Table1[[#This Row],[CLOSE_PRICE]] - Table1[[#This Row],[PREV_CL_PR]]) / Table1[[#This Row],[PREV_CL_PR]] * 100</f>
        <v>-3.9029356864075972</v>
      </c>
      <c r="M281">
        <f>Table1[[#This Row],[HIGH_PRICE]]-Table1[[#This Row],[LOW_PRICE]]</f>
        <v>7</v>
      </c>
      <c r="N281" t="str">
        <f>IF(Table1[[#This Row],[CLOSE_PRICE]]&gt;Table1[[#This Row],[OPEN_PRICE]],"Gain","Loss")</f>
        <v>Loss</v>
      </c>
      <c r="O281" t="str">
        <f>IF(Table1[[#This Row],[MARKET_CAP]]&gt;200000000000,"Large Cap",
IF(Table1[[#This Row],[MARKET_CAP]]&gt;50000000000,"Mid Cap","Small Cap"))</f>
        <v>Small Cap</v>
      </c>
      <c r="P281" t="str">
        <f>IF(Table1[[#This Row],[NET_TRDQTY]]&gt;1000000,"High Volume","Low Volume")</f>
        <v>Low Volume</v>
      </c>
    </row>
    <row r="282" spans="1:16" x14ac:dyDescent="0.3">
      <c r="A282" t="s">
        <v>571</v>
      </c>
      <c r="B282" t="s">
        <v>572</v>
      </c>
      <c r="C282">
        <v>547.5</v>
      </c>
      <c r="D282">
        <v>547.5</v>
      </c>
      <c r="E282">
        <v>510.1</v>
      </c>
      <c r="F282">
        <v>513.6</v>
      </c>
      <c r="G282">
        <v>551.9</v>
      </c>
      <c r="H282">
        <v>3898645</v>
      </c>
      <c r="I282">
        <v>63336</v>
      </c>
      <c r="J282">
        <v>565000000000</v>
      </c>
      <c r="K282">
        <v>1099810083</v>
      </c>
      <c r="L282">
        <f>(Table1[[#This Row],[CLOSE_PRICE]] - Table1[[#This Row],[PREV_CL_PR]]) / Table1[[#This Row],[PREV_CL_PR]] * 100</f>
        <v>-6.9396629824243439</v>
      </c>
      <c r="M282">
        <f>Table1[[#This Row],[HIGH_PRICE]]-Table1[[#This Row],[LOW_PRICE]]</f>
        <v>37.399999999999977</v>
      </c>
      <c r="N282" t="str">
        <f>IF(Table1[[#This Row],[CLOSE_PRICE]]&gt;Table1[[#This Row],[OPEN_PRICE]],"Gain","Loss")</f>
        <v>Loss</v>
      </c>
      <c r="O282" t="str">
        <f>IF(Table1[[#This Row],[MARKET_CAP]]&gt;200000000000,"Large Cap",
IF(Table1[[#This Row],[MARKET_CAP]]&gt;50000000000,"Mid Cap","Small Cap"))</f>
        <v>Large Cap</v>
      </c>
      <c r="P282" t="str">
        <f>IF(Table1[[#This Row],[NET_TRDQTY]]&gt;1000000,"High Volume","Low Volume")</f>
        <v>High Volume</v>
      </c>
    </row>
    <row r="283" spans="1:16" x14ac:dyDescent="0.3">
      <c r="A283" t="s">
        <v>573</v>
      </c>
      <c r="B283" t="s">
        <v>574</v>
      </c>
      <c r="C283">
        <v>789</v>
      </c>
      <c r="D283">
        <v>789</v>
      </c>
      <c r="E283">
        <v>717.05</v>
      </c>
      <c r="F283">
        <v>749.05</v>
      </c>
      <c r="G283">
        <v>780.6</v>
      </c>
      <c r="H283">
        <v>4878841</v>
      </c>
      <c r="I283">
        <v>125860</v>
      </c>
      <c r="J283">
        <v>286000000000</v>
      </c>
      <c r="K283">
        <v>381407309</v>
      </c>
      <c r="L283">
        <f>(Table1[[#This Row],[CLOSE_PRICE]] - Table1[[#This Row],[PREV_CL_PR]]) / Table1[[#This Row],[PREV_CL_PR]] * 100</f>
        <v>-4.0417627466051842</v>
      </c>
      <c r="M283">
        <f>Table1[[#This Row],[HIGH_PRICE]]-Table1[[#This Row],[LOW_PRICE]]</f>
        <v>71.950000000000045</v>
      </c>
      <c r="N283" t="str">
        <f>IF(Table1[[#This Row],[CLOSE_PRICE]]&gt;Table1[[#This Row],[OPEN_PRICE]],"Gain","Loss")</f>
        <v>Loss</v>
      </c>
      <c r="O283" t="str">
        <f>IF(Table1[[#This Row],[MARKET_CAP]]&gt;200000000000,"Large Cap",
IF(Table1[[#This Row],[MARKET_CAP]]&gt;50000000000,"Mid Cap","Small Cap"))</f>
        <v>Large Cap</v>
      </c>
      <c r="P283" t="str">
        <f>IF(Table1[[#This Row],[NET_TRDQTY]]&gt;1000000,"High Volume","Low Volume")</f>
        <v>High Volume</v>
      </c>
    </row>
    <row r="284" spans="1:16" x14ac:dyDescent="0.3">
      <c r="A284" t="s">
        <v>575</v>
      </c>
      <c r="B284" t="s">
        <v>576</v>
      </c>
      <c r="C284">
        <v>22.25</v>
      </c>
      <c r="D284">
        <v>22.3</v>
      </c>
      <c r="E284">
        <v>20.6</v>
      </c>
      <c r="F284">
        <v>21.12</v>
      </c>
      <c r="G284">
        <v>22.32</v>
      </c>
      <c r="H284">
        <v>310289</v>
      </c>
      <c r="I284">
        <v>1280</v>
      </c>
      <c r="J284">
        <v>5323514043</v>
      </c>
      <c r="K284">
        <v>252060324</v>
      </c>
      <c r="L284">
        <f>(Table1[[#This Row],[CLOSE_PRICE]] - Table1[[#This Row],[PREV_CL_PR]]) / Table1[[#This Row],[PREV_CL_PR]] * 100</f>
        <v>-5.3763440860215024</v>
      </c>
      <c r="M284">
        <f>Table1[[#This Row],[HIGH_PRICE]]-Table1[[#This Row],[LOW_PRICE]]</f>
        <v>1.6999999999999993</v>
      </c>
      <c r="N284" t="str">
        <f>IF(Table1[[#This Row],[CLOSE_PRICE]]&gt;Table1[[#This Row],[OPEN_PRICE]],"Gain","Loss")</f>
        <v>Loss</v>
      </c>
      <c r="O284" t="str">
        <f>IF(Table1[[#This Row],[MARKET_CAP]]&gt;200000000000,"Large Cap",
IF(Table1[[#This Row],[MARKET_CAP]]&gt;50000000000,"Mid Cap","Small Cap"))</f>
        <v>Small Cap</v>
      </c>
      <c r="P284" t="str">
        <f>IF(Table1[[#This Row],[NET_TRDQTY]]&gt;1000000,"High Volume","Low Volume")</f>
        <v>Low Volume</v>
      </c>
    </row>
    <row r="285" spans="1:16" x14ac:dyDescent="0.3">
      <c r="A285" t="s">
        <v>577</v>
      </c>
      <c r="B285" t="s">
        <v>578</v>
      </c>
      <c r="C285">
        <v>36</v>
      </c>
      <c r="D285">
        <v>36.54</v>
      </c>
      <c r="E285">
        <v>34.31</v>
      </c>
      <c r="F285">
        <v>34.58</v>
      </c>
      <c r="G285">
        <v>37.090000000000003</v>
      </c>
      <c r="H285">
        <v>31478</v>
      </c>
      <c r="I285">
        <v>487</v>
      </c>
      <c r="J285">
        <v>2818270000</v>
      </c>
      <c r="K285">
        <v>81500000</v>
      </c>
      <c r="L285">
        <f>(Table1[[#This Row],[CLOSE_PRICE]] - Table1[[#This Row],[PREV_CL_PR]]) / Table1[[#This Row],[PREV_CL_PR]] * 100</f>
        <v>-6.7673227284982609</v>
      </c>
      <c r="M285">
        <f>Table1[[#This Row],[HIGH_PRICE]]-Table1[[#This Row],[LOW_PRICE]]</f>
        <v>2.2299999999999969</v>
      </c>
      <c r="N285" t="str">
        <f>IF(Table1[[#This Row],[CLOSE_PRICE]]&gt;Table1[[#This Row],[OPEN_PRICE]],"Gain","Loss")</f>
        <v>Loss</v>
      </c>
      <c r="O285" t="str">
        <f>IF(Table1[[#This Row],[MARKET_CAP]]&gt;200000000000,"Large Cap",
IF(Table1[[#This Row],[MARKET_CAP]]&gt;50000000000,"Mid Cap","Small Cap"))</f>
        <v>Small Cap</v>
      </c>
      <c r="P285" t="str">
        <f>IF(Table1[[#This Row],[NET_TRDQTY]]&gt;1000000,"High Volume","Low Volume")</f>
        <v>Low Volume</v>
      </c>
    </row>
    <row r="286" spans="1:16" x14ac:dyDescent="0.3">
      <c r="A286" t="s">
        <v>579</v>
      </c>
      <c r="B286" t="s">
        <v>580</v>
      </c>
      <c r="C286">
        <v>1170</v>
      </c>
      <c r="D286">
        <v>1170</v>
      </c>
      <c r="E286">
        <v>1066</v>
      </c>
      <c r="F286">
        <v>1099.8499999999999</v>
      </c>
      <c r="G286">
        <v>1179.2</v>
      </c>
      <c r="H286">
        <v>510574</v>
      </c>
      <c r="I286">
        <v>29551</v>
      </c>
      <c r="J286">
        <v>84574753006</v>
      </c>
      <c r="K286">
        <v>76896625</v>
      </c>
      <c r="L286">
        <f>(Table1[[#This Row],[CLOSE_PRICE]] - Table1[[#This Row],[PREV_CL_PR]]) / Table1[[#This Row],[PREV_CL_PR]] * 100</f>
        <v>-6.7291383989145288</v>
      </c>
      <c r="M286">
        <f>Table1[[#This Row],[HIGH_PRICE]]-Table1[[#This Row],[LOW_PRICE]]</f>
        <v>104</v>
      </c>
      <c r="N286" t="str">
        <f>IF(Table1[[#This Row],[CLOSE_PRICE]]&gt;Table1[[#This Row],[OPEN_PRICE]],"Gain","Loss")</f>
        <v>Loss</v>
      </c>
      <c r="O286" t="str">
        <f>IF(Table1[[#This Row],[MARKET_CAP]]&gt;200000000000,"Large Cap",
IF(Table1[[#This Row],[MARKET_CAP]]&gt;50000000000,"Mid Cap","Small Cap"))</f>
        <v>Mid Cap</v>
      </c>
      <c r="P286" t="str">
        <f>IF(Table1[[#This Row],[NET_TRDQTY]]&gt;1000000,"High Volume","Low Volume")</f>
        <v>Low Volume</v>
      </c>
    </row>
    <row r="287" spans="1:16" x14ac:dyDescent="0.3">
      <c r="A287" t="s">
        <v>581</v>
      </c>
      <c r="B287" t="s">
        <v>582</v>
      </c>
      <c r="C287">
        <v>81.27</v>
      </c>
      <c r="D287">
        <v>82.79</v>
      </c>
      <c r="E287">
        <v>76.150000000000006</v>
      </c>
      <c r="F287">
        <v>78.12</v>
      </c>
      <c r="G287">
        <v>81.260000000000005</v>
      </c>
      <c r="H287">
        <v>7455</v>
      </c>
      <c r="I287">
        <v>127</v>
      </c>
      <c r="J287">
        <v>508079824.60000002</v>
      </c>
      <c r="K287">
        <v>6503838</v>
      </c>
      <c r="L287">
        <f>(Table1[[#This Row],[CLOSE_PRICE]] - Table1[[#This Row],[PREV_CL_PR]]) / Table1[[#This Row],[PREV_CL_PR]] * 100</f>
        <v>-3.864139798178686</v>
      </c>
      <c r="M287">
        <f>Table1[[#This Row],[HIGH_PRICE]]-Table1[[#This Row],[LOW_PRICE]]</f>
        <v>6.6400000000000006</v>
      </c>
      <c r="N287" t="str">
        <f>IF(Table1[[#This Row],[CLOSE_PRICE]]&gt;Table1[[#This Row],[OPEN_PRICE]],"Gain","Loss")</f>
        <v>Loss</v>
      </c>
      <c r="O287" t="str">
        <f>IF(Table1[[#This Row],[MARKET_CAP]]&gt;200000000000,"Large Cap",
IF(Table1[[#This Row],[MARKET_CAP]]&gt;50000000000,"Mid Cap","Small Cap"))</f>
        <v>Small Cap</v>
      </c>
      <c r="P287" t="str">
        <f>IF(Table1[[#This Row],[NET_TRDQTY]]&gt;1000000,"High Volume","Low Volume")</f>
        <v>Low Volume</v>
      </c>
    </row>
    <row r="288" spans="1:16" x14ac:dyDescent="0.3">
      <c r="A288" t="s">
        <v>583</v>
      </c>
      <c r="B288" t="s">
        <v>584</v>
      </c>
      <c r="C288">
        <v>6192</v>
      </c>
      <c r="D288">
        <v>6248</v>
      </c>
      <c r="E288">
        <v>6045.5</v>
      </c>
      <c r="F288">
        <v>6102.5</v>
      </c>
      <c r="G288">
        <v>6245</v>
      </c>
      <c r="H288">
        <v>30831</v>
      </c>
      <c r="I288">
        <v>8723</v>
      </c>
      <c r="J288">
        <v>180000000000</v>
      </c>
      <c r="K288">
        <v>29441755</v>
      </c>
      <c r="L288">
        <f>(Table1[[#This Row],[CLOSE_PRICE]] - Table1[[#This Row],[PREV_CL_PR]]) / Table1[[#This Row],[PREV_CL_PR]] * 100</f>
        <v>-2.2818254603682946</v>
      </c>
      <c r="M288">
        <f>Table1[[#This Row],[HIGH_PRICE]]-Table1[[#This Row],[LOW_PRICE]]</f>
        <v>202.5</v>
      </c>
      <c r="N288" t="str">
        <f>IF(Table1[[#This Row],[CLOSE_PRICE]]&gt;Table1[[#This Row],[OPEN_PRICE]],"Gain","Loss")</f>
        <v>Loss</v>
      </c>
      <c r="O288" t="str">
        <f>IF(Table1[[#This Row],[MARKET_CAP]]&gt;200000000000,"Large Cap",
IF(Table1[[#This Row],[MARKET_CAP]]&gt;50000000000,"Mid Cap","Small Cap"))</f>
        <v>Mid Cap</v>
      </c>
      <c r="P288" t="str">
        <f>IF(Table1[[#This Row],[NET_TRDQTY]]&gt;1000000,"High Volume","Low Volume")</f>
        <v>Low Volume</v>
      </c>
    </row>
    <row r="289" spans="1:16" x14ac:dyDescent="0.3">
      <c r="A289" t="s">
        <v>585</v>
      </c>
      <c r="B289" t="s">
        <v>586</v>
      </c>
      <c r="C289">
        <v>408.85</v>
      </c>
      <c r="D289">
        <v>411.95</v>
      </c>
      <c r="E289">
        <v>390</v>
      </c>
      <c r="F289">
        <v>391.1</v>
      </c>
      <c r="G289">
        <v>417.05</v>
      </c>
      <c r="H289">
        <v>138813</v>
      </c>
      <c r="I289">
        <v>5499</v>
      </c>
      <c r="J289">
        <v>10853525608</v>
      </c>
      <c r="K289">
        <v>27751280</v>
      </c>
      <c r="L289">
        <f>(Table1[[#This Row],[CLOSE_PRICE]] - Table1[[#This Row],[PREV_CL_PR]]) / Table1[[#This Row],[PREV_CL_PR]] * 100</f>
        <v>-6.2222755065339852</v>
      </c>
      <c r="M289">
        <f>Table1[[#This Row],[HIGH_PRICE]]-Table1[[#This Row],[LOW_PRICE]]</f>
        <v>21.949999999999989</v>
      </c>
      <c r="N289" t="str">
        <f>IF(Table1[[#This Row],[CLOSE_PRICE]]&gt;Table1[[#This Row],[OPEN_PRICE]],"Gain","Loss")</f>
        <v>Loss</v>
      </c>
      <c r="O289" t="str">
        <f>IF(Table1[[#This Row],[MARKET_CAP]]&gt;200000000000,"Large Cap",
IF(Table1[[#This Row],[MARKET_CAP]]&gt;50000000000,"Mid Cap","Small Cap"))</f>
        <v>Small Cap</v>
      </c>
      <c r="P289" t="str">
        <f>IF(Table1[[#This Row],[NET_TRDQTY]]&gt;1000000,"High Volume","Low Volume")</f>
        <v>Low Volume</v>
      </c>
    </row>
    <row r="290" spans="1:16" x14ac:dyDescent="0.3">
      <c r="A290" t="s">
        <v>587</v>
      </c>
      <c r="B290" t="s">
        <v>588</v>
      </c>
      <c r="C290">
        <v>885.2</v>
      </c>
      <c r="D290">
        <v>885.5</v>
      </c>
      <c r="E290">
        <v>846.75</v>
      </c>
      <c r="F290">
        <v>849.55</v>
      </c>
      <c r="G290">
        <v>901.5</v>
      </c>
      <c r="H290">
        <v>3406015</v>
      </c>
      <c r="I290">
        <v>89803</v>
      </c>
      <c r="J290">
        <v>635000000000</v>
      </c>
      <c r="K290">
        <v>746932077</v>
      </c>
      <c r="L290">
        <f>(Table1[[#This Row],[CLOSE_PRICE]] - Table1[[#This Row],[PREV_CL_PR]]) / Table1[[#This Row],[PREV_CL_PR]] * 100</f>
        <v>-5.7626178591236883</v>
      </c>
      <c r="M290">
        <f>Table1[[#This Row],[HIGH_PRICE]]-Table1[[#This Row],[LOW_PRICE]]</f>
        <v>38.75</v>
      </c>
      <c r="N290" t="str">
        <f>IF(Table1[[#This Row],[CLOSE_PRICE]]&gt;Table1[[#This Row],[OPEN_PRICE]],"Gain","Loss")</f>
        <v>Loss</v>
      </c>
      <c r="O290" t="str">
        <f>IF(Table1[[#This Row],[MARKET_CAP]]&gt;200000000000,"Large Cap",
IF(Table1[[#This Row],[MARKET_CAP]]&gt;50000000000,"Mid Cap","Small Cap"))</f>
        <v>Large Cap</v>
      </c>
      <c r="P290" t="str">
        <f>IF(Table1[[#This Row],[NET_TRDQTY]]&gt;1000000,"High Volume","Low Volume")</f>
        <v>High Volume</v>
      </c>
    </row>
    <row r="291" spans="1:16" x14ac:dyDescent="0.3">
      <c r="A291" t="s">
        <v>589</v>
      </c>
      <c r="B291" t="s">
        <v>590</v>
      </c>
      <c r="C291">
        <v>0.31</v>
      </c>
      <c r="D291">
        <v>0.31</v>
      </c>
      <c r="E291">
        <v>0.28999999999999998</v>
      </c>
      <c r="F291">
        <v>0.28999999999999998</v>
      </c>
      <c r="G291">
        <v>0.3</v>
      </c>
      <c r="H291">
        <v>34119867</v>
      </c>
      <c r="I291">
        <v>3066</v>
      </c>
      <c r="J291">
        <v>428109600</v>
      </c>
      <c r="K291">
        <v>1476240000</v>
      </c>
      <c r="L291">
        <f>(Table1[[#This Row],[CLOSE_PRICE]] - Table1[[#This Row],[PREV_CL_PR]]) / Table1[[#This Row],[PREV_CL_PR]] * 100</f>
        <v>-3.3333333333333366</v>
      </c>
      <c r="M291">
        <f>Table1[[#This Row],[HIGH_PRICE]]-Table1[[#This Row],[LOW_PRICE]]</f>
        <v>2.0000000000000018E-2</v>
      </c>
      <c r="N291" t="str">
        <f>IF(Table1[[#This Row],[CLOSE_PRICE]]&gt;Table1[[#This Row],[OPEN_PRICE]],"Gain","Loss")</f>
        <v>Loss</v>
      </c>
      <c r="O291" t="str">
        <f>IF(Table1[[#This Row],[MARKET_CAP]]&gt;200000000000,"Large Cap",
IF(Table1[[#This Row],[MARKET_CAP]]&gt;50000000000,"Mid Cap","Small Cap"))</f>
        <v>Small Cap</v>
      </c>
      <c r="P291" t="str">
        <f>IF(Table1[[#This Row],[NET_TRDQTY]]&gt;1000000,"High Volume","Low Volume")</f>
        <v>High Volume</v>
      </c>
    </row>
    <row r="292" spans="1:16" x14ac:dyDescent="0.3">
      <c r="A292" t="s">
        <v>591</v>
      </c>
      <c r="B292" t="s">
        <v>592</v>
      </c>
      <c r="C292">
        <v>808</v>
      </c>
      <c r="D292">
        <v>812.85</v>
      </c>
      <c r="E292">
        <v>762.65</v>
      </c>
      <c r="F292">
        <v>773.3</v>
      </c>
      <c r="G292">
        <v>815.5</v>
      </c>
      <c r="H292">
        <v>189279</v>
      </c>
      <c r="I292">
        <v>13285</v>
      </c>
      <c r="J292">
        <v>42696622749</v>
      </c>
      <c r="K292">
        <v>55213530</v>
      </c>
      <c r="L292">
        <f>(Table1[[#This Row],[CLOSE_PRICE]] - Table1[[#This Row],[PREV_CL_PR]]) / Table1[[#This Row],[PREV_CL_PR]] * 100</f>
        <v>-5.1747394236664679</v>
      </c>
      <c r="M292">
        <f>Table1[[#This Row],[HIGH_PRICE]]-Table1[[#This Row],[LOW_PRICE]]</f>
        <v>50.200000000000045</v>
      </c>
      <c r="N292" t="str">
        <f>IF(Table1[[#This Row],[CLOSE_PRICE]]&gt;Table1[[#This Row],[OPEN_PRICE]],"Gain","Loss")</f>
        <v>Loss</v>
      </c>
      <c r="O292" t="str">
        <f>IF(Table1[[#This Row],[MARKET_CAP]]&gt;200000000000,"Large Cap",
IF(Table1[[#This Row],[MARKET_CAP]]&gt;50000000000,"Mid Cap","Small Cap"))</f>
        <v>Small Cap</v>
      </c>
      <c r="P292" t="str">
        <f>IF(Table1[[#This Row],[NET_TRDQTY]]&gt;1000000,"High Volume","Low Volume")</f>
        <v>Low Volume</v>
      </c>
    </row>
    <row r="293" spans="1:16" x14ac:dyDescent="0.3">
      <c r="A293" t="s">
        <v>593</v>
      </c>
      <c r="B293" t="s">
        <v>594</v>
      </c>
      <c r="C293">
        <v>1291.5999999999999</v>
      </c>
      <c r="D293">
        <v>1299</v>
      </c>
      <c r="E293">
        <v>1268.3</v>
      </c>
      <c r="F293">
        <v>1278.7</v>
      </c>
      <c r="G293">
        <v>1291.4000000000001</v>
      </c>
      <c r="H293">
        <v>1758274</v>
      </c>
      <c r="I293">
        <v>60711</v>
      </c>
      <c r="J293">
        <v>743000000000</v>
      </c>
      <c r="K293">
        <v>580801623</v>
      </c>
      <c r="L293">
        <f>(Table1[[#This Row],[CLOSE_PRICE]] - Table1[[#This Row],[PREV_CL_PR]]) / Table1[[#This Row],[PREV_CL_PR]] * 100</f>
        <v>-0.98342883692117433</v>
      </c>
      <c r="M293">
        <f>Table1[[#This Row],[HIGH_PRICE]]-Table1[[#This Row],[LOW_PRICE]]</f>
        <v>30.700000000000045</v>
      </c>
      <c r="N293" t="str">
        <f>IF(Table1[[#This Row],[CLOSE_PRICE]]&gt;Table1[[#This Row],[OPEN_PRICE]],"Gain","Loss")</f>
        <v>Loss</v>
      </c>
      <c r="O293" t="str">
        <f>IF(Table1[[#This Row],[MARKET_CAP]]&gt;200000000000,"Large Cap",
IF(Table1[[#This Row],[MARKET_CAP]]&gt;50000000000,"Mid Cap","Small Cap"))</f>
        <v>Large Cap</v>
      </c>
      <c r="P293" t="str">
        <f>IF(Table1[[#This Row],[NET_TRDQTY]]&gt;1000000,"High Volume","Low Volume")</f>
        <v>High Volume</v>
      </c>
    </row>
    <row r="294" spans="1:16" x14ac:dyDescent="0.3">
      <c r="A294" t="s">
        <v>595</v>
      </c>
      <c r="B294" t="s">
        <v>596</v>
      </c>
      <c r="C294">
        <v>167.29</v>
      </c>
      <c r="D294">
        <v>170.42</v>
      </c>
      <c r="E294">
        <v>160.63999999999999</v>
      </c>
      <c r="F294">
        <v>162.58000000000001</v>
      </c>
      <c r="G294">
        <v>170.69</v>
      </c>
      <c r="H294">
        <v>62879</v>
      </c>
      <c r="I294">
        <v>1286</v>
      </c>
      <c r="J294">
        <v>12374816857</v>
      </c>
      <c r="K294">
        <v>76115247</v>
      </c>
      <c r="L294">
        <f>(Table1[[#This Row],[CLOSE_PRICE]] - Table1[[#This Row],[PREV_CL_PR]]) / Table1[[#This Row],[PREV_CL_PR]] * 100</f>
        <v>-4.7513035327201276</v>
      </c>
      <c r="M294">
        <f>Table1[[#This Row],[HIGH_PRICE]]-Table1[[#This Row],[LOW_PRICE]]</f>
        <v>9.7800000000000011</v>
      </c>
      <c r="N294" t="str">
        <f>IF(Table1[[#This Row],[CLOSE_PRICE]]&gt;Table1[[#This Row],[OPEN_PRICE]],"Gain","Loss")</f>
        <v>Loss</v>
      </c>
      <c r="O294" t="str">
        <f>IF(Table1[[#This Row],[MARKET_CAP]]&gt;200000000000,"Large Cap",
IF(Table1[[#This Row],[MARKET_CAP]]&gt;50000000000,"Mid Cap","Small Cap"))</f>
        <v>Small Cap</v>
      </c>
      <c r="P294" t="str">
        <f>IF(Table1[[#This Row],[NET_TRDQTY]]&gt;1000000,"High Volume","Low Volume")</f>
        <v>Low Volume</v>
      </c>
    </row>
    <row r="295" spans="1:16" x14ac:dyDescent="0.3">
      <c r="A295" t="s">
        <v>597</v>
      </c>
      <c r="B295" t="s">
        <v>598</v>
      </c>
      <c r="C295">
        <v>1640</v>
      </c>
      <c r="D295">
        <v>1648.1</v>
      </c>
      <c r="E295">
        <v>1566</v>
      </c>
      <c r="F295">
        <v>1571.8</v>
      </c>
      <c r="G295">
        <v>1666.7</v>
      </c>
      <c r="H295">
        <v>15562</v>
      </c>
      <c r="I295">
        <v>2111</v>
      </c>
      <c r="J295">
        <v>23753002305</v>
      </c>
      <c r="K295">
        <v>15111975</v>
      </c>
      <c r="L295">
        <f>(Table1[[#This Row],[CLOSE_PRICE]] - Table1[[#This Row],[PREV_CL_PR]]) / Table1[[#This Row],[PREV_CL_PR]] * 100</f>
        <v>-5.6938861222775596</v>
      </c>
      <c r="M295">
        <f>Table1[[#This Row],[HIGH_PRICE]]-Table1[[#This Row],[LOW_PRICE]]</f>
        <v>82.099999999999909</v>
      </c>
      <c r="N295" t="str">
        <f>IF(Table1[[#This Row],[CLOSE_PRICE]]&gt;Table1[[#This Row],[OPEN_PRICE]],"Gain","Loss")</f>
        <v>Loss</v>
      </c>
      <c r="O295" t="str">
        <f>IF(Table1[[#This Row],[MARKET_CAP]]&gt;200000000000,"Large Cap",
IF(Table1[[#This Row],[MARKET_CAP]]&gt;50000000000,"Mid Cap","Small Cap"))</f>
        <v>Small Cap</v>
      </c>
      <c r="P295" t="str">
        <f>IF(Table1[[#This Row],[NET_TRDQTY]]&gt;1000000,"High Volume","Low Volume")</f>
        <v>Low Volume</v>
      </c>
    </row>
    <row r="296" spans="1:16" x14ac:dyDescent="0.3">
      <c r="A296" t="s">
        <v>599</v>
      </c>
      <c r="B296" t="s">
        <v>600</v>
      </c>
      <c r="C296">
        <v>59</v>
      </c>
      <c r="D296">
        <v>59.09</v>
      </c>
      <c r="E296">
        <v>55</v>
      </c>
      <c r="F296">
        <v>56</v>
      </c>
      <c r="G296">
        <v>59.73</v>
      </c>
      <c r="H296">
        <v>185656</v>
      </c>
      <c r="I296">
        <v>1755</v>
      </c>
      <c r="J296">
        <v>2541022456</v>
      </c>
      <c r="K296">
        <v>45375401</v>
      </c>
      <c r="L296">
        <f>(Table1[[#This Row],[CLOSE_PRICE]] - Table1[[#This Row],[PREV_CL_PR]]) / Table1[[#This Row],[PREV_CL_PR]] * 100</f>
        <v>-6.2447681232211565</v>
      </c>
      <c r="M296">
        <f>Table1[[#This Row],[HIGH_PRICE]]-Table1[[#This Row],[LOW_PRICE]]</f>
        <v>4.0900000000000034</v>
      </c>
      <c r="N296" t="str">
        <f>IF(Table1[[#This Row],[CLOSE_PRICE]]&gt;Table1[[#This Row],[OPEN_PRICE]],"Gain","Loss")</f>
        <v>Loss</v>
      </c>
      <c r="O296" t="str">
        <f>IF(Table1[[#This Row],[MARKET_CAP]]&gt;200000000000,"Large Cap",
IF(Table1[[#This Row],[MARKET_CAP]]&gt;50000000000,"Mid Cap","Small Cap"))</f>
        <v>Small Cap</v>
      </c>
      <c r="P296" t="str">
        <f>IF(Table1[[#This Row],[NET_TRDQTY]]&gt;1000000,"High Volume","Low Volume")</f>
        <v>Low Volume</v>
      </c>
    </row>
    <row r="297" spans="1:16" x14ac:dyDescent="0.3">
      <c r="A297" t="s">
        <v>601</v>
      </c>
      <c r="B297" t="s">
        <v>602</v>
      </c>
      <c r="C297">
        <v>450</v>
      </c>
      <c r="D297">
        <v>460.2</v>
      </c>
      <c r="E297">
        <v>429.25</v>
      </c>
      <c r="F297">
        <v>434.95</v>
      </c>
      <c r="G297">
        <v>456.1</v>
      </c>
      <c r="H297">
        <v>189993</v>
      </c>
      <c r="I297">
        <v>6570</v>
      </c>
      <c r="J297">
        <v>8707011779</v>
      </c>
      <c r="K297">
        <v>20018420</v>
      </c>
      <c r="L297">
        <f>(Table1[[#This Row],[CLOSE_PRICE]] - Table1[[#This Row],[PREV_CL_PR]]) / Table1[[#This Row],[PREV_CL_PR]] * 100</f>
        <v>-4.6371409778557409</v>
      </c>
      <c r="M297">
        <f>Table1[[#This Row],[HIGH_PRICE]]-Table1[[#This Row],[LOW_PRICE]]</f>
        <v>30.949999999999989</v>
      </c>
      <c r="N297" t="str">
        <f>IF(Table1[[#This Row],[CLOSE_PRICE]]&gt;Table1[[#This Row],[OPEN_PRICE]],"Gain","Loss")</f>
        <v>Loss</v>
      </c>
      <c r="O297" t="str">
        <f>IF(Table1[[#This Row],[MARKET_CAP]]&gt;200000000000,"Large Cap",
IF(Table1[[#This Row],[MARKET_CAP]]&gt;50000000000,"Mid Cap","Small Cap"))</f>
        <v>Small Cap</v>
      </c>
      <c r="P297" t="str">
        <f>IF(Table1[[#This Row],[NET_TRDQTY]]&gt;1000000,"High Volume","Low Volume")</f>
        <v>Low Volume</v>
      </c>
    </row>
    <row r="298" spans="1:16" x14ac:dyDescent="0.3">
      <c r="A298" t="s">
        <v>603</v>
      </c>
      <c r="B298" t="s">
        <v>604</v>
      </c>
      <c r="C298">
        <v>932</v>
      </c>
      <c r="D298">
        <v>939.9</v>
      </c>
      <c r="E298">
        <v>881.2</v>
      </c>
      <c r="F298">
        <v>885.2</v>
      </c>
      <c r="G298">
        <v>951.9</v>
      </c>
      <c r="H298">
        <v>153437</v>
      </c>
      <c r="I298">
        <v>13729</v>
      </c>
      <c r="J298">
        <v>59072962471</v>
      </c>
      <c r="K298">
        <v>66734029</v>
      </c>
      <c r="L298">
        <f>(Table1[[#This Row],[CLOSE_PRICE]] - Table1[[#This Row],[PREV_CL_PR]]) / Table1[[#This Row],[PREV_CL_PR]] * 100</f>
        <v>-7.0070385544700002</v>
      </c>
      <c r="M298">
        <f>Table1[[#This Row],[HIGH_PRICE]]-Table1[[#This Row],[LOW_PRICE]]</f>
        <v>58.699999999999932</v>
      </c>
      <c r="N298" t="str">
        <f>IF(Table1[[#This Row],[CLOSE_PRICE]]&gt;Table1[[#This Row],[OPEN_PRICE]],"Gain","Loss")</f>
        <v>Loss</v>
      </c>
      <c r="O298" t="str">
        <f>IF(Table1[[#This Row],[MARKET_CAP]]&gt;200000000000,"Large Cap",
IF(Table1[[#This Row],[MARKET_CAP]]&gt;50000000000,"Mid Cap","Small Cap"))</f>
        <v>Mid Cap</v>
      </c>
      <c r="P298" t="str">
        <f>IF(Table1[[#This Row],[NET_TRDQTY]]&gt;1000000,"High Volume","Low Volume")</f>
        <v>Low Volume</v>
      </c>
    </row>
    <row r="299" spans="1:16" x14ac:dyDescent="0.3">
      <c r="A299" t="s">
        <v>605</v>
      </c>
      <c r="B299" t="s">
        <v>606</v>
      </c>
      <c r="C299">
        <v>125</v>
      </c>
      <c r="D299">
        <v>126.45</v>
      </c>
      <c r="E299">
        <v>117.05</v>
      </c>
      <c r="F299">
        <v>118.29</v>
      </c>
      <c r="G299">
        <v>127.38</v>
      </c>
      <c r="H299">
        <v>1635701</v>
      </c>
      <c r="I299">
        <v>16411</v>
      </c>
      <c r="J299">
        <v>31343244521</v>
      </c>
      <c r="K299">
        <v>264969520</v>
      </c>
      <c r="L299">
        <f>(Table1[[#This Row],[CLOSE_PRICE]] - Table1[[#This Row],[PREV_CL_PR]]) / Table1[[#This Row],[PREV_CL_PR]] * 100</f>
        <v>-7.1361281205840701</v>
      </c>
      <c r="M299">
        <f>Table1[[#This Row],[HIGH_PRICE]]-Table1[[#This Row],[LOW_PRICE]]</f>
        <v>9.4000000000000057</v>
      </c>
      <c r="N299" t="str">
        <f>IF(Table1[[#This Row],[CLOSE_PRICE]]&gt;Table1[[#This Row],[OPEN_PRICE]],"Gain","Loss")</f>
        <v>Loss</v>
      </c>
      <c r="O299" t="str">
        <f>IF(Table1[[#This Row],[MARKET_CAP]]&gt;200000000000,"Large Cap",
IF(Table1[[#This Row],[MARKET_CAP]]&gt;50000000000,"Mid Cap","Small Cap"))</f>
        <v>Small Cap</v>
      </c>
      <c r="P299" t="str">
        <f>IF(Table1[[#This Row],[NET_TRDQTY]]&gt;1000000,"High Volume","Low Volume")</f>
        <v>High Volume</v>
      </c>
    </row>
    <row r="300" spans="1:16" x14ac:dyDescent="0.3">
      <c r="A300" t="s">
        <v>607</v>
      </c>
      <c r="B300" t="s">
        <v>608</v>
      </c>
      <c r="C300">
        <v>1180</v>
      </c>
      <c r="D300">
        <v>1197.9000000000001</v>
      </c>
      <c r="E300">
        <v>1102.3</v>
      </c>
      <c r="F300">
        <v>1115</v>
      </c>
      <c r="G300">
        <v>1206</v>
      </c>
      <c r="H300">
        <v>370024</v>
      </c>
      <c r="I300">
        <v>19372</v>
      </c>
      <c r="J300">
        <v>152000000000</v>
      </c>
      <c r="K300">
        <v>136245630</v>
      </c>
      <c r="L300">
        <f>(Table1[[#This Row],[CLOSE_PRICE]] - Table1[[#This Row],[PREV_CL_PR]]) / Table1[[#This Row],[PREV_CL_PR]] * 100</f>
        <v>-7.5456053067993372</v>
      </c>
      <c r="M300">
        <f>Table1[[#This Row],[HIGH_PRICE]]-Table1[[#This Row],[LOW_PRICE]]</f>
        <v>95.600000000000136</v>
      </c>
      <c r="N300" t="str">
        <f>IF(Table1[[#This Row],[CLOSE_PRICE]]&gt;Table1[[#This Row],[OPEN_PRICE]],"Gain","Loss")</f>
        <v>Loss</v>
      </c>
      <c r="O300" t="str">
        <f>IF(Table1[[#This Row],[MARKET_CAP]]&gt;200000000000,"Large Cap",
IF(Table1[[#This Row],[MARKET_CAP]]&gt;50000000000,"Mid Cap","Small Cap"))</f>
        <v>Mid Cap</v>
      </c>
      <c r="P300" t="str">
        <f>IF(Table1[[#This Row],[NET_TRDQTY]]&gt;1000000,"High Volume","Low Volume")</f>
        <v>Low Volume</v>
      </c>
    </row>
    <row r="301" spans="1:16" x14ac:dyDescent="0.3">
      <c r="A301" t="s">
        <v>609</v>
      </c>
      <c r="B301" t="s">
        <v>610</v>
      </c>
      <c r="C301">
        <v>167.2</v>
      </c>
      <c r="D301">
        <v>170.79</v>
      </c>
      <c r="E301">
        <v>158.5</v>
      </c>
      <c r="F301">
        <v>160.49</v>
      </c>
      <c r="G301">
        <v>173.24</v>
      </c>
      <c r="H301">
        <v>49812</v>
      </c>
      <c r="I301">
        <v>1247</v>
      </c>
      <c r="J301">
        <v>2416613483</v>
      </c>
      <c r="K301">
        <v>15057720</v>
      </c>
      <c r="L301">
        <f>(Table1[[#This Row],[CLOSE_PRICE]] - Table1[[#This Row],[PREV_CL_PR]]) / Table1[[#This Row],[PREV_CL_PR]] * 100</f>
        <v>-7.3597321634726391</v>
      </c>
      <c r="M301">
        <f>Table1[[#This Row],[HIGH_PRICE]]-Table1[[#This Row],[LOW_PRICE]]</f>
        <v>12.289999999999992</v>
      </c>
      <c r="N301" t="str">
        <f>IF(Table1[[#This Row],[CLOSE_PRICE]]&gt;Table1[[#This Row],[OPEN_PRICE]],"Gain","Loss")</f>
        <v>Loss</v>
      </c>
      <c r="O301" t="str">
        <f>IF(Table1[[#This Row],[MARKET_CAP]]&gt;200000000000,"Large Cap",
IF(Table1[[#This Row],[MARKET_CAP]]&gt;50000000000,"Mid Cap","Small Cap"))</f>
        <v>Small Cap</v>
      </c>
      <c r="P301" t="str">
        <f>IF(Table1[[#This Row],[NET_TRDQTY]]&gt;1000000,"High Volume","Low Volume")</f>
        <v>Low Volume</v>
      </c>
    </row>
    <row r="302" spans="1:16" x14ac:dyDescent="0.3">
      <c r="A302" t="s">
        <v>611</v>
      </c>
      <c r="B302" t="s">
        <v>612</v>
      </c>
      <c r="C302">
        <v>450.9</v>
      </c>
      <c r="D302">
        <v>464.7</v>
      </c>
      <c r="E302">
        <v>445</v>
      </c>
      <c r="F302">
        <v>459.8</v>
      </c>
      <c r="G302">
        <v>457.75</v>
      </c>
      <c r="H302">
        <v>215342</v>
      </c>
      <c r="I302">
        <v>12265</v>
      </c>
      <c r="J302">
        <v>59377675390</v>
      </c>
      <c r="K302">
        <v>129138050</v>
      </c>
      <c r="L302">
        <f>(Table1[[#This Row],[CLOSE_PRICE]] - Table1[[#This Row],[PREV_CL_PR]]) / Table1[[#This Row],[PREV_CL_PR]] * 100</f>
        <v>0.4478427089022417</v>
      </c>
      <c r="M302">
        <f>Table1[[#This Row],[HIGH_PRICE]]-Table1[[#This Row],[LOW_PRICE]]</f>
        <v>19.699999999999989</v>
      </c>
      <c r="N302" t="str">
        <f>IF(Table1[[#This Row],[CLOSE_PRICE]]&gt;Table1[[#This Row],[OPEN_PRICE]],"Gain","Loss")</f>
        <v>Gain</v>
      </c>
      <c r="O302" t="str">
        <f>IF(Table1[[#This Row],[MARKET_CAP]]&gt;200000000000,"Large Cap",
IF(Table1[[#This Row],[MARKET_CAP]]&gt;50000000000,"Mid Cap","Small Cap"))</f>
        <v>Mid Cap</v>
      </c>
      <c r="P302" t="str">
        <f>IF(Table1[[#This Row],[NET_TRDQTY]]&gt;1000000,"High Volume","Low Volume")</f>
        <v>Low Volume</v>
      </c>
    </row>
    <row r="303" spans="1:16" x14ac:dyDescent="0.3">
      <c r="A303" t="s">
        <v>613</v>
      </c>
      <c r="B303" t="s">
        <v>614</v>
      </c>
      <c r="C303">
        <v>12.4</v>
      </c>
      <c r="D303">
        <v>12.4</v>
      </c>
      <c r="E303">
        <v>11.17</v>
      </c>
      <c r="F303">
        <v>11.4</v>
      </c>
      <c r="G303">
        <v>12.08</v>
      </c>
      <c r="H303">
        <v>317520</v>
      </c>
      <c r="I303">
        <v>1478</v>
      </c>
      <c r="J303">
        <v>3216906047</v>
      </c>
      <c r="K303">
        <v>282184741</v>
      </c>
      <c r="L303">
        <f>(Table1[[#This Row],[CLOSE_PRICE]] - Table1[[#This Row],[PREV_CL_PR]]) / Table1[[#This Row],[PREV_CL_PR]] * 100</f>
        <v>-5.6291390728476793</v>
      </c>
      <c r="M303">
        <f>Table1[[#This Row],[HIGH_PRICE]]-Table1[[#This Row],[LOW_PRICE]]</f>
        <v>1.2300000000000004</v>
      </c>
      <c r="N303" t="str">
        <f>IF(Table1[[#This Row],[CLOSE_PRICE]]&gt;Table1[[#This Row],[OPEN_PRICE]],"Gain","Loss")</f>
        <v>Loss</v>
      </c>
      <c r="O303" t="str">
        <f>IF(Table1[[#This Row],[MARKET_CAP]]&gt;200000000000,"Large Cap",
IF(Table1[[#This Row],[MARKET_CAP]]&gt;50000000000,"Mid Cap","Small Cap"))</f>
        <v>Small Cap</v>
      </c>
      <c r="P303" t="str">
        <f>IF(Table1[[#This Row],[NET_TRDQTY]]&gt;1000000,"High Volume","Low Volume")</f>
        <v>Low Volume</v>
      </c>
    </row>
    <row r="304" spans="1:16" x14ac:dyDescent="0.3">
      <c r="A304" t="s">
        <v>615</v>
      </c>
      <c r="B304" t="s">
        <v>616</v>
      </c>
      <c r="C304">
        <v>118.2</v>
      </c>
      <c r="D304">
        <v>124.35</v>
      </c>
      <c r="E304">
        <v>118.18</v>
      </c>
      <c r="F304">
        <v>118.18</v>
      </c>
      <c r="G304">
        <v>124.4</v>
      </c>
      <c r="H304">
        <v>10614</v>
      </c>
      <c r="I304">
        <v>224</v>
      </c>
      <c r="J304">
        <v>1573099889</v>
      </c>
      <c r="K304">
        <v>13311050</v>
      </c>
      <c r="L304">
        <f>(Table1[[#This Row],[CLOSE_PRICE]] - Table1[[#This Row],[PREV_CL_PR]]) / Table1[[#This Row],[PREV_CL_PR]] * 100</f>
        <v>-4.9999999999999991</v>
      </c>
      <c r="M304">
        <f>Table1[[#This Row],[HIGH_PRICE]]-Table1[[#This Row],[LOW_PRICE]]</f>
        <v>6.1699999999999875</v>
      </c>
      <c r="N304" t="str">
        <f>IF(Table1[[#This Row],[CLOSE_PRICE]]&gt;Table1[[#This Row],[OPEN_PRICE]],"Gain","Loss")</f>
        <v>Loss</v>
      </c>
      <c r="O304" t="str">
        <f>IF(Table1[[#This Row],[MARKET_CAP]]&gt;200000000000,"Large Cap",
IF(Table1[[#This Row],[MARKET_CAP]]&gt;50000000000,"Mid Cap","Small Cap"))</f>
        <v>Small Cap</v>
      </c>
      <c r="P304" t="str">
        <f>IF(Table1[[#This Row],[NET_TRDQTY]]&gt;1000000,"High Volume","Low Volume")</f>
        <v>Low Volume</v>
      </c>
    </row>
    <row r="305" spans="1:16" x14ac:dyDescent="0.3">
      <c r="A305" t="s">
        <v>617</v>
      </c>
      <c r="B305" t="s">
        <v>618</v>
      </c>
      <c r="C305">
        <v>58.5</v>
      </c>
      <c r="D305">
        <v>60</v>
      </c>
      <c r="E305">
        <v>55</v>
      </c>
      <c r="F305">
        <v>55.91</v>
      </c>
      <c r="G305">
        <v>58.99</v>
      </c>
      <c r="H305">
        <v>76780</v>
      </c>
      <c r="I305">
        <v>1131</v>
      </c>
      <c r="J305">
        <v>8514198440</v>
      </c>
      <c r="K305">
        <v>152284000</v>
      </c>
      <c r="L305">
        <f>(Table1[[#This Row],[CLOSE_PRICE]] - Table1[[#This Row],[PREV_CL_PR]]) / Table1[[#This Row],[PREV_CL_PR]] * 100</f>
        <v>-5.2212239362603921</v>
      </c>
      <c r="M305">
        <f>Table1[[#This Row],[HIGH_PRICE]]-Table1[[#This Row],[LOW_PRICE]]</f>
        <v>5</v>
      </c>
      <c r="N305" t="str">
        <f>IF(Table1[[#This Row],[CLOSE_PRICE]]&gt;Table1[[#This Row],[OPEN_PRICE]],"Gain","Loss")</f>
        <v>Loss</v>
      </c>
      <c r="O305" t="str">
        <f>IF(Table1[[#This Row],[MARKET_CAP]]&gt;200000000000,"Large Cap",
IF(Table1[[#This Row],[MARKET_CAP]]&gt;50000000000,"Mid Cap","Small Cap"))</f>
        <v>Small Cap</v>
      </c>
      <c r="P305" t="str">
        <f>IF(Table1[[#This Row],[NET_TRDQTY]]&gt;1000000,"High Volume","Low Volume")</f>
        <v>Low Volume</v>
      </c>
    </row>
    <row r="306" spans="1:16" x14ac:dyDescent="0.3">
      <c r="A306" t="s">
        <v>619</v>
      </c>
      <c r="B306" t="s">
        <v>620</v>
      </c>
      <c r="C306">
        <v>262</v>
      </c>
      <c r="D306">
        <v>262.05</v>
      </c>
      <c r="E306">
        <v>244.55</v>
      </c>
      <c r="F306">
        <v>250.3</v>
      </c>
      <c r="G306">
        <v>263.60000000000002</v>
      </c>
      <c r="H306">
        <v>402620</v>
      </c>
      <c r="I306">
        <v>10301</v>
      </c>
      <c r="J306">
        <v>17898712962</v>
      </c>
      <c r="K306">
        <v>71509041</v>
      </c>
      <c r="L306">
        <f>(Table1[[#This Row],[CLOSE_PRICE]] - Table1[[#This Row],[PREV_CL_PR]]) / Table1[[#This Row],[PREV_CL_PR]] * 100</f>
        <v>-5.0455235204855882</v>
      </c>
      <c r="M306">
        <f>Table1[[#This Row],[HIGH_PRICE]]-Table1[[#This Row],[LOW_PRICE]]</f>
        <v>17.5</v>
      </c>
      <c r="N306" t="str">
        <f>IF(Table1[[#This Row],[CLOSE_PRICE]]&gt;Table1[[#This Row],[OPEN_PRICE]],"Gain","Loss")</f>
        <v>Loss</v>
      </c>
      <c r="O306" t="str">
        <f>IF(Table1[[#This Row],[MARKET_CAP]]&gt;200000000000,"Large Cap",
IF(Table1[[#This Row],[MARKET_CAP]]&gt;50000000000,"Mid Cap","Small Cap"))</f>
        <v>Small Cap</v>
      </c>
      <c r="P306" t="str">
        <f>IF(Table1[[#This Row],[NET_TRDQTY]]&gt;1000000,"High Volume","Low Volume")</f>
        <v>Low Volume</v>
      </c>
    </row>
    <row r="307" spans="1:16" x14ac:dyDescent="0.3">
      <c r="A307" t="s">
        <v>621</v>
      </c>
      <c r="B307" t="s">
        <v>622</v>
      </c>
      <c r="C307">
        <v>426</v>
      </c>
      <c r="D307">
        <v>433.6</v>
      </c>
      <c r="E307">
        <v>409.9</v>
      </c>
      <c r="F307">
        <v>414.95</v>
      </c>
      <c r="G307">
        <v>438.55</v>
      </c>
      <c r="H307">
        <v>156629</v>
      </c>
      <c r="I307">
        <v>6093</v>
      </c>
      <c r="J307">
        <v>11777152395</v>
      </c>
      <c r="K307">
        <v>28382100</v>
      </c>
      <c r="L307">
        <f>(Table1[[#This Row],[CLOSE_PRICE]] - Table1[[#This Row],[PREV_CL_PR]]) / Table1[[#This Row],[PREV_CL_PR]] * 100</f>
        <v>-5.3813704252650831</v>
      </c>
      <c r="M307">
        <f>Table1[[#This Row],[HIGH_PRICE]]-Table1[[#This Row],[LOW_PRICE]]</f>
        <v>23.700000000000045</v>
      </c>
      <c r="N307" t="str">
        <f>IF(Table1[[#This Row],[CLOSE_PRICE]]&gt;Table1[[#This Row],[OPEN_PRICE]],"Gain","Loss")</f>
        <v>Loss</v>
      </c>
      <c r="O307" t="str">
        <f>IF(Table1[[#This Row],[MARKET_CAP]]&gt;200000000000,"Large Cap",
IF(Table1[[#This Row],[MARKET_CAP]]&gt;50000000000,"Mid Cap","Small Cap"))</f>
        <v>Small Cap</v>
      </c>
      <c r="P307" t="str">
        <f>IF(Table1[[#This Row],[NET_TRDQTY]]&gt;1000000,"High Volume","Low Volume")</f>
        <v>Low Volume</v>
      </c>
    </row>
    <row r="308" spans="1:16" x14ac:dyDescent="0.3">
      <c r="A308" t="s">
        <v>623</v>
      </c>
      <c r="B308" t="s">
        <v>624</v>
      </c>
      <c r="C308">
        <v>189.2</v>
      </c>
      <c r="D308">
        <v>189.33</v>
      </c>
      <c r="E308">
        <v>174</v>
      </c>
      <c r="F308">
        <v>175.36</v>
      </c>
      <c r="G308">
        <v>192.1</v>
      </c>
      <c r="H308">
        <v>6266809</v>
      </c>
      <c r="I308">
        <v>60063</v>
      </c>
      <c r="J308">
        <v>228000000000</v>
      </c>
      <c r="K308">
        <v>1299678605</v>
      </c>
      <c r="L308">
        <f>(Table1[[#This Row],[CLOSE_PRICE]] - Table1[[#This Row],[PREV_CL_PR]]) / Table1[[#This Row],[PREV_CL_PR]] * 100</f>
        <v>-8.7142113482561072</v>
      </c>
      <c r="M308">
        <f>Table1[[#This Row],[HIGH_PRICE]]-Table1[[#This Row],[LOW_PRICE]]</f>
        <v>15.330000000000013</v>
      </c>
      <c r="N308" t="str">
        <f>IF(Table1[[#This Row],[CLOSE_PRICE]]&gt;Table1[[#This Row],[OPEN_PRICE]],"Gain","Loss")</f>
        <v>Loss</v>
      </c>
      <c r="O308" t="str">
        <f>IF(Table1[[#This Row],[MARKET_CAP]]&gt;200000000000,"Large Cap",
IF(Table1[[#This Row],[MARKET_CAP]]&gt;50000000000,"Mid Cap","Small Cap"))</f>
        <v>Large Cap</v>
      </c>
      <c r="P308" t="str">
        <f>IF(Table1[[#This Row],[NET_TRDQTY]]&gt;1000000,"High Volume","Low Volume")</f>
        <v>High Volume</v>
      </c>
    </row>
    <row r="309" spans="1:16" x14ac:dyDescent="0.3">
      <c r="A309" t="s">
        <v>625</v>
      </c>
      <c r="B309" t="s">
        <v>626</v>
      </c>
      <c r="C309">
        <v>1400</v>
      </c>
      <c r="D309">
        <v>1406.9</v>
      </c>
      <c r="E309">
        <v>1358.7</v>
      </c>
      <c r="F309">
        <v>1364.3</v>
      </c>
      <c r="G309">
        <v>1426</v>
      </c>
      <c r="H309">
        <v>134035</v>
      </c>
      <c r="I309">
        <v>7835</v>
      </c>
      <c r="J309">
        <v>58006473813</v>
      </c>
      <c r="K309">
        <v>42517389</v>
      </c>
      <c r="L309">
        <f>(Table1[[#This Row],[CLOSE_PRICE]] - Table1[[#This Row],[PREV_CL_PR]]) / Table1[[#This Row],[PREV_CL_PR]] * 100</f>
        <v>-4.3267882187938316</v>
      </c>
      <c r="M309">
        <f>Table1[[#This Row],[HIGH_PRICE]]-Table1[[#This Row],[LOW_PRICE]]</f>
        <v>48.200000000000045</v>
      </c>
      <c r="N309" t="str">
        <f>IF(Table1[[#This Row],[CLOSE_PRICE]]&gt;Table1[[#This Row],[OPEN_PRICE]],"Gain","Loss")</f>
        <v>Loss</v>
      </c>
      <c r="O309" t="str">
        <f>IF(Table1[[#This Row],[MARKET_CAP]]&gt;200000000000,"Large Cap",
IF(Table1[[#This Row],[MARKET_CAP]]&gt;50000000000,"Mid Cap","Small Cap"))</f>
        <v>Mid Cap</v>
      </c>
      <c r="P309" t="str">
        <f>IF(Table1[[#This Row],[NET_TRDQTY]]&gt;1000000,"High Volume","Low Volume")</f>
        <v>Low Volume</v>
      </c>
    </row>
    <row r="310" spans="1:16" x14ac:dyDescent="0.3">
      <c r="A310" t="s">
        <v>627</v>
      </c>
      <c r="B310" t="s">
        <v>628</v>
      </c>
      <c r="C310">
        <v>105</v>
      </c>
      <c r="D310">
        <v>105</v>
      </c>
      <c r="E310">
        <v>96.11</v>
      </c>
      <c r="F310">
        <v>102.6</v>
      </c>
      <c r="G310">
        <v>107.55</v>
      </c>
      <c r="H310">
        <v>930011</v>
      </c>
      <c r="I310">
        <v>11533</v>
      </c>
      <c r="J310">
        <v>25320065692</v>
      </c>
      <c r="K310">
        <v>246784266</v>
      </c>
      <c r="L310">
        <f>(Table1[[#This Row],[CLOSE_PRICE]] - Table1[[#This Row],[PREV_CL_PR]]) / Table1[[#This Row],[PREV_CL_PR]] * 100</f>
        <v>-4.6025104602510494</v>
      </c>
      <c r="M310">
        <f>Table1[[#This Row],[HIGH_PRICE]]-Table1[[#This Row],[LOW_PRICE]]</f>
        <v>8.89</v>
      </c>
      <c r="N310" t="str">
        <f>IF(Table1[[#This Row],[CLOSE_PRICE]]&gt;Table1[[#This Row],[OPEN_PRICE]],"Gain","Loss")</f>
        <v>Loss</v>
      </c>
      <c r="O310" t="str">
        <f>IF(Table1[[#This Row],[MARKET_CAP]]&gt;200000000000,"Large Cap",
IF(Table1[[#This Row],[MARKET_CAP]]&gt;50000000000,"Mid Cap","Small Cap"))</f>
        <v>Small Cap</v>
      </c>
      <c r="P310" t="str">
        <f>IF(Table1[[#This Row],[NET_TRDQTY]]&gt;1000000,"High Volume","Low Volume")</f>
        <v>Low Volume</v>
      </c>
    </row>
    <row r="311" spans="1:16" x14ac:dyDescent="0.3">
      <c r="A311" t="s">
        <v>629</v>
      </c>
      <c r="B311" t="s">
        <v>630</v>
      </c>
      <c r="C311">
        <v>183.92</v>
      </c>
      <c r="D311">
        <v>186.49</v>
      </c>
      <c r="E311">
        <v>177.79</v>
      </c>
      <c r="F311">
        <v>180.4</v>
      </c>
      <c r="G311">
        <v>183.27</v>
      </c>
      <c r="H311">
        <v>68933</v>
      </c>
      <c r="I311">
        <v>1410</v>
      </c>
      <c r="J311">
        <v>10568028816</v>
      </c>
      <c r="K311">
        <v>58581091</v>
      </c>
      <c r="L311">
        <f>(Table1[[#This Row],[CLOSE_PRICE]] - Table1[[#This Row],[PREV_CL_PR]]) / Table1[[#This Row],[PREV_CL_PR]] * 100</f>
        <v>-1.5659955257270719</v>
      </c>
      <c r="M311">
        <f>Table1[[#This Row],[HIGH_PRICE]]-Table1[[#This Row],[LOW_PRICE]]</f>
        <v>8.7000000000000171</v>
      </c>
      <c r="N311" t="str">
        <f>IF(Table1[[#This Row],[CLOSE_PRICE]]&gt;Table1[[#This Row],[OPEN_PRICE]],"Gain","Loss")</f>
        <v>Loss</v>
      </c>
      <c r="O311" t="str">
        <f>IF(Table1[[#This Row],[MARKET_CAP]]&gt;200000000000,"Large Cap",
IF(Table1[[#This Row],[MARKET_CAP]]&gt;50000000000,"Mid Cap","Small Cap"))</f>
        <v>Small Cap</v>
      </c>
      <c r="P311" t="str">
        <f>IF(Table1[[#This Row],[NET_TRDQTY]]&gt;1000000,"High Volume","Low Volume")</f>
        <v>Low Volume</v>
      </c>
    </row>
    <row r="312" spans="1:16" x14ac:dyDescent="0.3">
      <c r="A312" t="s">
        <v>631</v>
      </c>
      <c r="B312" t="s">
        <v>632</v>
      </c>
      <c r="C312">
        <v>1440</v>
      </c>
      <c r="D312">
        <v>1450</v>
      </c>
      <c r="E312">
        <v>1360</v>
      </c>
      <c r="F312">
        <v>1366.5</v>
      </c>
      <c r="G312">
        <v>1469.4</v>
      </c>
      <c r="H312">
        <v>391460</v>
      </c>
      <c r="I312">
        <v>35492</v>
      </c>
      <c r="J312">
        <v>88250951810</v>
      </c>
      <c r="K312">
        <v>64581743</v>
      </c>
      <c r="L312">
        <f>(Table1[[#This Row],[CLOSE_PRICE]] - Table1[[#This Row],[PREV_CL_PR]]) / Table1[[#This Row],[PREV_CL_PR]] * 100</f>
        <v>-7.0028583095140924</v>
      </c>
      <c r="M312">
        <f>Table1[[#This Row],[HIGH_PRICE]]-Table1[[#This Row],[LOW_PRICE]]</f>
        <v>90</v>
      </c>
      <c r="N312" t="str">
        <f>IF(Table1[[#This Row],[CLOSE_PRICE]]&gt;Table1[[#This Row],[OPEN_PRICE]],"Gain","Loss")</f>
        <v>Loss</v>
      </c>
      <c r="O312" t="str">
        <f>IF(Table1[[#This Row],[MARKET_CAP]]&gt;200000000000,"Large Cap",
IF(Table1[[#This Row],[MARKET_CAP]]&gt;50000000000,"Mid Cap","Small Cap"))</f>
        <v>Mid Cap</v>
      </c>
      <c r="P312" t="str">
        <f>IF(Table1[[#This Row],[NET_TRDQTY]]&gt;1000000,"High Volume","Low Volume")</f>
        <v>Low Volume</v>
      </c>
    </row>
    <row r="313" spans="1:16" x14ac:dyDescent="0.3">
      <c r="A313" t="s">
        <v>633</v>
      </c>
      <c r="B313" t="s">
        <v>634</v>
      </c>
      <c r="C313">
        <v>124.8</v>
      </c>
      <c r="D313">
        <v>124.8</v>
      </c>
      <c r="E313">
        <v>119.65</v>
      </c>
      <c r="F313">
        <v>119.65</v>
      </c>
      <c r="G313">
        <v>125.94</v>
      </c>
      <c r="H313">
        <v>1898</v>
      </c>
      <c r="I313">
        <v>32</v>
      </c>
      <c r="J313">
        <v>2830480483</v>
      </c>
      <c r="K313">
        <v>23656335</v>
      </c>
      <c r="L313">
        <f>(Table1[[#This Row],[CLOSE_PRICE]] - Table1[[#This Row],[PREV_CL_PR]]) / Table1[[#This Row],[PREV_CL_PR]] * 100</f>
        <v>-4.9944417976814295</v>
      </c>
      <c r="M313">
        <f>Table1[[#This Row],[HIGH_PRICE]]-Table1[[#This Row],[LOW_PRICE]]</f>
        <v>5.1499999999999915</v>
      </c>
      <c r="N313" t="str">
        <f>IF(Table1[[#This Row],[CLOSE_PRICE]]&gt;Table1[[#This Row],[OPEN_PRICE]],"Gain","Loss")</f>
        <v>Loss</v>
      </c>
      <c r="O313" t="str">
        <f>IF(Table1[[#This Row],[MARKET_CAP]]&gt;200000000000,"Large Cap",
IF(Table1[[#This Row],[MARKET_CAP]]&gt;50000000000,"Mid Cap","Small Cap"))</f>
        <v>Small Cap</v>
      </c>
      <c r="P313" t="str">
        <f>IF(Table1[[#This Row],[NET_TRDQTY]]&gt;1000000,"High Volume","Low Volume")</f>
        <v>Low Volume</v>
      </c>
    </row>
    <row r="314" spans="1:16" x14ac:dyDescent="0.3">
      <c r="A314" t="s">
        <v>635</v>
      </c>
      <c r="B314" t="s">
        <v>636</v>
      </c>
      <c r="C314">
        <v>4.3099999999999996</v>
      </c>
      <c r="D314">
        <v>4.5599999999999996</v>
      </c>
      <c r="E314">
        <v>4.08</v>
      </c>
      <c r="F314">
        <v>4.2</v>
      </c>
      <c r="G314">
        <v>4.32</v>
      </c>
      <c r="H314">
        <v>152110</v>
      </c>
      <c r="I314">
        <v>317</v>
      </c>
      <c r="J314">
        <v>830540545.79999995</v>
      </c>
      <c r="K314">
        <v>197747749</v>
      </c>
      <c r="L314">
        <f>(Table1[[#This Row],[CLOSE_PRICE]] - Table1[[#This Row],[PREV_CL_PR]]) / Table1[[#This Row],[PREV_CL_PR]] * 100</f>
        <v>-2.7777777777777799</v>
      </c>
      <c r="M314">
        <f>Table1[[#This Row],[HIGH_PRICE]]-Table1[[#This Row],[LOW_PRICE]]</f>
        <v>0.47999999999999954</v>
      </c>
      <c r="N314" t="str">
        <f>IF(Table1[[#This Row],[CLOSE_PRICE]]&gt;Table1[[#This Row],[OPEN_PRICE]],"Gain","Loss")</f>
        <v>Loss</v>
      </c>
      <c r="O314" t="str">
        <f>IF(Table1[[#This Row],[MARKET_CAP]]&gt;200000000000,"Large Cap",
IF(Table1[[#This Row],[MARKET_CAP]]&gt;50000000000,"Mid Cap","Small Cap"))</f>
        <v>Small Cap</v>
      </c>
      <c r="P314" t="str">
        <f>IF(Table1[[#This Row],[NET_TRDQTY]]&gt;1000000,"High Volume","Low Volume")</f>
        <v>Low Volume</v>
      </c>
    </row>
    <row r="315" spans="1:16" x14ac:dyDescent="0.3">
      <c r="A315" t="s">
        <v>637</v>
      </c>
      <c r="B315" t="s">
        <v>638</v>
      </c>
      <c r="C315">
        <v>11</v>
      </c>
      <c r="D315">
        <v>11</v>
      </c>
      <c r="E315">
        <v>10.5</v>
      </c>
      <c r="F315">
        <v>10.54</v>
      </c>
      <c r="G315">
        <v>10.82</v>
      </c>
      <c r="H315">
        <v>108841</v>
      </c>
      <c r="I315">
        <v>271</v>
      </c>
      <c r="J315">
        <v>1581899853</v>
      </c>
      <c r="K315">
        <v>150085375</v>
      </c>
      <c r="L315">
        <f>(Table1[[#This Row],[CLOSE_PRICE]] - Table1[[#This Row],[PREV_CL_PR]]) / Table1[[#This Row],[PREV_CL_PR]] * 100</f>
        <v>-2.5878003696857776</v>
      </c>
      <c r="M315">
        <f>Table1[[#This Row],[HIGH_PRICE]]-Table1[[#This Row],[LOW_PRICE]]</f>
        <v>0.5</v>
      </c>
      <c r="N315" t="str">
        <f>IF(Table1[[#This Row],[CLOSE_PRICE]]&gt;Table1[[#This Row],[OPEN_PRICE]],"Gain","Loss")</f>
        <v>Loss</v>
      </c>
      <c r="O315" t="str">
        <f>IF(Table1[[#This Row],[MARKET_CAP]]&gt;200000000000,"Large Cap",
IF(Table1[[#This Row],[MARKET_CAP]]&gt;50000000000,"Mid Cap","Small Cap"))</f>
        <v>Small Cap</v>
      </c>
      <c r="P315" t="str">
        <f>IF(Table1[[#This Row],[NET_TRDQTY]]&gt;1000000,"High Volume","Low Volume")</f>
        <v>Low Volume</v>
      </c>
    </row>
    <row r="316" spans="1:16" x14ac:dyDescent="0.3">
      <c r="A316" t="s">
        <v>639</v>
      </c>
      <c r="B316" t="s">
        <v>640</v>
      </c>
      <c r="C316">
        <v>365</v>
      </c>
      <c r="D316">
        <v>365</v>
      </c>
      <c r="E316">
        <v>344.6</v>
      </c>
      <c r="F316">
        <v>350.65</v>
      </c>
      <c r="G316">
        <v>366.3</v>
      </c>
      <c r="H316">
        <v>610284</v>
      </c>
      <c r="I316">
        <v>15550</v>
      </c>
      <c r="J316">
        <v>45801314259</v>
      </c>
      <c r="K316">
        <v>130618321</v>
      </c>
      <c r="L316">
        <f>(Table1[[#This Row],[CLOSE_PRICE]] - Table1[[#This Row],[PREV_CL_PR]]) / Table1[[#This Row],[PREV_CL_PR]] * 100</f>
        <v>-4.272454272454282</v>
      </c>
      <c r="M316">
        <f>Table1[[#This Row],[HIGH_PRICE]]-Table1[[#This Row],[LOW_PRICE]]</f>
        <v>20.399999999999977</v>
      </c>
      <c r="N316" t="str">
        <f>IF(Table1[[#This Row],[CLOSE_PRICE]]&gt;Table1[[#This Row],[OPEN_PRICE]],"Gain","Loss")</f>
        <v>Loss</v>
      </c>
      <c r="O316" t="str">
        <f>IF(Table1[[#This Row],[MARKET_CAP]]&gt;200000000000,"Large Cap",
IF(Table1[[#This Row],[MARKET_CAP]]&gt;50000000000,"Mid Cap","Small Cap"))</f>
        <v>Small Cap</v>
      </c>
      <c r="P316" t="str">
        <f>IF(Table1[[#This Row],[NET_TRDQTY]]&gt;1000000,"High Volume","Low Volume")</f>
        <v>Low Volume</v>
      </c>
    </row>
    <row r="317" spans="1:16" x14ac:dyDescent="0.3">
      <c r="A317" t="s">
        <v>641</v>
      </c>
      <c r="B317" t="s">
        <v>642</v>
      </c>
      <c r="C317">
        <v>353.4</v>
      </c>
      <c r="D317">
        <v>364</v>
      </c>
      <c r="E317">
        <v>335.5</v>
      </c>
      <c r="F317">
        <v>355.3</v>
      </c>
      <c r="G317">
        <v>353.65</v>
      </c>
      <c r="H317">
        <v>376287</v>
      </c>
      <c r="I317">
        <v>12129</v>
      </c>
      <c r="J317">
        <v>40997512732</v>
      </c>
      <c r="K317">
        <v>115388440</v>
      </c>
      <c r="L317">
        <f>(Table1[[#This Row],[CLOSE_PRICE]] - Table1[[#This Row],[PREV_CL_PR]]) / Table1[[#This Row],[PREV_CL_PR]] * 100</f>
        <v>0.46656298600312007</v>
      </c>
      <c r="M317">
        <f>Table1[[#This Row],[HIGH_PRICE]]-Table1[[#This Row],[LOW_PRICE]]</f>
        <v>28.5</v>
      </c>
      <c r="N317" t="str">
        <f>IF(Table1[[#This Row],[CLOSE_PRICE]]&gt;Table1[[#This Row],[OPEN_PRICE]],"Gain","Loss")</f>
        <v>Gain</v>
      </c>
      <c r="O317" t="str">
        <f>IF(Table1[[#This Row],[MARKET_CAP]]&gt;200000000000,"Large Cap",
IF(Table1[[#This Row],[MARKET_CAP]]&gt;50000000000,"Mid Cap","Small Cap"))</f>
        <v>Small Cap</v>
      </c>
      <c r="P317" t="str">
        <f>IF(Table1[[#This Row],[NET_TRDQTY]]&gt;1000000,"High Volume","Low Volume")</f>
        <v>Low Volume</v>
      </c>
    </row>
    <row r="318" spans="1:16" x14ac:dyDescent="0.3">
      <c r="A318" t="s">
        <v>643</v>
      </c>
      <c r="B318" t="s">
        <v>644</v>
      </c>
      <c r="C318">
        <v>312</v>
      </c>
      <c r="D318">
        <v>313.2</v>
      </c>
      <c r="E318">
        <v>295.5</v>
      </c>
      <c r="F318">
        <v>303.8</v>
      </c>
      <c r="G318">
        <v>312.95</v>
      </c>
      <c r="H318">
        <v>288855</v>
      </c>
      <c r="I318">
        <v>9373</v>
      </c>
      <c r="J318">
        <v>9594991958</v>
      </c>
      <c r="K318">
        <v>31583252</v>
      </c>
      <c r="L318">
        <f>(Table1[[#This Row],[CLOSE_PRICE]] - Table1[[#This Row],[PREV_CL_PR]]) / Table1[[#This Row],[PREV_CL_PR]] * 100</f>
        <v>-2.9237897427704036</v>
      </c>
      <c r="M318">
        <f>Table1[[#This Row],[HIGH_PRICE]]-Table1[[#This Row],[LOW_PRICE]]</f>
        <v>17.699999999999989</v>
      </c>
      <c r="N318" t="str">
        <f>IF(Table1[[#This Row],[CLOSE_PRICE]]&gt;Table1[[#This Row],[OPEN_PRICE]],"Gain","Loss")</f>
        <v>Loss</v>
      </c>
      <c r="O318" t="str">
        <f>IF(Table1[[#This Row],[MARKET_CAP]]&gt;200000000000,"Large Cap",
IF(Table1[[#This Row],[MARKET_CAP]]&gt;50000000000,"Mid Cap","Small Cap"))</f>
        <v>Small Cap</v>
      </c>
      <c r="P318" t="str">
        <f>IF(Table1[[#This Row],[NET_TRDQTY]]&gt;1000000,"High Volume","Low Volume")</f>
        <v>Low Volume</v>
      </c>
    </row>
    <row r="319" spans="1:16" x14ac:dyDescent="0.3">
      <c r="A319" t="s">
        <v>645</v>
      </c>
      <c r="B319" t="s">
        <v>646</v>
      </c>
      <c r="C319">
        <v>16.149999999999999</v>
      </c>
      <c r="D319">
        <v>16.29</v>
      </c>
      <c r="E319">
        <v>15.21</v>
      </c>
      <c r="F319">
        <v>15.32</v>
      </c>
      <c r="G319">
        <v>16.16</v>
      </c>
      <c r="H319">
        <v>11590199</v>
      </c>
      <c r="I319">
        <v>14958</v>
      </c>
      <c r="J319">
        <v>19569154311</v>
      </c>
      <c r="K319">
        <v>1277359942</v>
      </c>
      <c r="L319">
        <f>(Table1[[#This Row],[CLOSE_PRICE]] - Table1[[#This Row],[PREV_CL_PR]]) / Table1[[#This Row],[PREV_CL_PR]] * 100</f>
        <v>-5.1980198019801973</v>
      </c>
      <c r="M319">
        <f>Table1[[#This Row],[HIGH_PRICE]]-Table1[[#This Row],[LOW_PRICE]]</f>
        <v>1.0799999999999983</v>
      </c>
      <c r="N319" t="str">
        <f>IF(Table1[[#This Row],[CLOSE_PRICE]]&gt;Table1[[#This Row],[OPEN_PRICE]],"Gain","Loss")</f>
        <v>Loss</v>
      </c>
      <c r="O319" t="str">
        <f>IF(Table1[[#This Row],[MARKET_CAP]]&gt;200000000000,"Large Cap",
IF(Table1[[#This Row],[MARKET_CAP]]&gt;50000000000,"Mid Cap","Small Cap"))</f>
        <v>Small Cap</v>
      </c>
      <c r="P319" t="str">
        <f>IF(Table1[[#This Row],[NET_TRDQTY]]&gt;1000000,"High Volume","Low Volume")</f>
        <v>High Volume</v>
      </c>
    </row>
    <row r="320" spans="1:16" x14ac:dyDescent="0.3">
      <c r="A320" t="s">
        <v>647</v>
      </c>
      <c r="B320" t="s">
        <v>648</v>
      </c>
      <c r="C320">
        <v>234.02</v>
      </c>
      <c r="D320">
        <v>234.02</v>
      </c>
      <c r="E320">
        <v>219</v>
      </c>
      <c r="F320">
        <v>222.01</v>
      </c>
      <c r="G320">
        <v>232.85</v>
      </c>
      <c r="H320">
        <v>25609</v>
      </c>
      <c r="I320">
        <v>561</v>
      </c>
      <c r="J320">
        <v>7104320000</v>
      </c>
      <c r="K320">
        <v>32000000</v>
      </c>
      <c r="L320">
        <f>(Table1[[#This Row],[CLOSE_PRICE]] - Table1[[#This Row],[PREV_CL_PR]]) / Table1[[#This Row],[PREV_CL_PR]] * 100</f>
        <v>-4.6553575263044893</v>
      </c>
      <c r="M320">
        <f>Table1[[#This Row],[HIGH_PRICE]]-Table1[[#This Row],[LOW_PRICE]]</f>
        <v>15.02000000000001</v>
      </c>
      <c r="N320" t="str">
        <f>IF(Table1[[#This Row],[CLOSE_PRICE]]&gt;Table1[[#This Row],[OPEN_PRICE]],"Gain","Loss")</f>
        <v>Loss</v>
      </c>
      <c r="O320" t="str">
        <f>IF(Table1[[#This Row],[MARKET_CAP]]&gt;200000000000,"Large Cap",
IF(Table1[[#This Row],[MARKET_CAP]]&gt;50000000000,"Mid Cap","Small Cap"))</f>
        <v>Small Cap</v>
      </c>
      <c r="P320" t="str">
        <f>IF(Table1[[#This Row],[NET_TRDQTY]]&gt;1000000,"High Volume","Low Volume")</f>
        <v>Low Volume</v>
      </c>
    </row>
    <row r="321" spans="1:16" x14ac:dyDescent="0.3">
      <c r="A321" t="s">
        <v>649</v>
      </c>
      <c r="B321" t="s">
        <v>650</v>
      </c>
      <c r="C321">
        <v>158.54</v>
      </c>
      <c r="D321">
        <v>159.61000000000001</v>
      </c>
      <c r="E321">
        <v>150.77000000000001</v>
      </c>
      <c r="F321">
        <v>156.1</v>
      </c>
      <c r="G321">
        <v>163</v>
      </c>
      <c r="H321">
        <v>807020</v>
      </c>
      <c r="I321">
        <v>9487</v>
      </c>
      <c r="J321">
        <v>18054301216</v>
      </c>
      <c r="K321">
        <v>115658560</v>
      </c>
      <c r="L321">
        <f>(Table1[[#This Row],[CLOSE_PRICE]] - Table1[[#This Row],[PREV_CL_PR]]) / Table1[[#This Row],[PREV_CL_PR]] * 100</f>
        <v>-4.2331288343558313</v>
      </c>
      <c r="M321">
        <f>Table1[[#This Row],[HIGH_PRICE]]-Table1[[#This Row],[LOW_PRICE]]</f>
        <v>8.8400000000000034</v>
      </c>
      <c r="N321" t="str">
        <f>IF(Table1[[#This Row],[CLOSE_PRICE]]&gt;Table1[[#This Row],[OPEN_PRICE]],"Gain","Loss")</f>
        <v>Loss</v>
      </c>
      <c r="O321" t="str">
        <f>IF(Table1[[#This Row],[MARKET_CAP]]&gt;200000000000,"Large Cap",
IF(Table1[[#This Row],[MARKET_CAP]]&gt;50000000000,"Mid Cap","Small Cap"))</f>
        <v>Small Cap</v>
      </c>
      <c r="P321" t="str">
        <f>IF(Table1[[#This Row],[NET_TRDQTY]]&gt;1000000,"High Volume","Low Volume")</f>
        <v>Low Volume</v>
      </c>
    </row>
    <row r="322" spans="1:16" x14ac:dyDescent="0.3">
      <c r="A322" t="s">
        <v>651</v>
      </c>
      <c r="B322" t="s">
        <v>652</v>
      </c>
      <c r="C322">
        <v>23.6</v>
      </c>
      <c r="D322">
        <v>24.85</v>
      </c>
      <c r="E322">
        <v>23.5</v>
      </c>
      <c r="F322">
        <v>23.69</v>
      </c>
      <c r="G322">
        <v>24.71</v>
      </c>
      <c r="H322">
        <v>355610</v>
      </c>
      <c r="I322">
        <v>1120</v>
      </c>
      <c r="J322">
        <v>1932413484</v>
      </c>
      <c r="K322">
        <v>81570852</v>
      </c>
      <c r="L322">
        <f>(Table1[[#This Row],[CLOSE_PRICE]] - Table1[[#This Row],[PREV_CL_PR]]) / Table1[[#This Row],[PREV_CL_PR]] * 100</f>
        <v>-4.1278834479967603</v>
      </c>
      <c r="M322">
        <f>Table1[[#This Row],[HIGH_PRICE]]-Table1[[#This Row],[LOW_PRICE]]</f>
        <v>1.3500000000000014</v>
      </c>
      <c r="N322" t="str">
        <f>IF(Table1[[#This Row],[CLOSE_PRICE]]&gt;Table1[[#This Row],[OPEN_PRICE]],"Gain","Loss")</f>
        <v>Gain</v>
      </c>
      <c r="O322" t="str">
        <f>IF(Table1[[#This Row],[MARKET_CAP]]&gt;200000000000,"Large Cap",
IF(Table1[[#This Row],[MARKET_CAP]]&gt;50000000000,"Mid Cap","Small Cap"))</f>
        <v>Small Cap</v>
      </c>
      <c r="P322" t="str">
        <f>IF(Table1[[#This Row],[NET_TRDQTY]]&gt;1000000,"High Volume","Low Volume")</f>
        <v>Low Volume</v>
      </c>
    </row>
    <row r="323" spans="1:16" x14ac:dyDescent="0.3">
      <c r="A323" t="s">
        <v>653</v>
      </c>
      <c r="B323" t="s">
        <v>654</v>
      </c>
      <c r="C323">
        <v>82</v>
      </c>
      <c r="D323">
        <v>82.96</v>
      </c>
      <c r="E323">
        <v>75.83</v>
      </c>
      <c r="F323">
        <v>76.67</v>
      </c>
      <c r="G323">
        <v>83.66</v>
      </c>
      <c r="H323">
        <v>366937</v>
      </c>
      <c r="I323">
        <v>3347</v>
      </c>
      <c r="J323">
        <v>9199237990</v>
      </c>
      <c r="K323">
        <v>119984844</v>
      </c>
      <c r="L323">
        <f>(Table1[[#This Row],[CLOSE_PRICE]] - Table1[[#This Row],[PREV_CL_PR]]) / Table1[[#This Row],[PREV_CL_PR]] * 100</f>
        <v>-8.3552474300741029</v>
      </c>
      <c r="M323">
        <f>Table1[[#This Row],[HIGH_PRICE]]-Table1[[#This Row],[LOW_PRICE]]</f>
        <v>7.1299999999999955</v>
      </c>
      <c r="N323" t="str">
        <f>IF(Table1[[#This Row],[CLOSE_PRICE]]&gt;Table1[[#This Row],[OPEN_PRICE]],"Gain","Loss")</f>
        <v>Loss</v>
      </c>
      <c r="O323" t="str">
        <f>IF(Table1[[#This Row],[MARKET_CAP]]&gt;200000000000,"Large Cap",
IF(Table1[[#This Row],[MARKET_CAP]]&gt;50000000000,"Mid Cap","Small Cap"))</f>
        <v>Small Cap</v>
      </c>
      <c r="P323" t="str">
        <f>IF(Table1[[#This Row],[NET_TRDQTY]]&gt;1000000,"High Volume","Low Volume")</f>
        <v>Low Volume</v>
      </c>
    </row>
    <row r="324" spans="1:16" x14ac:dyDescent="0.3">
      <c r="A324" t="s">
        <v>655</v>
      </c>
      <c r="B324" t="s">
        <v>656</v>
      </c>
      <c r="C324">
        <v>1051</v>
      </c>
      <c r="D324">
        <v>1051.5999999999999</v>
      </c>
      <c r="E324">
        <v>997.2</v>
      </c>
      <c r="F324">
        <v>1002.8</v>
      </c>
      <c r="G324">
        <v>1067.0999999999999</v>
      </c>
      <c r="H324">
        <v>89838</v>
      </c>
      <c r="I324">
        <v>7130</v>
      </c>
      <c r="J324">
        <v>32491722800</v>
      </c>
      <c r="K324">
        <v>32401000</v>
      </c>
      <c r="L324">
        <f>(Table1[[#This Row],[CLOSE_PRICE]] - Table1[[#This Row],[PREV_CL_PR]]) / Table1[[#This Row],[PREV_CL_PR]] * 100</f>
        <v>-6.0256770686908405</v>
      </c>
      <c r="M324">
        <f>Table1[[#This Row],[HIGH_PRICE]]-Table1[[#This Row],[LOW_PRICE]]</f>
        <v>54.399999999999864</v>
      </c>
      <c r="N324" t="str">
        <f>IF(Table1[[#This Row],[CLOSE_PRICE]]&gt;Table1[[#This Row],[OPEN_PRICE]],"Gain","Loss")</f>
        <v>Loss</v>
      </c>
      <c r="O324" t="str">
        <f>IF(Table1[[#This Row],[MARKET_CAP]]&gt;200000000000,"Large Cap",
IF(Table1[[#This Row],[MARKET_CAP]]&gt;50000000000,"Mid Cap","Small Cap"))</f>
        <v>Small Cap</v>
      </c>
      <c r="P324" t="str">
        <f>IF(Table1[[#This Row],[NET_TRDQTY]]&gt;1000000,"High Volume","Low Volume")</f>
        <v>Low Volume</v>
      </c>
    </row>
    <row r="325" spans="1:16" x14ac:dyDescent="0.3">
      <c r="A325" t="s">
        <v>657</v>
      </c>
      <c r="B325" t="s">
        <v>658</v>
      </c>
      <c r="C325">
        <v>17.649999999999999</v>
      </c>
      <c r="D325">
        <v>17.66</v>
      </c>
      <c r="E325">
        <v>17.07</v>
      </c>
      <c r="F325">
        <v>17.27</v>
      </c>
      <c r="G325">
        <v>17.649999999999999</v>
      </c>
      <c r="H325">
        <v>606277</v>
      </c>
      <c r="I325">
        <v>336</v>
      </c>
      <c r="J325">
        <v>953433525</v>
      </c>
      <c r="K325">
        <v>55207500</v>
      </c>
      <c r="L325">
        <f>(Table1[[#This Row],[CLOSE_PRICE]] - Table1[[#This Row],[PREV_CL_PR]]) / Table1[[#This Row],[PREV_CL_PR]] * 100</f>
        <v>-2.1529745042492863</v>
      </c>
      <c r="M325">
        <f>Table1[[#This Row],[HIGH_PRICE]]-Table1[[#This Row],[LOW_PRICE]]</f>
        <v>0.58999999999999986</v>
      </c>
      <c r="N325" t="str">
        <f>IF(Table1[[#This Row],[CLOSE_PRICE]]&gt;Table1[[#This Row],[OPEN_PRICE]],"Gain","Loss")</f>
        <v>Loss</v>
      </c>
      <c r="O325" t="str">
        <f>IF(Table1[[#This Row],[MARKET_CAP]]&gt;200000000000,"Large Cap",
IF(Table1[[#This Row],[MARKET_CAP]]&gt;50000000000,"Mid Cap","Small Cap"))</f>
        <v>Small Cap</v>
      </c>
      <c r="P325" t="str">
        <f>IF(Table1[[#This Row],[NET_TRDQTY]]&gt;1000000,"High Volume","Low Volume")</f>
        <v>Low Volume</v>
      </c>
    </row>
    <row r="326" spans="1:16" x14ac:dyDescent="0.3">
      <c r="A326" t="s">
        <v>659</v>
      </c>
      <c r="B326" t="s">
        <v>660</v>
      </c>
      <c r="C326">
        <v>15.31</v>
      </c>
      <c r="D326">
        <v>15.97</v>
      </c>
      <c r="E326">
        <v>15.25</v>
      </c>
      <c r="F326">
        <v>15.25</v>
      </c>
      <c r="G326">
        <v>15.28</v>
      </c>
      <c r="H326">
        <v>11879</v>
      </c>
      <c r="I326">
        <v>60</v>
      </c>
      <c r="J326">
        <v>491347863</v>
      </c>
      <c r="K326">
        <v>32219532</v>
      </c>
      <c r="L326">
        <f>(Table1[[#This Row],[CLOSE_PRICE]] - Table1[[#This Row],[PREV_CL_PR]]) / Table1[[#This Row],[PREV_CL_PR]] * 100</f>
        <v>-0.19633507853402724</v>
      </c>
      <c r="M326">
        <f>Table1[[#This Row],[HIGH_PRICE]]-Table1[[#This Row],[LOW_PRICE]]</f>
        <v>0.72000000000000064</v>
      </c>
      <c r="N326" t="str">
        <f>IF(Table1[[#This Row],[CLOSE_PRICE]]&gt;Table1[[#This Row],[OPEN_PRICE]],"Gain","Loss")</f>
        <v>Loss</v>
      </c>
      <c r="O326" t="str">
        <f>IF(Table1[[#This Row],[MARKET_CAP]]&gt;200000000000,"Large Cap",
IF(Table1[[#This Row],[MARKET_CAP]]&gt;50000000000,"Mid Cap","Small Cap"))</f>
        <v>Small Cap</v>
      </c>
      <c r="P326" t="str">
        <f>IF(Table1[[#This Row],[NET_TRDQTY]]&gt;1000000,"High Volume","Low Volume")</f>
        <v>Low Volume</v>
      </c>
    </row>
    <row r="327" spans="1:16" x14ac:dyDescent="0.3">
      <c r="A327" t="s">
        <v>661</v>
      </c>
      <c r="B327" t="s">
        <v>662</v>
      </c>
      <c r="C327">
        <v>2090</v>
      </c>
      <c r="D327">
        <v>2094</v>
      </c>
      <c r="E327">
        <v>2032.4</v>
      </c>
      <c r="F327">
        <v>2040.2</v>
      </c>
      <c r="G327">
        <v>2105.1</v>
      </c>
      <c r="H327">
        <v>106792</v>
      </c>
      <c r="I327">
        <v>14298</v>
      </c>
      <c r="J327">
        <v>394000000000</v>
      </c>
      <c r="K327">
        <v>193317190</v>
      </c>
      <c r="L327">
        <f>(Table1[[#This Row],[CLOSE_PRICE]] - Table1[[#This Row],[PREV_CL_PR]]) / Table1[[#This Row],[PREV_CL_PR]] * 100</f>
        <v>-3.0829889316421961</v>
      </c>
      <c r="M327">
        <f>Table1[[#This Row],[HIGH_PRICE]]-Table1[[#This Row],[LOW_PRICE]]</f>
        <v>61.599999999999909</v>
      </c>
      <c r="N327" t="str">
        <f>IF(Table1[[#This Row],[CLOSE_PRICE]]&gt;Table1[[#This Row],[OPEN_PRICE]],"Gain","Loss")</f>
        <v>Loss</v>
      </c>
      <c r="O327" t="str">
        <f>IF(Table1[[#This Row],[MARKET_CAP]]&gt;200000000000,"Large Cap",
IF(Table1[[#This Row],[MARKET_CAP]]&gt;50000000000,"Mid Cap","Small Cap"))</f>
        <v>Large Cap</v>
      </c>
      <c r="P327" t="str">
        <f>IF(Table1[[#This Row],[NET_TRDQTY]]&gt;1000000,"High Volume","Low Volume")</f>
        <v>Low Volume</v>
      </c>
    </row>
    <row r="328" spans="1:16" x14ac:dyDescent="0.3">
      <c r="A328" t="s">
        <v>663</v>
      </c>
      <c r="B328" t="s">
        <v>664</v>
      </c>
      <c r="C328">
        <v>161</v>
      </c>
      <c r="D328">
        <v>161</v>
      </c>
      <c r="E328">
        <v>156.11000000000001</v>
      </c>
      <c r="F328">
        <v>157.63999999999999</v>
      </c>
      <c r="G328">
        <v>162.19</v>
      </c>
      <c r="H328">
        <v>256871</v>
      </c>
      <c r="I328">
        <v>4012</v>
      </c>
      <c r="J328">
        <v>26957046283</v>
      </c>
      <c r="K328">
        <v>171003846</v>
      </c>
      <c r="L328">
        <f>(Table1[[#This Row],[CLOSE_PRICE]] - Table1[[#This Row],[PREV_CL_PR]]) / Table1[[#This Row],[PREV_CL_PR]] * 100</f>
        <v>-2.8053517479499424</v>
      </c>
      <c r="M328">
        <f>Table1[[#This Row],[HIGH_PRICE]]-Table1[[#This Row],[LOW_PRICE]]</f>
        <v>4.8899999999999864</v>
      </c>
      <c r="N328" t="str">
        <f>IF(Table1[[#This Row],[CLOSE_PRICE]]&gt;Table1[[#This Row],[OPEN_PRICE]],"Gain","Loss")</f>
        <v>Loss</v>
      </c>
      <c r="O328" t="str">
        <f>IF(Table1[[#This Row],[MARKET_CAP]]&gt;200000000000,"Large Cap",
IF(Table1[[#This Row],[MARKET_CAP]]&gt;50000000000,"Mid Cap","Small Cap"))</f>
        <v>Small Cap</v>
      </c>
      <c r="P328" t="str">
        <f>IF(Table1[[#This Row],[NET_TRDQTY]]&gt;1000000,"High Volume","Low Volume")</f>
        <v>Low Volume</v>
      </c>
    </row>
    <row r="329" spans="1:16" x14ac:dyDescent="0.3">
      <c r="A329" t="s">
        <v>665</v>
      </c>
      <c r="B329" t="s">
        <v>666</v>
      </c>
      <c r="C329">
        <v>68.98</v>
      </c>
      <c r="D329">
        <v>68.98</v>
      </c>
      <c r="E329">
        <v>66.010000000000005</v>
      </c>
      <c r="F329">
        <v>66.040000000000006</v>
      </c>
      <c r="G329">
        <v>67.900000000000006</v>
      </c>
      <c r="H329">
        <v>12889</v>
      </c>
      <c r="I329">
        <v>120</v>
      </c>
      <c r="J329">
        <v>1051414387</v>
      </c>
      <c r="K329">
        <v>15920872</v>
      </c>
      <c r="L329">
        <f>(Table1[[#This Row],[CLOSE_PRICE]] - Table1[[#This Row],[PREV_CL_PR]]) / Table1[[#This Row],[PREV_CL_PR]] * 100</f>
        <v>-2.7393225331369653</v>
      </c>
      <c r="M329">
        <f>Table1[[#This Row],[HIGH_PRICE]]-Table1[[#This Row],[LOW_PRICE]]</f>
        <v>2.9699999999999989</v>
      </c>
      <c r="N329" t="str">
        <f>IF(Table1[[#This Row],[CLOSE_PRICE]]&gt;Table1[[#This Row],[OPEN_PRICE]],"Gain","Loss")</f>
        <v>Loss</v>
      </c>
      <c r="O329" t="str">
        <f>IF(Table1[[#This Row],[MARKET_CAP]]&gt;200000000000,"Large Cap",
IF(Table1[[#This Row],[MARKET_CAP]]&gt;50000000000,"Mid Cap","Small Cap"))</f>
        <v>Small Cap</v>
      </c>
      <c r="P329" t="str">
        <f>IF(Table1[[#This Row],[NET_TRDQTY]]&gt;1000000,"High Volume","Low Volume")</f>
        <v>Low Volume</v>
      </c>
    </row>
    <row r="330" spans="1:16" x14ac:dyDescent="0.3">
      <c r="A330" t="s">
        <v>667</v>
      </c>
      <c r="B330" t="s">
        <v>668</v>
      </c>
      <c r="C330">
        <v>485.9</v>
      </c>
      <c r="D330">
        <v>485.9</v>
      </c>
      <c r="E330">
        <v>463.55</v>
      </c>
      <c r="F330">
        <v>473.5</v>
      </c>
      <c r="G330">
        <v>485.9</v>
      </c>
      <c r="H330">
        <v>891916</v>
      </c>
      <c r="I330">
        <v>27421</v>
      </c>
      <c r="J330">
        <v>95623531446</v>
      </c>
      <c r="K330">
        <v>201950436</v>
      </c>
      <c r="L330">
        <f>(Table1[[#This Row],[CLOSE_PRICE]] - Table1[[#This Row],[PREV_CL_PR]]) / Table1[[#This Row],[PREV_CL_PR]] * 100</f>
        <v>-2.55196542498456</v>
      </c>
      <c r="M330">
        <f>Table1[[#This Row],[HIGH_PRICE]]-Table1[[#This Row],[LOW_PRICE]]</f>
        <v>22.349999999999966</v>
      </c>
      <c r="N330" t="str">
        <f>IF(Table1[[#This Row],[CLOSE_PRICE]]&gt;Table1[[#This Row],[OPEN_PRICE]],"Gain","Loss")</f>
        <v>Loss</v>
      </c>
      <c r="O330" t="str">
        <f>IF(Table1[[#This Row],[MARKET_CAP]]&gt;200000000000,"Large Cap",
IF(Table1[[#This Row],[MARKET_CAP]]&gt;50000000000,"Mid Cap","Small Cap"))</f>
        <v>Mid Cap</v>
      </c>
      <c r="P330" t="str">
        <f>IF(Table1[[#This Row],[NET_TRDQTY]]&gt;1000000,"High Volume","Low Volume")</f>
        <v>Low Volume</v>
      </c>
    </row>
    <row r="331" spans="1:16" x14ac:dyDescent="0.3">
      <c r="A331" t="s">
        <v>669</v>
      </c>
      <c r="B331" t="s">
        <v>670</v>
      </c>
      <c r="C331">
        <v>432.9</v>
      </c>
      <c r="D331">
        <v>432.9</v>
      </c>
      <c r="E331">
        <v>410</v>
      </c>
      <c r="F331">
        <v>412.9</v>
      </c>
      <c r="G331">
        <v>437.75</v>
      </c>
      <c r="H331">
        <v>624282</v>
      </c>
      <c r="I331">
        <v>12234</v>
      </c>
      <c r="J331">
        <v>47067255510</v>
      </c>
      <c r="K331">
        <v>113991900</v>
      </c>
      <c r="L331">
        <f>(Table1[[#This Row],[CLOSE_PRICE]] - Table1[[#This Row],[PREV_CL_PR]]) / Table1[[#This Row],[PREV_CL_PR]] * 100</f>
        <v>-5.6767561393489485</v>
      </c>
      <c r="M331">
        <f>Table1[[#This Row],[HIGH_PRICE]]-Table1[[#This Row],[LOW_PRICE]]</f>
        <v>22.899999999999977</v>
      </c>
      <c r="N331" t="str">
        <f>IF(Table1[[#This Row],[CLOSE_PRICE]]&gt;Table1[[#This Row],[OPEN_PRICE]],"Gain","Loss")</f>
        <v>Loss</v>
      </c>
      <c r="O331" t="str">
        <f>IF(Table1[[#This Row],[MARKET_CAP]]&gt;200000000000,"Large Cap",
IF(Table1[[#This Row],[MARKET_CAP]]&gt;50000000000,"Mid Cap","Small Cap"))</f>
        <v>Small Cap</v>
      </c>
      <c r="P331" t="str">
        <f>IF(Table1[[#This Row],[NET_TRDQTY]]&gt;1000000,"High Volume","Low Volume")</f>
        <v>Low Volume</v>
      </c>
    </row>
    <row r="332" spans="1:16" x14ac:dyDescent="0.3">
      <c r="A332" t="s">
        <v>671</v>
      </c>
      <c r="B332" t="s">
        <v>672</v>
      </c>
      <c r="C332">
        <v>110</v>
      </c>
      <c r="D332">
        <v>110</v>
      </c>
      <c r="E332">
        <v>102.6</v>
      </c>
      <c r="F332">
        <v>104.43</v>
      </c>
      <c r="G332">
        <v>110</v>
      </c>
      <c r="H332">
        <v>2216</v>
      </c>
      <c r="I332">
        <v>47</v>
      </c>
      <c r="J332">
        <v>693020663.5</v>
      </c>
      <c r="K332">
        <v>6636222</v>
      </c>
      <c r="L332">
        <f>(Table1[[#This Row],[CLOSE_PRICE]] - Table1[[#This Row],[PREV_CL_PR]]) / Table1[[#This Row],[PREV_CL_PR]] * 100</f>
        <v>-5.0636363636363573</v>
      </c>
      <c r="M332">
        <f>Table1[[#This Row],[HIGH_PRICE]]-Table1[[#This Row],[LOW_PRICE]]</f>
        <v>7.4000000000000057</v>
      </c>
      <c r="N332" t="str">
        <f>IF(Table1[[#This Row],[CLOSE_PRICE]]&gt;Table1[[#This Row],[OPEN_PRICE]],"Gain","Loss")</f>
        <v>Loss</v>
      </c>
      <c r="O332" t="str">
        <f>IF(Table1[[#This Row],[MARKET_CAP]]&gt;200000000000,"Large Cap",
IF(Table1[[#This Row],[MARKET_CAP]]&gt;50000000000,"Mid Cap","Small Cap"))</f>
        <v>Small Cap</v>
      </c>
      <c r="P332" t="str">
        <f>IF(Table1[[#This Row],[NET_TRDQTY]]&gt;1000000,"High Volume","Low Volume")</f>
        <v>Low Volume</v>
      </c>
    </row>
    <row r="333" spans="1:16" x14ac:dyDescent="0.3">
      <c r="A333" t="s">
        <v>673</v>
      </c>
      <c r="B333" t="s">
        <v>674</v>
      </c>
      <c r="C333">
        <v>3609.5</v>
      </c>
      <c r="D333">
        <v>3650.1</v>
      </c>
      <c r="E333">
        <v>3552.1</v>
      </c>
      <c r="F333">
        <v>3596.6</v>
      </c>
      <c r="G333">
        <v>3602.9</v>
      </c>
      <c r="H333">
        <v>878</v>
      </c>
      <c r="I333">
        <v>126</v>
      </c>
      <c r="J333">
        <v>45100285020</v>
      </c>
      <c r="K333">
        <v>12539700</v>
      </c>
      <c r="L333">
        <f>(Table1[[#This Row],[CLOSE_PRICE]] - Table1[[#This Row],[PREV_CL_PR]]) / Table1[[#This Row],[PREV_CL_PR]] * 100</f>
        <v>-0.17485914124733359</v>
      </c>
      <c r="M333">
        <f>Table1[[#This Row],[HIGH_PRICE]]-Table1[[#This Row],[LOW_PRICE]]</f>
        <v>98</v>
      </c>
      <c r="N333" t="str">
        <f>IF(Table1[[#This Row],[CLOSE_PRICE]]&gt;Table1[[#This Row],[OPEN_PRICE]],"Gain","Loss")</f>
        <v>Loss</v>
      </c>
      <c r="O333" t="str">
        <f>IF(Table1[[#This Row],[MARKET_CAP]]&gt;200000000000,"Large Cap",
IF(Table1[[#This Row],[MARKET_CAP]]&gt;50000000000,"Mid Cap","Small Cap"))</f>
        <v>Small Cap</v>
      </c>
      <c r="P333" t="str">
        <f>IF(Table1[[#This Row],[NET_TRDQTY]]&gt;1000000,"High Volume","Low Volume")</f>
        <v>Low Volume</v>
      </c>
    </row>
    <row r="334" spans="1:16" x14ac:dyDescent="0.3">
      <c r="A334" t="s">
        <v>675</v>
      </c>
      <c r="B334" t="s">
        <v>676</v>
      </c>
      <c r="C334">
        <v>545</v>
      </c>
      <c r="D334">
        <v>545.79999999999995</v>
      </c>
      <c r="E334">
        <v>516.1</v>
      </c>
      <c r="F334">
        <v>522.35</v>
      </c>
      <c r="G334">
        <v>553.70000000000005</v>
      </c>
      <c r="H334">
        <v>292630</v>
      </c>
      <c r="I334">
        <v>15272</v>
      </c>
      <c r="J334">
        <v>74715533655</v>
      </c>
      <c r="K334">
        <v>143037300</v>
      </c>
      <c r="L334">
        <f>(Table1[[#This Row],[CLOSE_PRICE]] - Table1[[#This Row],[PREV_CL_PR]]) / Table1[[#This Row],[PREV_CL_PR]] * 100</f>
        <v>-5.6619107820119234</v>
      </c>
      <c r="M334">
        <f>Table1[[#This Row],[HIGH_PRICE]]-Table1[[#This Row],[LOW_PRICE]]</f>
        <v>29.699999999999932</v>
      </c>
      <c r="N334" t="str">
        <f>IF(Table1[[#This Row],[CLOSE_PRICE]]&gt;Table1[[#This Row],[OPEN_PRICE]],"Gain","Loss")</f>
        <v>Loss</v>
      </c>
      <c r="O334" t="str">
        <f>IF(Table1[[#This Row],[MARKET_CAP]]&gt;200000000000,"Large Cap",
IF(Table1[[#This Row],[MARKET_CAP]]&gt;50000000000,"Mid Cap","Small Cap"))</f>
        <v>Mid Cap</v>
      </c>
      <c r="P334" t="str">
        <f>IF(Table1[[#This Row],[NET_TRDQTY]]&gt;1000000,"High Volume","Low Volume")</f>
        <v>Low Volume</v>
      </c>
    </row>
    <row r="335" spans="1:16" x14ac:dyDescent="0.3">
      <c r="A335" t="s">
        <v>677</v>
      </c>
      <c r="B335" t="s">
        <v>678</v>
      </c>
      <c r="C335">
        <v>156.5</v>
      </c>
      <c r="D335">
        <v>156.57</v>
      </c>
      <c r="E335">
        <v>145.77000000000001</v>
      </c>
      <c r="F335">
        <v>148.34</v>
      </c>
      <c r="G335">
        <v>158.44</v>
      </c>
      <c r="H335">
        <v>16048372</v>
      </c>
      <c r="I335">
        <v>63344</v>
      </c>
      <c r="J335">
        <v>239000000000</v>
      </c>
      <c r="K335">
        <v>1610971405</v>
      </c>
      <c r="L335">
        <f>(Table1[[#This Row],[CLOSE_PRICE]] - Table1[[#This Row],[PREV_CL_PR]]) / Table1[[#This Row],[PREV_CL_PR]] * 100</f>
        <v>-6.3746528654380175</v>
      </c>
      <c r="M335">
        <f>Table1[[#This Row],[HIGH_PRICE]]-Table1[[#This Row],[LOW_PRICE]]</f>
        <v>10.799999999999983</v>
      </c>
      <c r="N335" t="str">
        <f>IF(Table1[[#This Row],[CLOSE_PRICE]]&gt;Table1[[#This Row],[OPEN_PRICE]],"Gain","Loss")</f>
        <v>Loss</v>
      </c>
      <c r="O335" t="str">
        <f>IF(Table1[[#This Row],[MARKET_CAP]]&gt;200000000000,"Large Cap",
IF(Table1[[#This Row],[MARKET_CAP]]&gt;50000000000,"Mid Cap","Small Cap"))</f>
        <v>Large Cap</v>
      </c>
      <c r="P335" t="str">
        <f>IF(Table1[[#This Row],[NET_TRDQTY]]&gt;1000000,"High Volume","Low Volume")</f>
        <v>High Volume</v>
      </c>
    </row>
    <row r="336" spans="1:16" x14ac:dyDescent="0.3">
      <c r="A336" t="s">
        <v>679</v>
      </c>
      <c r="B336" t="s">
        <v>680</v>
      </c>
      <c r="C336">
        <v>35.15</v>
      </c>
      <c r="D336">
        <v>35.21</v>
      </c>
      <c r="E336">
        <v>33.130000000000003</v>
      </c>
      <c r="F336">
        <v>33.53</v>
      </c>
      <c r="G336">
        <v>34.79</v>
      </c>
      <c r="H336">
        <v>22085</v>
      </c>
      <c r="I336">
        <v>110</v>
      </c>
      <c r="J336">
        <v>454666800</v>
      </c>
      <c r="K336">
        <v>13560000</v>
      </c>
      <c r="L336">
        <f>(Table1[[#This Row],[CLOSE_PRICE]] - Table1[[#This Row],[PREV_CL_PR]]) / Table1[[#This Row],[PREV_CL_PR]] * 100</f>
        <v>-3.621730382293757</v>
      </c>
      <c r="M336">
        <f>Table1[[#This Row],[HIGH_PRICE]]-Table1[[#This Row],[LOW_PRICE]]</f>
        <v>2.0799999999999983</v>
      </c>
      <c r="N336" t="str">
        <f>IF(Table1[[#This Row],[CLOSE_PRICE]]&gt;Table1[[#This Row],[OPEN_PRICE]],"Gain","Loss")</f>
        <v>Loss</v>
      </c>
      <c r="O336" t="str">
        <f>IF(Table1[[#This Row],[MARKET_CAP]]&gt;200000000000,"Large Cap",
IF(Table1[[#This Row],[MARKET_CAP]]&gt;50000000000,"Mid Cap","Small Cap"))</f>
        <v>Small Cap</v>
      </c>
      <c r="P336" t="str">
        <f>IF(Table1[[#This Row],[NET_TRDQTY]]&gt;1000000,"High Volume","Low Volume")</f>
        <v>Low Volume</v>
      </c>
    </row>
    <row r="337" spans="1:16" x14ac:dyDescent="0.3">
      <c r="A337" t="s">
        <v>681</v>
      </c>
      <c r="B337" t="s">
        <v>682</v>
      </c>
      <c r="C337">
        <v>48</v>
      </c>
      <c r="D337">
        <v>48</v>
      </c>
      <c r="E337">
        <v>45.11</v>
      </c>
      <c r="F337">
        <v>45.24</v>
      </c>
      <c r="G337">
        <v>48.73</v>
      </c>
      <c r="H337">
        <v>15239</v>
      </c>
      <c r="I337">
        <v>98</v>
      </c>
      <c r="J337">
        <v>492792850.69999999</v>
      </c>
      <c r="K337">
        <v>10892857</v>
      </c>
      <c r="L337">
        <f>(Table1[[#This Row],[CLOSE_PRICE]] - Table1[[#This Row],[PREV_CL_PR]]) / Table1[[#This Row],[PREV_CL_PR]] * 100</f>
        <v>-7.1619125795197931</v>
      </c>
      <c r="M337">
        <f>Table1[[#This Row],[HIGH_PRICE]]-Table1[[#This Row],[LOW_PRICE]]</f>
        <v>2.8900000000000006</v>
      </c>
      <c r="N337" t="str">
        <f>IF(Table1[[#This Row],[CLOSE_PRICE]]&gt;Table1[[#This Row],[OPEN_PRICE]],"Gain","Loss")</f>
        <v>Loss</v>
      </c>
      <c r="O337" t="str">
        <f>IF(Table1[[#This Row],[MARKET_CAP]]&gt;200000000000,"Large Cap",
IF(Table1[[#This Row],[MARKET_CAP]]&gt;50000000000,"Mid Cap","Small Cap"))</f>
        <v>Small Cap</v>
      </c>
      <c r="P337" t="str">
        <f>IF(Table1[[#This Row],[NET_TRDQTY]]&gt;1000000,"High Volume","Low Volume")</f>
        <v>Low Volume</v>
      </c>
    </row>
    <row r="338" spans="1:16" x14ac:dyDescent="0.3">
      <c r="A338" t="s">
        <v>683</v>
      </c>
      <c r="B338" t="s">
        <v>684</v>
      </c>
      <c r="C338">
        <v>148.80000000000001</v>
      </c>
      <c r="D338">
        <v>148.80000000000001</v>
      </c>
      <c r="E338">
        <v>143.01</v>
      </c>
      <c r="F338">
        <v>143.72999999999999</v>
      </c>
      <c r="G338">
        <v>150.49</v>
      </c>
      <c r="H338">
        <v>9048350</v>
      </c>
      <c r="I338">
        <v>49558</v>
      </c>
      <c r="J338">
        <v>654000000000</v>
      </c>
      <c r="K338">
        <v>4552667866</v>
      </c>
      <c r="L338">
        <f>(Table1[[#This Row],[CLOSE_PRICE]] - Table1[[#This Row],[PREV_CL_PR]]) / Table1[[#This Row],[PREV_CL_PR]] * 100</f>
        <v>-4.4919928234434314</v>
      </c>
      <c r="M338">
        <f>Table1[[#This Row],[HIGH_PRICE]]-Table1[[#This Row],[LOW_PRICE]]</f>
        <v>5.7900000000000205</v>
      </c>
      <c r="N338" t="str">
        <f>IF(Table1[[#This Row],[CLOSE_PRICE]]&gt;Table1[[#This Row],[OPEN_PRICE]],"Gain","Loss")</f>
        <v>Loss</v>
      </c>
      <c r="O338" t="str">
        <f>IF(Table1[[#This Row],[MARKET_CAP]]&gt;200000000000,"Large Cap",
IF(Table1[[#This Row],[MARKET_CAP]]&gt;50000000000,"Mid Cap","Small Cap"))</f>
        <v>Large Cap</v>
      </c>
      <c r="P338" t="str">
        <f>IF(Table1[[#This Row],[NET_TRDQTY]]&gt;1000000,"High Volume","Low Volume")</f>
        <v>High Volume</v>
      </c>
    </row>
    <row r="339" spans="1:16" x14ac:dyDescent="0.3">
      <c r="A339" t="s">
        <v>685</v>
      </c>
      <c r="B339" t="s">
        <v>686</v>
      </c>
      <c r="C339">
        <v>249.5</v>
      </c>
      <c r="D339">
        <v>252.85</v>
      </c>
      <c r="E339">
        <v>230</v>
      </c>
      <c r="F339">
        <v>234.25</v>
      </c>
      <c r="G339">
        <v>247.55</v>
      </c>
      <c r="H339">
        <v>97014</v>
      </c>
      <c r="I339">
        <v>4539</v>
      </c>
      <c r="J339">
        <v>36673231756</v>
      </c>
      <c r="K339">
        <v>156555952</v>
      </c>
      <c r="L339">
        <f>(Table1[[#This Row],[CLOSE_PRICE]] - Table1[[#This Row],[PREV_CL_PR]]) / Table1[[#This Row],[PREV_CL_PR]] * 100</f>
        <v>-5.3726519894970757</v>
      </c>
      <c r="M339">
        <f>Table1[[#This Row],[HIGH_PRICE]]-Table1[[#This Row],[LOW_PRICE]]</f>
        <v>22.849999999999994</v>
      </c>
      <c r="N339" t="str">
        <f>IF(Table1[[#This Row],[CLOSE_PRICE]]&gt;Table1[[#This Row],[OPEN_PRICE]],"Gain","Loss")</f>
        <v>Loss</v>
      </c>
      <c r="O339" t="str">
        <f>IF(Table1[[#This Row],[MARKET_CAP]]&gt;200000000000,"Large Cap",
IF(Table1[[#This Row],[MARKET_CAP]]&gt;50000000000,"Mid Cap","Small Cap"))</f>
        <v>Small Cap</v>
      </c>
      <c r="P339" t="str">
        <f>IF(Table1[[#This Row],[NET_TRDQTY]]&gt;1000000,"High Volume","Low Volume")</f>
        <v>Low Volume</v>
      </c>
    </row>
    <row r="340" spans="1:16" x14ac:dyDescent="0.3">
      <c r="A340" t="s">
        <v>687</v>
      </c>
      <c r="B340" t="s">
        <v>688</v>
      </c>
      <c r="C340">
        <v>111.05</v>
      </c>
      <c r="D340">
        <v>111.1</v>
      </c>
      <c r="E340">
        <v>104.87</v>
      </c>
      <c r="F340">
        <v>105.44</v>
      </c>
      <c r="G340">
        <v>112.38</v>
      </c>
      <c r="H340">
        <v>45571</v>
      </c>
      <c r="I340">
        <v>663</v>
      </c>
      <c r="J340">
        <v>3609430937</v>
      </c>
      <c r="K340">
        <v>34232084</v>
      </c>
      <c r="L340">
        <f>(Table1[[#This Row],[CLOSE_PRICE]] - Table1[[#This Row],[PREV_CL_PR]]) / Table1[[#This Row],[PREV_CL_PR]] * 100</f>
        <v>-6.1754760633564674</v>
      </c>
      <c r="M340">
        <f>Table1[[#This Row],[HIGH_PRICE]]-Table1[[#This Row],[LOW_PRICE]]</f>
        <v>6.2299999999999898</v>
      </c>
      <c r="N340" t="str">
        <f>IF(Table1[[#This Row],[CLOSE_PRICE]]&gt;Table1[[#This Row],[OPEN_PRICE]],"Gain","Loss")</f>
        <v>Loss</v>
      </c>
      <c r="O340" t="str">
        <f>IF(Table1[[#This Row],[MARKET_CAP]]&gt;200000000000,"Large Cap",
IF(Table1[[#This Row],[MARKET_CAP]]&gt;50000000000,"Mid Cap","Small Cap"))</f>
        <v>Small Cap</v>
      </c>
      <c r="P340" t="str">
        <f>IF(Table1[[#This Row],[NET_TRDQTY]]&gt;1000000,"High Volume","Low Volume")</f>
        <v>Low Volume</v>
      </c>
    </row>
    <row r="341" spans="1:16" x14ac:dyDescent="0.3">
      <c r="A341" t="s">
        <v>689</v>
      </c>
      <c r="B341" t="s">
        <v>690</v>
      </c>
      <c r="C341">
        <v>3245</v>
      </c>
      <c r="D341">
        <v>3288</v>
      </c>
      <c r="E341">
        <v>3122.2</v>
      </c>
      <c r="F341">
        <v>3163.4</v>
      </c>
      <c r="G341">
        <v>3312.2</v>
      </c>
      <c r="H341">
        <v>31011</v>
      </c>
      <c r="I341">
        <v>8146</v>
      </c>
      <c r="J341">
        <v>137000000000</v>
      </c>
      <c r="K341">
        <v>43285640</v>
      </c>
      <c r="L341">
        <f>(Table1[[#This Row],[CLOSE_PRICE]] - Table1[[#This Row],[PREV_CL_PR]]) / Table1[[#This Row],[PREV_CL_PR]] * 100</f>
        <v>-4.4924823380230583</v>
      </c>
      <c r="M341">
        <f>Table1[[#This Row],[HIGH_PRICE]]-Table1[[#This Row],[LOW_PRICE]]</f>
        <v>165.80000000000018</v>
      </c>
      <c r="N341" t="str">
        <f>IF(Table1[[#This Row],[CLOSE_PRICE]]&gt;Table1[[#This Row],[OPEN_PRICE]],"Gain","Loss")</f>
        <v>Loss</v>
      </c>
      <c r="O341" t="str">
        <f>IF(Table1[[#This Row],[MARKET_CAP]]&gt;200000000000,"Large Cap",
IF(Table1[[#This Row],[MARKET_CAP]]&gt;50000000000,"Mid Cap","Small Cap"))</f>
        <v>Mid Cap</v>
      </c>
      <c r="P341" t="str">
        <f>IF(Table1[[#This Row],[NET_TRDQTY]]&gt;1000000,"High Volume","Low Volume")</f>
        <v>Low Volume</v>
      </c>
    </row>
    <row r="342" spans="1:16" x14ac:dyDescent="0.3">
      <c r="A342" t="s">
        <v>691</v>
      </c>
      <c r="B342" t="s">
        <v>692</v>
      </c>
      <c r="C342">
        <v>20.16</v>
      </c>
      <c r="D342">
        <v>20.190000000000001</v>
      </c>
      <c r="E342">
        <v>18.52</v>
      </c>
      <c r="F342">
        <v>18.95</v>
      </c>
      <c r="G342">
        <v>20.010000000000002</v>
      </c>
      <c r="H342">
        <v>348152</v>
      </c>
      <c r="I342">
        <v>1236</v>
      </c>
      <c r="J342">
        <v>1514510056</v>
      </c>
      <c r="K342">
        <v>79921375</v>
      </c>
      <c r="L342">
        <f>(Table1[[#This Row],[CLOSE_PRICE]] - Table1[[#This Row],[PREV_CL_PR]]) / Table1[[#This Row],[PREV_CL_PR]] * 100</f>
        <v>-5.2973513243378418</v>
      </c>
      <c r="M342">
        <f>Table1[[#This Row],[HIGH_PRICE]]-Table1[[#This Row],[LOW_PRICE]]</f>
        <v>1.6700000000000017</v>
      </c>
      <c r="N342" t="str">
        <f>IF(Table1[[#This Row],[CLOSE_PRICE]]&gt;Table1[[#This Row],[OPEN_PRICE]],"Gain","Loss")</f>
        <v>Loss</v>
      </c>
      <c r="O342" t="str">
        <f>IF(Table1[[#This Row],[MARKET_CAP]]&gt;200000000000,"Large Cap",
IF(Table1[[#This Row],[MARKET_CAP]]&gt;50000000000,"Mid Cap","Small Cap"))</f>
        <v>Small Cap</v>
      </c>
      <c r="P342" t="str">
        <f>IF(Table1[[#This Row],[NET_TRDQTY]]&gt;1000000,"High Volume","Low Volume")</f>
        <v>Low Volume</v>
      </c>
    </row>
    <row r="343" spans="1:16" x14ac:dyDescent="0.3">
      <c r="A343" t="s">
        <v>693</v>
      </c>
      <c r="B343" t="s">
        <v>694</v>
      </c>
      <c r="C343">
        <v>660</v>
      </c>
      <c r="D343">
        <v>660</v>
      </c>
      <c r="E343">
        <v>622.04999999999995</v>
      </c>
      <c r="F343">
        <v>625.75</v>
      </c>
      <c r="G343">
        <v>663.3</v>
      </c>
      <c r="H343">
        <v>303782</v>
      </c>
      <c r="I343">
        <v>19904</v>
      </c>
      <c r="J343">
        <v>80426108155</v>
      </c>
      <c r="K343">
        <v>128527540</v>
      </c>
      <c r="L343">
        <f>(Table1[[#This Row],[CLOSE_PRICE]] - Table1[[#This Row],[PREV_CL_PR]]) / Table1[[#This Row],[PREV_CL_PR]] * 100</f>
        <v>-5.661088496909386</v>
      </c>
      <c r="M343">
        <f>Table1[[#This Row],[HIGH_PRICE]]-Table1[[#This Row],[LOW_PRICE]]</f>
        <v>37.950000000000045</v>
      </c>
      <c r="N343" t="str">
        <f>IF(Table1[[#This Row],[CLOSE_PRICE]]&gt;Table1[[#This Row],[OPEN_PRICE]],"Gain","Loss")</f>
        <v>Loss</v>
      </c>
      <c r="O343" t="str">
        <f>IF(Table1[[#This Row],[MARKET_CAP]]&gt;200000000000,"Large Cap",
IF(Table1[[#This Row],[MARKET_CAP]]&gt;50000000000,"Mid Cap","Small Cap"))</f>
        <v>Mid Cap</v>
      </c>
      <c r="P343" t="str">
        <f>IF(Table1[[#This Row],[NET_TRDQTY]]&gt;1000000,"High Volume","Low Volume")</f>
        <v>Low Volume</v>
      </c>
    </row>
    <row r="344" spans="1:16" x14ac:dyDescent="0.3">
      <c r="A344" t="s">
        <v>695</v>
      </c>
      <c r="B344" t="s">
        <v>696</v>
      </c>
      <c r="C344">
        <v>4688</v>
      </c>
      <c r="D344">
        <v>4688</v>
      </c>
      <c r="E344">
        <v>4401</v>
      </c>
      <c r="F344">
        <v>4488.8</v>
      </c>
      <c r="G344">
        <v>4717.5</v>
      </c>
      <c r="H344">
        <v>25601</v>
      </c>
      <c r="I344">
        <v>8414</v>
      </c>
      <c r="J344">
        <v>202000000000</v>
      </c>
      <c r="K344">
        <v>44942092</v>
      </c>
      <c r="L344">
        <f>(Table1[[#This Row],[CLOSE_PRICE]] - Table1[[#This Row],[PREV_CL_PR]]) / Table1[[#This Row],[PREV_CL_PR]] * 100</f>
        <v>-4.8479067302596679</v>
      </c>
      <c r="M344">
        <f>Table1[[#This Row],[HIGH_PRICE]]-Table1[[#This Row],[LOW_PRICE]]</f>
        <v>287</v>
      </c>
      <c r="N344" t="str">
        <f>IF(Table1[[#This Row],[CLOSE_PRICE]]&gt;Table1[[#This Row],[OPEN_PRICE]],"Gain","Loss")</f>
        <v>Loss</v>
      </c>
      <c r="O344" t="str">
        <f>IF(Table1[[#This Row],[MARKET_CAP]]&gt;200000000000,"Large Cap",
IF(Table1[[#This Row],[MARKET_CAP]]&gt;50000000000,"Mid Cap","Small Cap"))</f>
        <v>Large Cap</v>
      </c>
      <c r="P344" t="str">
        <f>IF(Table1[[#This Row],[NET_TRDQTY]]&gt;1000000,"High Volume","Low Volume")</f>
        <v>Low Volume</v>
      </c>
    </row>
    <row r="345" spans="1:16" x14ac:dyDescent="0.3">
      <c r="A345" t="s">
        <v>697</v>
      </c>
      <c r="B345" t="s">
        <v>698</v>
      </c>
      <c r="C345">
        <v>2255</v>
      </c>
      <c r="D345">
        <v>2310</v>
      </c>
      <c r="E345">
        <v>2159</v>
      </c>
      <c r="F345">
        <v>2227.5</v>
      </c>
      <c r="G345">
        <v>2310.5</v>
      </c>
      <c r="H345">
        <v>44925</v>
      </c>
      <c r="I345">
        <v>4950</v>
      </c>
      <c r="J345">
        <v>25177699800</v>
      </c>
      <c r="K345">
        <v>11303120</v>
      </c>
      <c r="L345">
        <f>(Table1[[#This Row],[CLOSE_PRICE]] - Table1[[#This Row],[PREV_CL_PR]]) / Table1[[#This Row],[PREV_CL_PR]] * 100</f>
        <v>-3.5922960398182213</v>
      </c>
      <c r="M345">
        <f>Table1[[#This Row],[HIGH_PRICE]]-Table1[[#This Row],[LOW_PRICE]]</f>
        <v>151</v>
      </c>
      <c r="N345" t="str">
        <f>IF(Table1[[#This Row],[CLOSE_PRICE]]&gt;Table1[[#This Row],[OPEN_PRICE]],"Gain","Loss")</f>
        <v>Loss</v>
      </c>
      <c r="O345" t="str">
        <f>IF(Table1[[#This Row],[MARKET_CAP]]&gt;200000000000,"Large Cap",
IF(Table1[[#This Row],[MARKET_CAP]]&gt;50000000000,"Mid Cap","Small Cap"))</f>
        <v>Small Cap</v>
      </c>
      <c r="P345" t="str">
        <f>IF(Table1[[#This Row],[NET_TRDQTY]]&gt;1000000,"High Volume","Low Volume")</f>
        <v>Low Volume</v>
      </c>
    </row>
    <row r="346" spans="1:16" x14ac:dyDescent="0.3">
      <c r="A346" t="s">
        <v>699</v>
      </c>
      <c r="B346" t="s">
        <v>700</v>
      </c>
      <c r="C346">
        <v>496</v>
      </c>
      <c r="D346">
        <v>499.95</v>
      </c>
      <c r="E346">
        <v>466.75</v>
      </c>
      <c r="F346">
        <v>478.65</v>
      </c>
      <c r="G346">
        <v>504.35</v>
      </c>
      <c r="H346">
        <v>308960</v>
      </c>
      <c r="I346">
        <v>14039</v>
      </c>
      <c r="J346">
        <v>81443828701</v>
      </c>
      <c r="K346">
        <v>170153199</v>
      </c>
      <c r="L346">
        <f>(Table1[[#This Row],[CLOSE_PRICE]] - Table1[[#This Row],[PREV_CL_PR]]) / Table1[[#This Row],[PREV_CL_PR]] * 100</f>
        <v>-5.0956676910875469</v>
      </c>
      <c r="M346">
        <f>Table1[[#This Row],[HIGH_PRICE]]-Table1[[#This Row],[LOW_PRICE]]</f>
        <v>33.199999999999989</v>
      </c>
      <c r="N346" t="str">
        <f>IF(Table1[[#This Row],[CLOSE_PRICE]]&gt;Table1[[#This Row],[OPEN_PRICE]],"Gain","Loss")</f>
        <v>Loss</v>
      </c>
      <c r="O346" t="str">
        <f>IF(Table1[[#This Row],[MARKET_CAP]]&gt;200000000000,"Large Cap",
IF(Table1[[#This Row],[MARKET_CAP]]&gt;50000000000,"Mid Cap","Small Cap"))</f>
        <v>Mid Cap</v>
      </c>
      <c r="P346" t="str">
        <f>IF(Table1[[#This Row],[NET_TRDQTY]]&gt;1000000,"High Volume","Low Volume")</f>
        <v>Low Volume</v>
      </c>
    </row>
    <row r="347" spans="1:16" x14ac:dyDescent="0.3">
      <c r="A347" t="s">
        <v>701</v>
      </c>
      <c r="B347" t="s">
        <v>702</v>
      </c>
      <c r="C347">
        <v>1479.3</v>
      </c>
      <c r="D347">
        <v>1491.2</v>
      </c>
      <c r="E347">
        <v>1380</v>
      </c>
      <c r="F347">
        <v>1396.5</v>
      </c>
      <c r="G347">
        <v>1504.6</v>
      </c>
      <c r="H347">
        <v>89467</v>
      </c>
      <c r="I347">
        <v>11374</v>
      </c>
      <c r="J347">
        <v>97436458350</v>
      </c>
      <c r="K347">
        <v>69771900</v>
      </c>
      <c r="L347">
        <f>(Table1[[#This Row],[CLOSE_PRICE]] - Table1[[#This Row],[PREV_CL_PR]]) / Table1[[#This Row],[PREV_CL_PR]] * 100</f>
        <v>-7.1846337897115458</v>
      </c>
      <c r="M347">
        <f>Table1[[#This Row],[HIGH_PRICE]]-Table1[[#This Row],[LOW_PRICE]]</f>
        <v>111.20000000000005</v>
      </c>
      <c r="N347" t="str">
        <f>IF(Table1[[#This Row],[CLOSE_PRICE]]&gt;Table1[[#This Row],[OPEN_PRICE]],"Gain","Loss")</f>
        <v>Loss</v>
      </c>
      <c r="O347" t="str">
        <f>IF(Table1[[#This Row],[MARKET_CAP]]&gt;200000000000,"Large Cap",
IF(Table1[[#This Row],[MARKET_CAP]]&gt;50000000000,"Mid Cap","Small Cap"))</f>
        <v>Mid Cap</v>
      </c>
      <c r="P347" t="str">
        <f>IF(Table1[[#This Row],[NET_TRDQTY]]&gt;1000000,"High Volume","Low Volume")</f>
        <v>Low Volume</v>
      </c>
    </row>
    <row r="348" spans="1:16" x14ac:dyDescent="0.3">
      <c r="A348" t="s">
        <v>703</v>
      </c>
      <c r="B348" t="s">
        <v>704</v>
      </c>
      <c r="C348">
        <v>170.86</v>
      </c>
      <c r="D348">
        <v>171</v>
      </c>
      <c r="E348">
        <v>165</v>
      </c>
      <c r="F348">
        <v>165.98</v>
      </c>
      <c r="G348">
        <v>170</v>
      </c>
      <c r="H348">
        <v>17367</v>
      </c>
      <c r="I348">
        <v>112</v>
      </c>
      <c r="J348">
        <v>3404455615</v>
      </c>
      <c r="K348">
        <v>20511240</v>
      </c>
      <c r="L348">
        <f>(Table1[[#This Row],[CLOSE_PRICE]] - Table1[[#This Row],[PREV_CL_PR]]) / Table1[[#This Row],[PREV_CL_PR]] * 100</f>
        <v>-2.3647058823529474</v>
      </c>
      <c r="M348">
        <f>Table1[[#This Row],[HIGH_PRICE]]-Table1[[#This Row],[LOW_PRICE]]</f>
        <v>6</v>
      </c>
      <c r="N348" t="str">
        <f>IF(Table1[[#This Row],[CLOSE_PRICE]]&gt;Table1[[#This Row],[OPEN_PRICE]],"Gain","Loss")</f>
        <v>Loss</v>
      </c>
      <c r="O348" t="str">
        <f>IF(Table1[[#This Row],[MARKET_CAP]]&gt;200000000000,"Large Cap",
IF(Table1[[#This Row],[MARKET_CAP]]&gt;50000000000,"Mid Cap","Small Cap"))</f>
        <v>Small Cap</v>
      </c>
      <c r="P348" t="str">
        <f>IF(Table1[[#This Row],[NET_TRDQTY]]&gt;1000000,"High Volume","Low Volume")</f>
        <v>Low Volume</v>
      </c>
    </row>
    <row r="349" spans="1:16" x14ac:dyDescent="0.3">
      <c r="A349" t="s">
        <v>705</v>
      </c>
      <c r="B349" t="s">
        <v>706</v>
      </c>
      <c r="C349">
        <v>26.7</v>
      </c>
      <c r="D349">
        <v>26.98</v>
      </c>
      <c r="E349">
        <v>25.53</v>
      </c>
      <c r="F349">
        <v>25.68</v>
      </c>
      <c r="G349">
        <v>27.1</v>
      </c>
      <c r="H349">
        <v>807861</v>
      </c>
      <c r="I349">
        <v>3419</v>
      </c>
      <c r="J349">
        <v>7579794571</v>
      </c>
      <c r="K349">
        <v>295163340</v>
      </c>
      <c r="L349">
        <f>(Table1[[#This Row],[CLOSE_PRICE]] - Table1[[#This Row],[PREV_CL_PR]]) / Table1[[#This Row],[PREV_CL_PR]] * 100</f>
        <v>-5.2398523985239915</v>
      </c>
      <c r="M349">
        <f>Table1[[#This Row],[HIGH_PRICE]]-Table1[[#This Row],[LOW_PRICE]]</f>
        <v>1.4499999999999993</v>
      </c>
      <c r="N349" t="str">
        <f>IF(Table1[[#This Row],[CLOSE_PRICE]]&gt;Table1[[#This Row],[OPEN_PRICE]],"Gain","Loss")</f>
        <v>Loss</v>
      </c>
      <c r="O349" t="str">
        <f>IF(Table1[[#This Row],[MARKET_CAP]]&gt;200000000000,"Large Cap",
IF(Table1[[#This Row],[MARKET_CAP]]&gt;50000000000,"Mid Cap","Small Cap"))</f>
        <v>Small Cap</v>
      </c>
      <c r="P349" t="str">
        <f>IF(Table1[[#This Row],[NET_TRDQTY]]&gt;1000000,"High Volume","Low Volume")</f>
        <v>Low Volume</v>
      </c>
    </row>
    <row r="350" spans="1:16" x14ac:dyDescent="0.3">
      <c r="A350" t="s">
        <v>707</v>
      </c>
      <c r="B350" t="s">
        <v>708</v>
      </c>
      <c r="C350">
        <v>228.3</v>
      </c>
      <c r="D350">
        <v>232.45</v>
      </c>
      <c r="E350">
        <v>212</v>
      </c>
      <c r="F350">
        <v>216.4</v>
      </c>
      <c r="G350">
        <v>228.3</v>
      </c>
      <c r="H350">
        <v>191143</v>
      </c>
      <c r="I350">
        <v>784</v>
      </c>
      <c r="J350">
        <v>2701078183</v>
      </c>
      <c r="K350">
        <v>12481877</v>
      </c>
      <c r="L350">
        <f>(Table1[[#This Row],[CLOSE_PRICE]] - Table1[[#This Row],[PREV_CL_PR]]) / Table1[[#This Row],[PREV_CL_PR]] * 100</f>
        <v>-5.2124397722295246</v>
      </c>
      <c r="M350">
        <f>Table1[[#This Row],[HIGH_PRICE]]-Table1[[#This Row],[LOW_PRICE]]</f>
        <v>20.449999999999989</v>
      </c>
      <c r="N350" t="str">
        <f>IF(Table1[[#This Row],[CLOSE_PRICE]]&gt;Table1[[#This Row],[OPEN_PRICE]],"Gain","Loss")</f>
        <v>Loss</v>
      </c>
      <c r="O350" t="str">
        <f>IF(Table1[[#This Row],[MARKET_CAP]]&gt;200000000000,"Large Cap",
IF(Table1[[#This Row],[MARKET_CAP]]&gt;50000000000,"Mid Cap","Small Cap"))</f>
        <v>Small Cap</v>
      </c>
      <c r="P350" t="str">
        <f>IF(Table1[[#This Row],[NET_TRDQTY]]&gt;1000000,"High Volume","Low Volume")</f>
        <v>Low Volume</v>
      </c>
    </row>
    <row r="351" spans="1:16" x14ac:dyDescent="0.3">
      <c r="A351" t="s">
        <v>709</v>
      </c>
      <c r="B351" t="s">
        <v>710</v>
      </c>
      <c r="C351">
        <v>1231.5999999999999</v>
      </c>
      <c r="D351">
        <v>1231.5999999999999</v>
      </c>
      <c r="E351">
        <v>1151</v>
      </c>
      <c r="F351">
        <v>1158.5</v>
      </c>
      <c r="G351">
        <v>1249.9000000000001</v>
      </c>
      <c r="H351">
        <v>1773436</v>
      </c>
      <c r="I351">
        <v>63995</v>
      </c>
      <c r="J351">
        <v>425000000000</v>
      </c>
      <c r="K351">
        <v>366562500</v>
      </c>
      <c r="L351">
        <f>(Table1[[#This Row],[CLOSE_PRICE]] - Table1[[#This Row],[PREV_CL_PR]]) / Table1[[#This Row],[PREV_CL_PR]] * 100</f>
        <v>-7.3125850068005507</v>
      </c>
      <c r="M351">
        <f>Table1[[#This Row],[HIGH_PRICE]]-Table1[[#This Row],[LOW_PRICE]]</f>
        <v>80.599999999999909</v>
      </c>
      <c r="N351" t="str">
        <f>IF(Table1[[#This Row],[CLOSE_PRICE]]&gt;Table1[[#This Row],[OPEN_PRICE]],"Gain","Loss")</f>
        <v>Loss</v>
      </c>
      <c r="O351" t="str">
        <f>IF(Table1[[#This Row],[MARKET_CAP]]&gt;200000000000,"Large Cap",
IF(Table1[[#This Row],[MARKET_CAP]]&gt;50000000000,"Mid Cap","Small Cap"))</f>
        <v>Large Cap</v>
      </c>
      <c r="P351" t="str">
        <f>IF(Table1[[#This Row],[NET_TRDQTY]]&gt;1000000,"High Volume","Low Volume")</f>
        <v>High Volume</v>
      </c>
    </row>
    <row r="352" spans="1:16" x14ac:dyDescent="0.3">
      <c r="A352" t="s">
        <v>711</v>
      </c>
      <c r="B352" t="s">
        <v>712</v>
      </c>
      <c r="C352">
        <v>22.6</v>
      </c>
      <c r="D352">
        <v>26</v>
      </c>
      <c r="E352">
        <v>22.6</v>
      </c>
      <c r="F352">
        <v>23.52</v>
      </c>
      <c r="G352">
        <v>23.53</v>
      </c>
      <c r="H352">
        <v>29592</v>
      </c>
      <c r="I352">
        <v>379</v>
      </c>
      <c r="J352">
        <v>927558240</v>
      </c>
      <c r="K352">
        <v>39437000</v>
      </c>
      <c r="L352">
        <f>(Table1[[#This Row],[CLOSE_PRICE]] - Table1[[#This Row],[PREV_CL_PR]]) / Table1[[#This Row],[PREV_CL_PR]] * 100</f>
        <v>-4.2498937526568477E-2</v>
      </c>
      <c r="M352">
        <f>Table1[[#This Row],[HIGH_PRICE]]-Table1[[#This Row],[LOW_PRICE]]</f>
        <v>3.3999999999999986</v>
      </c>
      <c r="N352" t="str">
        <f>IF(Table1[[#This Row],[CLOSE_PRICE]]&gt;Table1[[#This Row],[OPEN_PRICE]],"Gain","Loss")</f>
        <v>Gain</v>
      </c>
      <c r="O352" t="str">
        <f>IF(Table1[[#This Row],[MARKET_CAP]]&gt;200000000000,"Large Cap",
IF(Table1[[#This Row],[MARKET_CAP]]&gt;50000000000,"Mid Cap","Small Cap"))</f>
        <v>Small Cap</v>
      </c>
      <c r="P352" t="str">
        <f>IF(Table1[[#This Row],[NET_TRDQTY]]&gt;1000000,"High Volume","Low Volume")</f>
        <v>Low Volume</v>
      </c>
    </row>
    <row r="353" spans="1:16" x14ac:dyDescent="0.3">
      <c r="A353" t="s">
        <v>713</v>
      </c>
      <c r="B353" t="s">
        <v>714</v>
      </c>
      <c r="C353">
        <v>182.84</v>
      </c>
      <c r="D353">
        <v>182.84</v>
      </c>
      <c r="E353">
        <v>175</v>
      </c>
      <c r="F353">
        <v>176.02</v>
      </c>
      <c r="G353">
        <v>182.84</v>
      </c>
      <c r="H353">
        <v>382810</v>
      </c>
      <c r="I353">
        <v>14876</v>
      </c>
      <c r="J353">
        <v>54036484532</v>
      </c>
      <c r="K353">
        <v>306990595</v>
      </c>
      <c r="L353">
        <f>(Table1[[#This Row],[CLOSE_PRICE]] - Table1[[#This Row],[PREV_CL_PR]]) / Table1[[#This Row],[PREV_CL_PR]] * 100</f>
        <v>-3.7300371909866517</v>
      </c>
      <c r="M353">
        <f>Table1[[#This Row],[HIGH_PRICE]]-Table1[[#This Row],[LOW_PRICE]]</f>
        <v>7.8400000000000034</v>
      </c>
      <c r="N353" t="str">
        <f>IF(Table1[[#This Row],[CLOSE_PRICE]]&gt;Table1[[#This Row],[OPEN_PRICE]],"Gain","Loss")</f>
        <v>Loss</v>
      </c>
      <c r="O353" t="str">
        <f>IF(Table1[[#This Row],[MARKET_CAP]]&gt;200000000000,"Large Cap",
IF(Table1[[#This Row],[MARKET_CAP]]&gt;50000000000,"Mid Cap","Small Cap"))</f>
        <v>Mid Cap</v>
      </c>
      <c r="P353" t="str">
        <f>IF(Table1[[#This Row],[NET_TRDQTY]]&gt;1000000,"High Volume","Low Volume")</f>
        <v>Low Volume</v>
      </c>
    </row>
    <row r="354" spans="1:16" x14ac:dyDescent="0.3">
      <c r="A354" t="s">
        <v>715</v>
      </c>
      <c r="B354" t="s">
        <v>716</v>
      </c>
      <c r="C354">
        <v>256.05</v>
      </c>
      <c r="D354">
        <v>266.8</v>
      </c>
      <c r="E354">
        <v>251.45</v>
      </c>
      <c r="F354">
        <v>257.7</v>
      </c>
      <c r="G354">
        <v>259.39999999999998</v>
      </c>
      <c r="H354">
        <v>25524</v>
      </c>
      <c r="I354">
        <v>1637</v>
      </c>
      <c r="J354">
        <v>3449958750</v>
      </c>
      <c r="K354">
        <v>13387500</v>
      </c>
      <c r="L354">
        <f>(Table1[[#This Row],[CLOSE_PRICE]] - Table1[[#This Row],[PREV_CL_PR]]) / Table1[[#This Row],[PREV_CL_PR]] * 100</f>
        <v>-0.65535851966075132</v>
      </c>
      <c r="M354">
        <f>Table1[[#This Row],[HIGH_PRICE]]-Table1[[#This Row],[LOW_PRICE]]</f>
        <v>15.350000000000023</v>
      </c>
      <c r="N354" t="str">
        <f>IF(Table1[[#This Row],[CLOSE_PRICE]]&gt;Table1[[#This Row],[OPEN_PRICE]],"Gain","Loss")</f>
        <v>Gain</v>
      </c>
      <c r="O354" t="str">
        <f>IF(Table1[[#This Row],[MARKET_CAP]]&gt;200000000000,"Large Cap",
IF(Table1[[#This Row],[MARKET_CAP]]&gt;50000000000,"Mid Cap","Small Cap"))</f>
        <v>Small Cap</v>
      </c>
      <c r="P354" t="str">
        <f>IF(Table1[[#This Row],[NET_TRDQTY]]&gt;1000000,"High Volume","Low Volume")</f>
        <v>Low Volume</v>
      </c>
    </row>
    <row r="355" spans="1:16" x14ac:dyDescent="0.3">
      <c r="A355" t="s">
        <v>717</v>
      </c>
      <c r="B355" t="s">
        <v>718</v>
      </c>
      <c r="C355">
        <v>186</v>
      </c>
      <c r="D355">
        <v>187</v>
      </c>
      <c r="E355">
        <v>181.05</v>
      </c>
      <c r="F355">
        <v>183.17</v>
      </c>
      <c r="G355">
        <v>189</v>
      </c>
      <c r="H355">
        <v>5064805</v>
      </c>
      <c r="I355">
        <v>35670</v>
      </c>
      <c r="J355">
        <v>163000000000</v>
      </c>
      <c r="K355">
        <v>889879192</v>
      </c>
      <c r="L355">
        <f>(Table1[[#This Row],[CLOSE_PRICE]] - Table1[[#This Row],[PREV_CL_PR]]) / Table1[[#This Row],[PREV_CL_PR]] * 100</f>
        <v>-3.0846560846560913</v>
      </c>
      <c r="M355">
        <f>Table1[[#This Row],[HIGH_PRICE]]-Table1[[#This Row],[LOW_PRICE]]</f>
        <v>5.9499999999999886</v>
      </c>
      <c r="N355" t="str">
        <f>IF(Table1[[#This Row],[CLOSE_PRICE]]&gt;Table1[[#This Row],[OPEN_PRICE]],"Gain","Loss")</f>
        <v>Loss</v>
      </c>
      <c r="O355" t="str">
        <f>IF(Table1[[#This Row],[MARKET_CAP]]&gt;200000000000,"Large Cap",
IF(Table1[[#This Row],[MARKET_CAP]]&gt;50000000000,"Mid Cap","Small Cap"))</f>
        <v>Mid Cap</v>
      </c>
      <c r="P355" t="str">
        <f>IF(Table1[[#This Row],[NET_TRDQTY]]&gt;1000000,"High Volume","Low Volume")</f>
        <v>High Volume</v>
      </c>
    </row>
    <row r="356" spans="1:16" x14ac:dyDescent="0.3">
      <c r="A356" t="s">
        <v>719</v>
      </c>
      <c r="B356" t="s">
        <v>720</v>
      </c>
      <c r="C356">
        <v>1499.9</v>
      </c>
      <c r="D356">
        <v>1499.9</v>
      </c>
      <c r="E356">
        <v>1385</v>
      </c>
      <c r="F356">
        <v>1399.1</v>
      </c>
      <c r="G356">
        <v>1514.6</v>
      </c>
      <c r="H356">
        <v>336647</v>
      </c>
      <c r="I356">
        <v>29540</v>
      </c>
      <c r="J356">
        <v>117000000000</v>
      </c>
      <c r="K356">
        <v>83289000</v>
      </c>
      <c r="L356">
        <f>(Table1[[#This Row],[CLOSE_PRICE]] - Table1[[#This Row],[PREV_CL_PR]]) / Table1[[#This Row],[PREV_CL_PR]] * 100</f>
        <v>-7.6257757823847889</v>
      </c>
      <c r="M356">
        <f>Table1[[#This Row],[HIGH_PRICE]]-Table1[[#This Row],[LOW_PRICE]]</f>
        <v>114.90000000000009</v>
      </c>
      <c r="N356" t="str">
        <f>IF(Table1[[#This Row],[CLOSE_PRICE]]&gt;Table1[[#This Row],[OPEN_PRICE]],"Gain","Loss")</f>
        <v>Loss</v>
      </c>
      <c r="O356" t="str">
        <f>IF(Table1[[#This Row],[MARKET_CAP]]&gt;200000000000,"Large Cap",
IF(Table1[[#This Row],[MARKET_CAP]]&gt;50000000000,"Mid Cap","Small Cap"))</f>
        <v>Mid Cap</v>
      </c>
      <c r="P356" t="str">
        <f>IF(Table1[[#This Row],[NET_TRDQTY]]&gt;1000000,"High Volume","Low Volume")</f>
        <v>Low Volume</v>
      </c>
    </row>
    <row r="357" spans="1:16" x14ac:dyDescent="0.3">
      <c r="A357" t="s">
        <v>721</v>
      </c>
      <c r="B357" t="s">
        <v>722</v>
      </c>
      <c r="C357">
        <v>85.2</v>
      </c>
      <c r="D357">
        <v>85.24</v>
      </c>
      <c r="E357">
        <v>81.900000000000006</v>
      </c>
      <c r="F357">
        <v>82.44</v>
      </c>
      <c r="G357">
        <v>86.53</v>
      </c>
      <c r="H357">
        <v>564121</v>
      </c>
      <c r="I357">
        <v>4617</v>
      </c>
      <c r="J357">
        <v>20515891442</v>
      </c>
      <c r="K357">
        <v>248858460</v>
      </c>
      <c r="L357">
        <f>(Table1[[#This Row],[CLOSE_PRICE]] - Table1[[#This Row],[PREV_CL_PR]]) / Table1[[#This Row],[PREV_CL_PR]] * 100</f>
        <v>-4.7266843869178361</v>
      </c>
      <c r="M357">
        <f>Table1[[#This Row],[HIGH_PRICE]]-Table1[[#This Row],[LOW_PRICE]]</f>
        <v>3.3399999999999892</v>
      </c>
      <c r="N357" t="str">
        <f>IF(Table1[[#This Row],[CLOSE_PRICE]]&gt;Table1[[#This Row],[OPEN_PRICE]],"Gain","Loss")</f>
        <v>Loss</v>
      </c>
      <c r="O357" t="str">
        <f>IF(Table1[[#This Row],[MARKET_CAP]]&gt;200000000000,"Large Cap",
IF(Table1[[#This Row],[MARKET_CAP]]&gt;50000000000,"Mid Cap","Small Cap"))</f>
        <v>Small Cap</v>
      </c>
      <c r="P357" t="str">
        <f>IF(Table1[[#This Row],[NET_TRDQTY]]&gt;1000000,"High Volume","Low Volume")</f>
        <v>Low Volume</v>
      </c>
    </row>
    <row r="358" spans="1:16" x14ac:dyDescent="0.3">
      <c r="A358" t="s">
        <v>723</v>
      </c>
      <c r="B358" t="s">
        <v>724</v>
      </c>
      <c r="C358">
        <v>410.9</v>
      </c>
      <c r="D358">
        <v>414.75</v>
      </c>
      <c r="E358">
        <v>403.65</v>
      </c>
      <c r="F358">
        <v>405.45</v>
      </c>
      <c r="G358">
        <v>416.7</v>
      </c>
      <c r="H358">
        <v>356953</v>
      </c>
      <c r="I358">
        <v>24029</v>
      </c>
      <c r="J358">
        <v>473000000000</v>
      </c>
      <c r="K358">
        <v>1165927190</v>
      </c>
      <c r="L358">
        <f>(Table1[[#This Row],[CLOSE_PRICE]] - Table1[[#This Row],[PREV_CL_PR]]) / Table1[[#This Row],[PREV_CL_PR]] * 100</f>
        <v>-2.6997840172786178</v>
      </c>
      <c r="M358">
        <f>Table1[[#This Row],[HIGH_PRICE]]-Table1[[#This Row],[LOW_PRICE]]</f>
        <v>11.100000000000023</v>
      </c>
      <c r="N358" t="str">
        <f>IF(Table1[[#This Row],[CLOSE_PRICE]]&gt;Table1[[#This Row],[OPEN_PRICE]],"Gain","Loss")</f>
        <v>Loss</v>
      </c>
      <c r="O358" t="str">
        <f>IF(Table1[[#This Row],[MARKET_CAP]]&gt;200000000000,"Large Cap",
IF(Table1[[#This Row],[MARKET_CAP]]&gt;50000000000,"Mid Cap","Small Cap"))</f>
        <v>Large Cap</v>
      </c>
      <c r="P358" t="str">
        <f>IF(Table1[[#This Row],[NET_TRDQTY]]&gt;1000000,"High Volume","Low Volume")</f>
        <v>Low Volume</v>
      </c>
    </row>
    <row r="359" spans="1:16" x14ac:dyDescent="0.3">
      <c r="A359" t="s">
        <v>725</v>
      </c>
      <c r="B359" t="s">
        <v>726</v>
      </c>
      <c r="C359">
        <v>1090</v>
      </c>
      <c r="D359">
        <v>1098</v>
      </c>
      <c r="E359">
        <v>1051.5</v>
      </c>
      <c r="F359">
        <v>1067.8</v>
      </c>
      <c r="G359">
        <v>1106.0999999999999</v>
      </c>
      <c r="H359">
        <v>9585</v>
      </c>
      <c r="I359">
        <v>1112</v>
      </c>
      <c r="J359">
        <v>10778963693</v>
      </c>
      <c r="K359">
        <v>10094553</v>
      </c>
      <c r="L359">
        <f>(Table1[[#This Row],[CLOSE_PRICE]] - Table1[[#This Row],[PREV_CL_PR]]) / Table1[[#This Row],[PREV_CL_PR]] * 100</f>
        <v>-3.4626163999638333</v>
      </c>
      <c r="M359">
        <f>Table1[[#This Row],[HIGH_PRICE]]-Table1[[#This Row],[LOW_PRICE]]</f>
        <v>46.5</v>
      </c>
      <c r="N359" t="str">
        <f>IF(Table1[[#This Row],[CLOSE_PRICE]]&gt;Table1[[#This Row],[OPEN_PRICE]],"Gain","Loss")</f>
        <v>Loss</v>
      </c>
      <c r="O359" t="str">
        <f>IF(Table1[[#This Row],[MARKET_CAP]]&gt;200000000000,"Large Cap",
IF(Table1[[#This Row],[MARKET_CAP]]&gt;50000000000,"Mid Cap","Small Cap"))</f>
        <v>Small Cap</v>
      </c>
      <c r="P359" t="str">
        <f>IF(Table1[[#This Row],[NET_TRDQTY]]&gt;1000000,"High Volume","Low Volume")</f>
        <v>Low Volume</v>
      </c>
    </row>
    <row r="360" spans="1:16" x14ac:dyDescent="0.3">
      <c r="A360" t="s">
        <v>727</v>
      </c>
      <c r="B360" t="s">
        <v>728</v>
      </c>
      <c r="C360">
        <v>362.9</v>
      </c>
      <c r="D360">
        <v>367.2</v>
      </c>
      <c r="E360">
        <v>343.95</v>
      </c>
      <c r="F360">
        <v>347.15</v>
      </c>
      <c r="G360">
        <v>370.9</v>
      </c>
      <c r="H360">
        <v>33732</v>
      </c>
      <c r="I360">
        <v>1537</v>
      </c>
      <c r="J360">
        <v>13076317060</v>
      </c>
      <c r="K360">
        <v>37667628</v>
      </c>
      <c r="L360">
        <f>(Table1[[#This Row],[CLOSE_PRICE]] - Table1[[#This Row],[PREV_CL_PR]]) / Table1[[#This Row],[PREV_CL_PR]] * 100</f>
        <v>-6.4033432191965485</v>
      </c>
      <c r="M360">
        <f>Table1[[#This Row],[HIGH_PRICE]]-Table1[[#This Row],[LOW_PRICE]]</f>
        <v>23.25</v>
      </c>
      <c r="N360" t="str">
        <f>IF(Table1[[#This Row],[CLOSE_PRICE]]&gt;Table1[[#This Row],[OPEN_PRICE]],"Gain","Loss")</f>
        <v>Loss</v>
      </c>
      <c r="O360" t="str">
        <f>IF(Table1[[#This Row],[MARKET_CAP]]&gt;200000000000,"Large Cap",
IF(Table1[[#This Row],[MARKET_CAP]]&gt;50000000000,"Mid Cap","Small Cap"))</f>
        <v>Small Cap</v>
      </c>
      <c r="P360" t="str">
        <f>IF(Table1[[#This Row],[NET_TRDQTY]]&gt;1000000,"High Volume","Low Volume")</f>
        <v>Low Volume</v>
      </c>
    </row>
    <row r="361" spans="1:16" x14ac:dyDescent="0.3">
      <c r="A361" t="s">
        <v>729</v>
      </c>
      <c r="B361" t="s">
        <v>730</v>
      </c>
      <c r="C361">
        <v>182</v>
      </c>
      <c r="D361">
        <v>199</v>
      </c>
      <c r="E361">
        <v>173.45</v>
      </c>
      <c r="F361">
        <v>182.79</v>
      </c>
      <c r="G361">
        <v>180.43</v>
      </c>
      <c r="H361">
        <v>1155784</v>
      </c>
      <c r="I361">
        <v>18723</v>
      </c>
      <c r="J361">
        <v>23702211133</v>
      </c>
      <c r="K361">
        <v>129669080</v>
      </c>
      <c r="L361">
        <f>(Table1[[#This Row],[CLOSE_PRICE]] - Table1[[#This Row],[PREV_CL_PR]]) / Table1[[#This Row],[PREV_CL_PR]] * 100</f>
        <v>1.3079864767499778</v>
      </c>
      <c r="M361">
        <f>Table1[[#This Row],[HIGH_PRICE]]-Table1[[#This Row],[LOW_PRICE]]</f>
        <v>25.550000000000011</v>
      </c>
      <c r="N361" t="str">
        <f>IF(Table1[[#This Row],[CLOSE_PRICE]]&gt;Table1[[#This Row],[OPEN_PRICE]],"Gain","Loss")</f>
        <v>Gain</v>
      </c>
      <c r="O361" t="str">
        <f>IF(Table1[[#This Row],[MARKET_CAP]]&gt;200000000000,"Large Cap",
IF(Table1[[#This Row],[MARKET_CAP]]&gt;50000000000,"Mid Cap","Small Cap"))</f>
        <v>Small Cap</v>
      </c>
      <c r="P361" t="str">
        <f>IF(Table1[[#This Row],[NET_TRDQTY]]&gt;1000000,"High Volume","Low Volume")</f>
        <v>High Volume</v>
      </c>
    </row>
    <row r="362" spans="1:16" x14ac:dyDescent="0.3">
      <c r="A362" t="s">
        <v>731</v>
      </c>
      <c r="B362" t="s">
        <v>732</v>
      </c>
      <c r="C362">
        <v>143</v>
      </c>
      <c r="D362">
        <v>143</v>
      </c>
      <c r="E362">
        <v>135</v>
      </c>
      <c r="F362">
        <v>135.35</v>
      </c>
      <c r="G362">
        <v>141.43</v>
      </c>
      <c r="H362">
        <v>58565</v>
      </c>
      <c r="I362">
        <v>1206</v>
      </c>
      <c r="J362">
        <v>5907239763</v>
      </c>
      <c r="K362">
        <v>43644180</v>
      </c>
      <c r="L362">
        <f>(Table1[[#This Row],[CLOSE_PRICE]] - Table1[[#This Row],[PREV_CL_PR]]) / Table1[[#This Row],[PREV_CL_PR]] * 100</f>
        <v>-4.2989464752881377</v>
      </c>
      <c r="M362">
        <f>Table1[[#This Row],[HIGH_PRICE]]-Table1[[#This Row],[LOW_PRICE]]</f>
        <v>8</v>
      </c>
      <c r="N362" t="str">
        <f>IF(Table1[[#This Row],[CLOSE_PRICE]]&gt;Table1[[#This Row],[OPEN_PRICE]],"Gain","Loss")</f>
        <v>Loss</v>
      </c>
      <c r="O362" t="str">
        <f>IF(Table1[[#This Row],[MARKET_CAP]]&gt;200000000000,"Large Cap",
IF(Table1[[#This Row],[MARKET_CAP]]&gt;50000000000,"Mid Cap","Small Cap"))</f>
        <v>Small Cap</v>
      </c>
      <c r="P362" t="str">
        <f>IF(Table1[[#This Row],[NET_TRDQTY]]&gt;1000000,"High Volume","Low Volume")</f>
        <v>Low Volume</v>
      </c>
    </row>
    <row r="363" spans="1:16" x14ac:dyDescent="0.3">
      <c r="A363" t="s">
        <v>733</v>
      </c>
      <c r="B363" t="s">
        <v>734</v>
      </c>
      <c r="C363">
        <v>145</v>
      </c>
      <c r="D363">
        <v>145</v>
      </c>
      <c r="E363">
        <v>135</v>
      </c>
      <c r="F363">
        <v>136.09</v>
      </c>
      <c r="G363">
        <v>145.83000000000001</v>
      </c>
      <c r="H363">
        <v>114711</v>
      </c>
      <c r="I363">
        <v>2288</v>
      </c>
      <c r="J363">
        <v>4354199550</v>
      </c>
      <c r="K363">
        <v>31995000</v>
      </c>
      <c r="L363">
        <f>(Table1[[#This Row],[CLOSE_PRICE]] - Table1[[#This Row],[PREV_CL_PR]]) / Table1[[#This Row],[PREV_CL_PR]] * 100</f>
        <v>-6.6790098059384269</v>
      </c>
      <c r="M363">
        <f>Table1[[#This Row],[HIGH_PRICE]]-Table1[[#This Row],[LOW_PRICE]]</f>
        <v>10</v>
      </c>
      <c r="N363" t="str">
        <f>IF(Table1[[#This Row],[CLOSE_PRICE]]&gt;Table1[[#This Row],[OPEN_PRICE]],"Gain","Loss")</f>
        <v>Loss</v>
      </c>
      <c r="O363" t="str">
        <f>IF(Table1[[#This Row],[MARKET_CAP]]&gt;200000000000,"Large Cap",
IF(Table1[[#This Row],[MARKET_CAP]]&gt;50000000000,"Mid Cap","Small Cap"))</f>
        <v>Small Cap</v>
      </c>
      <c r="P363" t="str">
        <f>IF(Table1[[#This Row],[NET_TRDQTY]]&gt;1000000,"High Volume","Low Volume")</f>
        <v>Low Volume</v>
      </c>
    </row>
    <row r="364" spans="1:16" x14ac:dyDescent="0.3">
      <c r="A364" t="s">
        <v>735</v>
      </c>
      <c r="B364" t="s">
        <v>736</v>
      </c>
      <c r="C364">
        <v>2.5499999999999998</v>
      </c>
      <c r="D364">
        <v>2.56</v>
      </c>
      <c r="E364">
        <v>2.36</v>
      </c>
      <c r="F364">
        <v>2.4500000000000002</v>
      </c>
      <c r="G364">
        <v>2.5499999999999998</v>
      </c>
      <c r="H364">
        <v>853529</v>
      </c>
      <c r="I364">
        <v>887</v>
      </c>
      <c r="J364">
        <v>1058618966</v>
      </c>
      <c r="K364">
        <v>432089374</v>
      </c>
      <c r="L364">
        <f>(Table1[[#This Row],[CLOSE_PRICE]] - Table1[[#This Row],[PREV_CL_PR]]) / Table1[[#This Row],[PREV_CL_PR]] * 100</f>
        <v>-3.9215686274509665</v>
      </c>
      <c r="M364">
        <f>Table1[[#This Row],[HIGH_PRICE]]-Table1[[#This Row],[LOW_PRICE]]</f>
        <v>0.20000000000000018</v>
      </c>
      <c r="N364" t="str">
        <f>IF(Table1[[#This Row],[CLOSE_PRICE]]&gt;Table1[[#This Row],[OPEN_PRICE]],"Gain","Loss")</f>
        <v>Loss</v>
      </c>
      <c r="O364" t="str">
        <f>IF(Table1[[#This Row],[MARKET_CAP]]&gt;200000000000,"Large Cap",
IF(Table1[[#This Row],[MARKET_CAP]]&gt;50000000000,"Mid Cap","Small Cap"))</f>
        <v>Small Cap</v>
      </c>
      <c r="P364" t="str">
        <f>IF(Table1[[#This Row],[NET_TRDQTY]]&gt;1000000,"High Volume","Low Volume")</f>
        <v>Low Volume</v>
      </c>
    </row>
    <row r="365" spans="1:16" x14ac:dyDescent="0.3">
      <c r="A365" t="s">
        <v>737</v>
      </c>
      <c r="B365" t="s">
        <v>738</v>
      </c>
      <c r="C365">
        <v>33.9</v>
      </c>
      <c r="D365">
        <v>33.96</v>
      </c>
      <c r="E365">
        <v>31.71</v>
      </c>
      <c r="F365">
        <v>31.9</v>
      </c>
      <c r="G365">
        <v>33.9</v>
      </c>
      <c r="H365">
        <v>11242454</v>
      </c>
      <c r="I365">
        <v>42722</v>
      </c>
      <c r="J365">
        <v>149000000000</v>
      </c>
      <c r="K365">
        <v>4657000000</v>
      </c>
      <c r="L365">
        <f>(Table1[[#This Row],[CLOSE_PRICE]] - Table1[[#This Row],[PREV_CL_PR]]) / Table1[[#This Row],[PREV_CL_PR]] * 100</f>
        <v>-5.8997050147492622</v>
      </c>
      <c r="M365">
        <f>Table1[[#This Row],[HIGH_PRICE]]-Table1[[#This Row],[LOW_PRICE]]</f>
        <v>2.25</v>
      </c>
      <c r="N365" t="str">
        <f>IF(Table1[[#This Row],[CLOSE_PRICE]]&gt;Table1[[#This Row],[OPEN_PRICE]],"Gain","Loss")</f>
        <v>Loss</v>
      </c>
      <c r="O365" t="str">
        <f>IF(Table1[[#This Row],[MARKET_CAP]]&gt;200000000000,"Large Cap",
IF(Table1[[#This Row],[MARKET_CAP]]&gt;50000000000,"Mid Cap","Small Cap"))</f>
        <v>Mid Cap</v>
      </c>
      <c r="P365" t="str">
        <f>IF(Table1[[#This Row],[NET_TRDQTY]]&gt;1000000,"High Volume","Low Volume")</f>
        <v>High Volume</v>
      </c>
    </row>
    <row r="366" spans="1:16" x14ac:dyDescent="0.3">
      <c r="A366" t="s">
        <v>739</v>
      </c>
      <c r="B366" t="s">
        <v>740</v>
      </c>
      <c r="C366">
        <v>1700</v>
      </c>
      <c r="D366">
        <v>1700</v>
      </c>
      <c r="E366">
        <v>1634</v>
      </c>
      <c r="F366">
        <v>1648.6</v>
      </c>
      <c r="G366">
        <v>1711.5</v>
      </c>
      <c r="H366">
        <v>1394239</v>
      </c>
      <c r="I366">
        <v>77702</v>
      </c>
      <c r="J366">
        <v>788000000000</v>
      </c>
      <c r="K366">
        <v>478088632</v>
      </c>
      <c r="L366">
        <f>(Table1[[#This Row],[CLOSE_PRICE]] - Table1[[#This Row],[PREV_CL_PR]]) / Table1[[#This Row],[PREV_CL_PR]] * 100</f>
        <v>-3.675138767163312</v>
      </c>
      <c r="M366">
        <f>Table1[[#This Row],[HIGH_PRICE]]-Table1[[#This Row],[LOW_PRICE]]</f>
        <v>66</v>
      </c>
      <c r="N366" t="str">
        <f>IF(Table1[[#This Row],[CLOSE_PRICE]]&gt;Table1[[#This Row],[OPEN_PRICE]],"Gain","Loss")</f>
        <v>Loss</v>
      </c>
      <c r="O366" t="str">
        <f>IF(Table1[[#This Row],[MARKET_CAP]]&gt;200000000000,"Large Cap",
IF(Table1[[#This Row],[MARKET_CAP]]&gt;50000000000,"Mid Cap","Small Cap"))</f>
        <v>Large Cap</v>
      </c>
      <c r="P366" t="str">
        <f>IF(Table1[[#This Row],[NET_TRDQTY]]&gt;1000000,"High Volume","Low Volume")</f>
        <v>High Volume</v>
      </c>
    </row>
    <row r="367" spans="1:16" x14ac:dyDescent="0.3">
      <c r="A367" t="s">
        <v>741</v>
      </c>
      <c r="B367" t="s">
        <v>742</v>
      </c>
      <c r="C367">
        <v>96</v>
      </c>
      <c r="D367">
        <v>96.14</v>
      </c>
      <c r="E367">
        <v>92.06</v>
      </c>
      <c r="F367">
        <v>92.82</v>
      </c>
      <c r="G367">
        <v>98.1</v>
      </c>
      <c r="H367">
        <v>22385</v>
      </c>
      <c r="I367">
        <v>819</v>
      </c>
      <c r="J367">
        <v>1425256484</v>
      </c>
      <c r="K367">
        <v>15355058</v>
      </c>
      <c r="L367">
        <f>(Table1[[#This Row],[CLOSE_PRICE]] - Table1[[#This Row],[PREV_CL_PR]]) / Table1[[#This Row],[PREV_CL_PR]] * 100</f>
        <v>-5.3822629969418969</v>
      </c>
      <c r="M367">
        <f>Table1[[#This Row],[HIGH_PRICE]]-Table1[[#This Row],[LOW_PRICE]]</f>
        <v>4.0799999999999983</v>
      </c>
      <c r="N367" t="str">
        <f>IF(Table1[[#This Row],[CLOSE_PRICE]]&gt;Table1[[#This Row],[OPEN_PRICE]],"Gain","Loss")</f>
        <v>Loss</v>
      </c>
      <c r="O367" t="str">
        <f>IF(Table1[[#This Row],[MARKET_CAP]]&gt;200000000000,"Large Cap",
IF(Table1[[#This Row],[MARKET_CAP]]&gt;50000000000,"Mid Cap","Small Cap"))</f>
        <v>Small Cap</v>
      </c>
      <c r="P367" t="str">
        <f>IF(Table1[[#This Row],[NET_TRDQTY]]&gt;1000000,"High Volume","Low Volume")</f>
        <v>Low Volume</v>
      </c>
    </row>
    <row r="368" spans="1:16" x14ac:dyDescent="0.3">
      <c r="A368" t="s">
        <v>743</v>
      </c>
      <c r="B368" t="s">
        <v>744</v>
      </c>
      <c r="C368">
        <v>1262</v>
      </c>
      <c r="D368">
        <v>1269.9000000000001</v>
      </c>
      <c r="E368">
        <v>1229.0999999999999</v>
      </c>
      <c r="F368">
        <v>1236.2</v>
      </c>
      <c r="G368">
        <v>1275.8</v>
      </c>
      <c r="H368">
        <v>14309</v>
      </c>
      <c r="I368">
        <v>2039</v>
      </c>
      <c r="J368">
        <v>20546969206</v>
      </c>
      <c r="K368">
        <v>16621072</v>
      </c>
      <c r="L368">
        <f>(Table1[[#This Row],[CLOSE_PRICE]] - Table1[[#This Row],[PREV_CL_PR]]) / Table1[[#This Row],[PREV_CL_PR]] * 100</f>
        <v>-3.1039347860166098</v>
      </c>
      <c r="M368">
        <f>Table1[[#This Row],[HIGH_PRICE]]-Table1[[#This Row],[LOW_PRICE]]</f>
        <v>40.800000000000182</v>
      </c>
      <c r="N368" t="str">
        <f>IF(Table1[[#This Row],[CLOSE_PRICE]]&gt;Table1[[#This Row],[OPEN_PRICE]],"Gain","Loss")</f>
        <v>Loss</v>
      </c>
      <c r="O368" t="str">
        <f>IF(Table1[[#This Row],[MARKET_CAP]]&gt;200000000000,"Large Cap",
IF(Table1[[#This Row],[MARKET_CAP]]&gt;50000000000,"Mid Cap","Small Cap"))</f>
        <v>Small Cap</v>
      </c>
      <c r="P368" t="str">
        <f>IF(Table1[[#This Row],[NET_TRDQTY]]&gt;1000000,"High Volume","Low Volume")</f>
        <v>Low Volume</v>
      </c>
    </row>
    <row r="369" spans="1:16" x14ac:dyDescent="0.3">
      <c r="A369" t="s">
        <v>745</v>
      </c>
      <c r="B369" t="s">
        <v>746</v>
      </c>
      <c r="C369">
        <v>159.49</v>
      </c>
      <c r="D369">
        <v>159.49</v>
      </c>
      <c r="E369">
        <v>146.74</v>
      </c>
      <c r="F369">
        <v>148.32</v>
      </c>
      <c r="G369">
        <v>159.04</v>
      </c>
      <c r="H369">
        <v>170463</v>
      </c>
      <c r="I369">
        <v>4411</v>
      </c>
      <c r="J369">
        <v>9314496000</v>
      </c>
      <c r="K369">
        <v>62800000</v>
      </c>
      <c r="L369">
        <f>(Table1[[#This Row],[CLOSE_PRICE]] - Table1[[#This Row],[PREV_CL_PR]]) / Table1[[#This Row],[PREV_CL_PR]] * 100</f>
        <v>-6.7404426559356132</v>
      </c>
      <c r="M369">
        <f>Table1[[#This Row],[HIGH_PRICE]]-Table1[[#This Row],[LOW_PRICE]]</f>
        <v>12.75</v>
      </c>
      <c r="N369" t="str">
        <f>IF(Table1[[#This Row],[CLOSE_PRICE]]&gt;Table1[[#This Row],[OPEN_PRICE]],"Gain","Loss")</f>
        <v>Loss</v>
      </c>
      <c r="O369" t="str">
        <f>IF(Table1[[#This Row],[MARKET_CAP]]&gt;200000000000,"Large Cap",
IF(Table1[[#This Row],[MARKET_CAP]]&gt;50000000000,"Mid Cap","Small Cap"))</f>
        <v>Small Cap</v>
      </c>
      <c r="P369" t="str">
        <f>IF(Table1[[#This Row],[NET_TRDQTY]]&gt;1000000,"High Volume","Low Volume")</f>
        <v>Low Volume</v>
      </c>
    </row>
    <row r="370" spans="1:16" x14ac:dyDescent="0.3">
      <c r="A370" t="s">
        <v>747</v>
      </c>
      <c r="B370" t="s">
        <v>748</v>
      </c>
      <c r="C370">
        <v>161.38</v>
      </c>
      <c r="D370">
        <v>162</v>
      </c>
      <c r="E370">
        <v>153.1</v>
      </c>
      <c r="F370">
        <v>154.26</v>
      </c>
      <c r="G370">
        <v>164.25</v>
      </c>
      <c r="H370">
        <v>88839</v>
      </c>
      <c r="I370">
        <v>1582</v>
      </c>
      <c r="J370">
        <v>10579867801</v>
      </c>
      <c r="K370">
        <v>68584648</v>
      </c>
      <c r="L370">
        <f>(Table1[[#This Row],[CLOSE_PRICE]] - Table1[[#This Row],[PREV_CL_PR]]) / Table1[[#This Row],[PREV_CL_PR]] * 100</f>
        <v>-6.0821917808219235</v>
      </c>
      <c r="M370">
        <f>Table1[[#This Row],[HIGH_PRICE]]-Table1[[#This Row],[LOW_PRICE]]</f>
        <v>8.9000000000000057</v>
      </c>
      <c r="N370" t="str">
        <f>IF(Table1[[#This Row],[CLOSE_PRICE]]&gt;Table1[[#This Row],[OPEN_PRICE]],"Gain","Loss")</f>
        <v>Loss</v>
      </c>
      <c r="O370" t="str">
        <f>IF(Table1[[#This Row],[MARKET_CAP]]&gt;200000000000,"Large Cap",
IF(Table1[[#This Row],[MARKET_CAP]]&gt;50000000000,"Mid Cap","Small Cap"))</f>
        <v>Small Cap</v>
      </c>
      <c r="P370" t="str">
        <f>IF(Table1[[#This Row],[NET_TRDQTY]]&gt;1000000,"High Volume","Low Volume")</f>
        <v>Low Volume</v>
      </c>
    </row>
    <row r="371" spans="1:16" x14ac:dyDescent="0.3">
      <c r="A371" t="s">
        <v>749</v>
      </c>
      <c r="B371" t="s">
        <v>750</v>
      </c>
      <c r="C371">
        <v>1553</v>
      </c>
      <c r="D371">
        <v>1593</v>
      </c>
      <c r="E371">
        <v>1530.9</v>
      </c>
      <c r="F371">
        <v>1575.7</v>
      </c>
      <c r="G371">
        <v>1584.1</v>
      </c>
      <c r="H371">
        <v>113304</v>
      </c>
      <c r="I371">
        <v>19701</v>
      </c>
      <c r="J371">
        <v>788000000000</v>
      </c>
      <c r="K371">
        <v>500000000</v>
      </c>
      <c r="L371">
        <f>(Table1[[#This Row],[CLOSE_PRICE]] - Table1[[#This Row],[PREV_CL_PR]]) / Table1[[#This Row],[PREV_CL_PR]] * 100</f>
        <v>-0.53026955368978379</v>
      </c>
      <c r="M371">
        <f>Table1[[#This Row],[HIGH_PRICE]]-Table1[[#This Row],[LOW_PRICE]]</f>
        <v>62.099999999999909</v>
      </c>
      <c r="N371" t="str">
        <f>IF(Table1[[#This Row],[CLOSE_PRICE]]&gt;Table1[[#This Row],[OPEN_PRICE]],"Gain","Loss")</f>
        <v>Gain</v>
      </c>
      <c r="O371" t="str">
        <f>IF(Table1[[#This Row],[MARKET_CAP]]&gt;200000000000,"Large Cap",
IF(Table1[[#This Row],[MARKET_CAP]]&gt;50000000000,"Mid Cap","Small Cap"))</f>
        <v>Large Cap</v>
      </c>
      <c r="P371" t="str">
        <f>IF(Table1[[#This Row],[NET_TRDQTY]]&gt;1000000,"High Volume","Low Volume")</f>
        <v>Low Volume</v>
      </c>
    </row>
    <row r="372" spans="1:16" x14ac:dyDescent="0.3">
      <c r="A372" t="s">
        <v>751</v>
      </c>
      <c r="B372" t="s">
        <v>751</v>
      </c>
      <c r="C372">
        <v>260.2</v>
      </c>
      <c r="D372">
        <v>260.25</v>
      </c>
      <c r="E372">
        <v>249.25</v>
      </c>
      <c r="F372">
        <v>252.85</v>
      </c>
      <c r="G372">
        <v>262.05</v>
      </c>
      <c r="H372">
        <v>11692333</v>
      </c>
      <c r="I372">
        <v>124041</v>
      </c>
      <c r="J372">
        <v>880000000000</v>
      </c>
      <c r="K372">
        <v>3482063355</v>
      </c>
      <c r="L372">
        <f>(Table1[[#This Row],[CLOSE_PRICE]] - Table1[[#This Row],[PREV_CL_PR]]) / Table1[[#This Row],[PREV_CL_PR]] * 100</f>
        <v>-3.5107803854226356</v>
      </c>
      <c r="M372">
        <f>Table1[[#This Row],[HIGH_PRICE]]-Table1[[#This Row],[LOW_PRICE]]</f>
        <v>11</v>
      </c>
      <c r="N372" t="str">
        <f>IF(Table1[[#This Row],[CLOSE_PRICE]]&gt;Table1[[#This Row],[OPEN_PRICE]],"Gain","Loss")</f>
        <v>Loss</v>
      </c>
      <c r="O372" t="str">
        <f>IF(Table1[[#This Row],[MARKET_CAP]]&gt;200000000000,"Large Cap",
IF(Table1[[#This Row],[MARKET_CAP]]&gt;50000000000,"Mid Cap","Small Cap"))</f>
        <v>Large Cap</v>
      </c>
      <c r="P372" t="str">
        <f>IF(Table1[[#This Row],[NET_TRDQTY]]&gt;1000000,"High Volume","Low Volume")</f>
        <v>High Volume</v>
      </c>
    </row>
    <row r="373" spans="1:16" x14ac:dyDescent="0.3">
      <c r="A373" t="s">
        <v>752</v>
      </c>
      <c r="B373" t="s">
        <v>753</v>
      </c>
      <c r="C373">
        <v>49.6</v>
      </c>
      <c r="D373">
        <v>49.65</v>
      </c>
      <c r="E373">
        <v>46</v>
      </c>
      <c r="F373">
        <v>46.32</v>
      </c>
      <c r="G373">
        <v>50.12</v>
      </c>
      <c r="H373">
        <v>146053</v>
      </c>
      <c r="I373">
        <v>2171</v>
      </c>
      <c r="J373">
        <v>6557788740</v>
      </c>
      <c r="K373">
        <v>141575750</v>
      </c>
      <c r="L373">
        <f>(Table1[[#This Row],[CLOSE_PRICE]] - Table1[[#This Row],[PREV_CL_PR]]) / Table1[[#This Row],[PREV_CL_PR]] * 100</f>
        <v>-7.5818036711891414</v>
      </c>
      <c r="M373">
        <f>Table1[[#This Row],[HIGH_PRICE]]-Table1[[#This Row],[LOW_PRICE]]</f>
        <v>3.6499999999999986</v>
      </c>
      <c r="N373" t="str">
        <f>IF(Table1[[#This Row],[CLOSE_PRICE]]&gt;Table1[[#This Row],[OPEN_PRICE]],"Gain","Loss")</f>
        <v>Loss</v>
      </c>
      <c r="O373" t="str">
        <f>IF(Table1[[#This Row],[MARKET_CAP]]&gt;200000000000,"Large Cap",
IF(Table1[[#This Row],[MARKET_CAP]]&gt;50000000000,"Mid Cap","Small Cap"))</f>
        <v>Small Cap</v>
      </c>
      <c r="P373" t="str">
        <f>IF(Table1[[#This Row],[NET_TRDQTY]]&gt;1000000,"High Volume","Low Volume")</f>
        <v>Low Volume</v>
      </c>
    </row>
    <row r="374" spans="1:16" x14ac:dyDescent="0.3">
      <c r="A374" t="s">
        <v>754</v>
      </c>
      <c r="B374" t="s">
        <v>755</v>
      </c>
      <c r="C374">
        <v>622.1</v>
      </c>
      <c r="D374">
        <v>622.1</v>
      </c>
      <c r="E374">
        <v>603.25</v>
      </c>
      <c r="F374">
        <v>610.20000000000005</v>
      </c>
      <c r="G374">
        <v>629.70000000000005</v>
      </c>
      <c r="H374">
        <v>275586</v>
      </c>
      <c r="I374">
        <v>20508</v>
      </c>
      <c r="J374">
        <v>153000000000</v>
      </c>
      <c r="K374">
        <v>250592710</v>
      </c>
      <c r="L374">
        <f>(Table1[[#This Row],[CLOSE_PRICE]] - Table1[[#This Row],[PREV_CL_PR]]) / Table1[[#This Row],[PREV_CL_PR]] * 100</f>
        <v>-3.0967127203430205</v>
      </c>
      <c r="M374">
        <f>Table1[[#This Row],[HIGH_PRICE]]-Table1[[#This Row],[LOW_PRICE]]</f>
        <v>18.850000000000023</v>
      </c>
      <c r="N374" t="str">
        <f>IF(Table1[[#This Row],[CLOSE_PRICE]]&gt;Table1[[#This Row],[OPEN_PRICE]],"Gain","Loss")</f>
        <v>Loss</v>
      </c>
      <c r="O374" t="str">
        <f>IF(Table1[[#This Row],[MARKET_CAP]]&gt;200000000000,"Large Cap",
IF(Table1[[#This Row],[MARKET_CAP]]&gt;50000000000,"Mid Cap","Small Cap"))</f>
        <v>Mid Cap</v>
      </c>
      <c r="P374" t="str">
        <f>IF(Table1[[#This Row],[NET_TRDQTY]]&gt;1000000,"High Volume","Low Volume")</f>
        <v>Low Volume</v>
      </c>
    </row>
    <row r="375" spans="1:16" x14ac:dyDescent="0.3">
      <c r="A375" t="s">
        <v>756</v>
      </c>
      <c r="B375" t="s">
        <v>757</v>
      </c>
      <c r="C375">
        <v>709.75</v>
      </c>
      <c r="D375">
        <v>709.75</v>
      </c>
      <c r="E375">
        <v>663</v>
      </c>
      <c r="F375">
        <v>675.05</v>
      </c>
      <c r="G375">
        <v>706.25</v>
      </c>
      <c r="H375">
        <v>32060</v>
      </c>
      <c r="I375">
        <v>211</v>
      </c>
      <c r="J375">
        <v>9052697946</v>
      </c>
      <c r="K375">
        <v>13410411</v>
      </c>
      <c r="L375">
        <f>(Table1[[#This Row],[CLOSE_PRICE]] - Table1[[#This Row],[PREV_CL_PR]]) / Table1[[#This Row],[PREV_CL_PR]] * 100</f>
        <v>-4.4176991150442539</v>
      </c>
      <c r="M375">
        <f>Table1[[#This Row],[HIGH_PRICE]]-Table1[[#This Row],[LOW_PRICE]]</f>
        <v>46.75</v>
      </c>
      <c r="N375" t="str">
        <f>IF(Table1[[#This Row],[CLOSE_PRICE]]&gt;Table1[[#This Row],[OPEN_PRICE]],"Gain","Loss")</f>
        <v>Loss</v>
      </c>
      <c r="O375" t="str">
        <f>IF(Table1[[#This Row],[MARKET_CAP]]&gt;200000000000,"Large Cap",
IF(Table1[[#This Row],[MARKET_CAP]]&gt;50000000000,"Mid Cap","Small Cap"))</f>
        <v>Small Cap</v>
      </c>
      <c r="P375" t="str">
        <f>IF(Table1[[#This Row],[NET_TRDQTY]]&gt;1000000,"High Volume","Low Volume")</f>
        <v>Low Volume</v>
      </c>
    </row>
    <row r="376" spans="1:16" x14ac:dyDescent="0.3">
      <c r="A376" t="s">
        <v>758</v>
      </c>
      <c r="B376" t="s">
        <v>759</v>
      </c>
      <c r="C376">
        <v>378</v>
      </c>
      <c r="D376">
        <v>378.4</v>
      </c>
      <c r="E376">
        <v>365.55</v>
      </c>
      <c r="F376">
        <v>367.15</v>
      </c>
      <c r="G376">
        <v>380.95</v>
      </c>
      <c r="H376">
        <v>3017643</v>
      </c>
      <c r="I376">
        <v>28397</v>
      </c>
      <c r="J376">
        <v>595000000000</v>
      </c>
      <c r="K376">
        <v>1620907773</v>
      </c>
      <c r="L376">
        <f>(Table1[[#This Row],[CLOSE_PRICE]] - Table1[[#This Row],[PREV_CL_PR]]) / Table1[[#This Row],[PREV_CL_PR]] * 100</f>
        <v>-3.6225226407665083</v>
      </c>
      <c r="M376">
        <f>Table1[[#This Row],[HIGH_PRICE]]-Table1[[#This Row],[LOW_PRICE]]</f>
        <v>12.849999999999966</v>
      </c>
      <c r="N376" t="str">
        <f>IF(Table1[[#This Row],[CLOSE_PRICE]]&gt;Table1[[#This Row],[OPEN_PRICE]],"Gain","Loss")</f>
        <v>Loss</v>
      </c>
      <c r="O376" t="str">
        <f>IF(Table1[[#This Row],[MARKET_CAP]]&gt;200000000000,"Large Cap",
IF(Table1[[#This Row],[MARKET_CAP]]&gt;50000000000,"Mid Cap","Small Cap"))</f>
        <v>Large Cap</v>
      </c>
      <c r="P376" t="str">
        <f>IF(Table1[[#This Row],[NET_TRDQTY]]&gt;1000000,"High Volume","Low Volume")</f>
        <v>High Volume</v>
      </c>
    </row>
    <row r="377" spans="1:16" x14ac:dyDescent="0.3">
      <c r="A377" t="s">
        <v>760</v>
      </c>
      <c r="B377" t="s">
        <v>761</v>
      </c>
      <c r="C377">
        <v>30.49</v>
      </c>
      <c r="D377">
        <v>30.49</v>
      </c>
      <c r="E377">
        <v>28.52</v>
      </c>
      <c r="F377">
        <v>29.01</v>
      </c>
      <c r="G377">
        <v>29.93</v>
      </c>
      <c r="H377">
        <v>15647</v>
      </c>
      <c r="I377">
        <v>301</v>
      </c>
      <c r="J377">
        <v>472102938</v>
      </c>
      <c r="K377">
        <v>16273800</v>
      </c>
      <c r="L377">
        <f>(Table1[[#This Row],[CLOSE_PRICE]] - Table1[[#This Row],[PREV_CL_PR]]) / Table1[[#This Row],[PREV_CL_PR]] * 100</f>
        <v>-3.0738389575676517</v>
      </c>
      <c r="M377">
        <f>Table1[[#This Row],[HIGH_PRICE]]-Table1[[#This Row],[LOW_PRICE]]</f>
        <v>1.9699999999999989</v>
      </c>
      <c r="N377" t="str">
        <f>IF(Table1[[#This Row],[CLOSE_PRICE]]&gt;Table1[[#This Row],[OPEN_PRICE]],"Gain","Loss")</f>
        <v>Loss</v>
      </c>
      <c r="O377" t="str">
        <f>IF(Table1[[#This Row],[MARKET_CAP]]&gt;200000000000,"Large Cap",
IF(Table1[[#This Row],[MARKET_CAP]]&gt;50000000000,"Mid Cap","Small Cap"))</f>
        <v>Small Cap</v>
      </c>
      <c r="P377" t="str">
        <f>IF(Table1[[#This Row],[NET_TRDQTY]]&gt;1000000,"High Volume","Low Volume")</f>
        <v>Low Volume</v>
      </c>
    </row>
    <row r="378" spans="1:16" x14ac:dyDescent="0.3">
      <c r="A378" t="s">
        <v>762</v>
      </c>
      <c r="B378" t="s">
        <v>763</v>
      </c>
      <c r="C378">
        <v>124.11</v>
      </c>
      <c r="D378">
        <v>127</v>
      </c>
      <c r="E378">
        <v>113.26</v>
      </c>
      <c r="F378">
        <v>115.21</v>
      </c>
      <c r="G378">
        <v>128.52000000000001</v>
      </c>
      <c r="H378">
        <v>183660</v>
      </c>
      <c r="I378">
        <v>3849</v>
      </c>
      <c r="J378">
        <v>3456300000</v>
      </c>
      <c r="K378">
        <v>30000000</v>
      </c>
      <c r="L378">
        <f>(Table1[[#This Row],[CLOSE_PRICE]] - Table1[[#This Row],[PREV_CL_PR]]) / Table1[[#This Row],[PREV_CL_PR]] * 100</f>
        <v>-10.356364768129486</v>
      </c>
      <c r="M378">
        <f>Table1[[#This Row],[HIGH_PRICE]]-Table1[[#This Row],[LOW_PRICE]]</f>
        <v>13.739999999999995</v>
      </c>
      <c r="N378" t="str">
        <f>IF(Table1[[#This Row],[CLOSE_PRICE]]&gt;Table1[[#This Row],[OPEN_PRICE]],"Gain","Loss")</f>
        <v>Loss</v>
      </c>
      <c r="O378" t="str">
        <f>IF(Table1[[#This Row],[MARKET_CAP]]&gt;200000000000,"Large Cap",
IF(Table1[[#This Row],[MARKET_CAP]]&gt;50000000000,"Mid Cap","Small Cap"))</f>
        <v>Small Cap</v>
      </c>
      <c r="P378" t="str">
        <f>IF(Table1[[#This Row],[NET_TRDQTY]]&gt;1000000,"High Volume","Low Volume")</f>
        <v>Low Volume</v>
      </c>
    </row>
    <row r="379" spans="1:16" x14ac:dyDescent="0.3">
      <c r="A379" t="s">
        <v>764</v>
      </c>
      <c r="B379" t="s">
        <v>765</v>
      </c>
      <c r="C379">
        <v>812</v>
      </c>
      <c r="D379">
        <v>814.3</v>
      </c>
      <c r="E379">
        <v>789.6</v>
      </c>
      <c r="F379">
        <v>804.8</v>
      </c>
      <c r="G379">
        <v>815.1</v>
      </c>
      <c r="H379">
        <v>129553</v>
      </c>
      <c r="I379">
        <v>10089</v>
      </c>
      <c r="J379">
        <v>61973903266</v>
      </c>
      <c r="K379">
        <v>77005347</v>
      </c>
      <c r="L379">
        <f>(Table1[[#This Row],[CLOSE_PRICE]] - Table1[[#This Row],[PREV_CL_PR]]) / Table1[[#This Row],[PREV_CL_PR]] * 100</f>
        <v>-1.2636486320696929</v>
      </c>
      <c r="M379">
        <f>Table1[[#This Row],[HIGH_PRICE]]-Table1[[#This Row],[LOW_PRICE]]</f>
        <v>24.699999999999932</v>
      </c>
      <c r="N379" t="str">
        <f>IF(Table1[[#This Row],[CLOSE_PRICE]]&gt;Table1[[#This Row],[OPEN_PRICE]],"Gain","Loss")</f>
        <v>Loss</v>
      </c>
      <c r="O379" t="str">
        <f>IF(Table1[[#This Row],[MARKET_CAP]]&gt;200000000000,"Large Cap",
IF(Table1[[#This Row],[MARKET_CAP]]&gt;50000000000,"Mid Cap","Small Cap"))</f>
        <v>Mid Cap</v>
      </c>
      <c r="P379" t="str">
        <f>IF(Table1[[#This Row],[NET_TRDQTY]]&gt;1000000,"High Volume","Low Volume")</f>
        <v>Low Volume</v>
      </c>
    </row>
    <row r="380" spans="1:16" x14ac:dyDescent="0.3">
      <c r="A380" t="s">
        <v>766</v>
      </c>
      <c r="B380" t="s">
        <v>767</v>
      </c>
      <c r="C380">
        <v>110</v>
      </c>
      <c r="D380">
        <v>111.15</v>
      </c>
      <c r="E380">
        <v>102.2</v>
      </c>
      <c r="F380">
        <v>103.74</v>
      </c>
      <c r="G380">
        <v>111.95</v>
      </c>
      <c r="H380">
        <v>92689</v>
      </c>
      <c r="I380">
        <v>2475</v>
      </c>
      <c r="J380">
        <v>5862264512</v>
      </c>
      <c r="K380">
        <v>56509201</v>
      </c>
      <c r="L380">
        <f>(Table1[[#This Row],[CLOSE_PRICE]] - Table1[[#This Row],[PREV_CL_PR]]) / Table1[[#This Row],[PREV_CL_PR]] * 100</f>
        <v>-7.3336310853059476</v>
      </c>
      <c r="M380">
        <f>Table1[[#This Row],[HIGH_PRICE]]-Table1[[#This Row],[LOW_PRICE]]</f>
        <v>8.9500000000000028</v>
      </c>
      <c r="N380" t="str">
        <f>IF(Table1[[#This Row],[CLOSE_PRICE]]&gt;Table1[[#This Row],[OPEN_PRICE]],"Gain","Loss")</f>
        <v>Loss</v>
      </c>
      <c r="O380" t="str">
        <f>IF(Table1[[#This Row],[MARKET_CAP]]&gt;200000000000,"Large Cap",
IF(Table1[[#This Row],[MARKET_CAP]]&gt;50000000000,"Mid Cap","Small Cap"))</f>
        <v>Small Cap</v>
      </c>
      <c r="P380" t="str">
        <f>IF(Table1[[#This Row],[NET_TRDQTY]]&gt;1000000,"High Volume","Low Volume")</f>
        <v>Low Volume</v>
      </c>
    </row>
    <row r="381" spans="1:16" x14ac:dyDescent="0.3">
      <c r="A381" t="s">
        <v>768</v>
      </c>
      <c r="B381" t="s">
        <v>769</v>
      </c>
      <c r="C381">
        <v>1249.9000000000001</v>
      </c>
      <c r="D381">
        <v>1249.9000000000001</v>
      </c>
      <c r="E381">
        <v>1199.7</v>
      </c>
      <c r="F381">
        <v>1216.2</v>
      </c>
      <c r="G381">
        <v>1240.9000000000001</v>
      </c>
      <c r="H381">
        <v>19240</v>
      </c>
      <c r="I381">
        <v>1925</v>
      </c>
      <c r="J381">
        <v>9171241364</v>
      </c>
      <c r="K381">
        <v>7540899</v>
      </c>
      <c r="L381">
        <f>(Table1[[#This Row],[CLOSE_PRICE]] - Table1[[#This Row],[PREV_CL_PR]]) / Table1[[#This Row],[PREV_CL_PR]] * 100</f>
        <v>-1.990490772826178</v>
      </c>
      <c r="M381">
        <f>Table1[[#This Row],[HIGH_PRICE]]-Table1[[#This Row],[LOW_PRICE]]</f>
        <v>50.200000000000045</v>
      </c>
      <c r="N381" t="str">
        <f>IF(Table1[[#This Row],[CLOSE_PRICE]]&gt;Table1[[#This Row],[OPEN_PRICE]],"Gain","Loss")</f>
        <v>Loss</v>
      </c>
      <c r="O381" t="str">
        <f>IF(Table1[[#This Row],[MARKET_CAP]]&gt;200000000000,"Large Cap",
IF(Table1[[#This Row],[MARKET_CAP]]&gt;50000000000,"Mid Cap","Small Cap"))</f>
        <v>Small Cap</v>
      </c>
      <c r="P381" t="str">
        <f>IF(Table1[[#This Row],[NET_TRDQTY]]&gt;1000000,"High Volume","Low Volume")</f>
        <v>Low Volume</v>
      </c>
    </row>
    <row r="382" spans="1:16" x14ac:dyDescent="0.3">
      <c r="A382" t="s">
        <v>770</v>
      </c>
      <c r="B382" t="s">
        <v>771</v>
      </c>
      <c r="C382">
        <v>609.04999999999995</v>
      </c>
      <c r="D382">
        <v>609.04999999999995</v>
      </c>
      <c r="E382">
        <v>558.20000000000005</v>
      </c>
      <c r="F382">
        <v>587</v>
      </c>
      <c r="G382">
        <v>615.79999999999995</v>
      </c>
      <c r="H382">
        <v>1027819</v>
      </c>
      <c r="I382">
        <v>43350</v>
      </c>
      <c r="J382">
        <v>106000000000</v>
      </c>
      <c r="K382">
        <v>181171147</v>
      </c>
      <c r="L382">
        <f>(Table1[[#This Row],[CLOSE_PRICE]] - Table1[[#This Row],[PREV_CL_PR]]) / Table1[[#This Row],[PREV_CL_PR]] * 100</f>
        <v>-4.6768431308866445</v>
      </c>
      <c r="M382">
        <f>Table1[[#This Row],[HIGH_PRICE]]-Table1[[#This Row],[LOW_PRICE]]</f>
        <v>50.849999999999909</v>
      </c>
      <c r="N382" t="str">
        <f>IF(Table1[[#This Row],[CLOSE_PRICE]]&gt;Table1[[#This Row],[OPEN_PRICE]],"Gain","Loss")</f>
        <v>Loss</v>
      </c>
      <c r="O382" t="str">
        <f>IF(Table1[[#This Row],[MARKET_CAP]]&gt;200000000000,"Large Cap",
IF(Table1[[#This Row],[MARKET_CAP]]&gt;50000000000,"Mid Cap","Small Cap"))</f>
        <v>Mid Cap</v>
      </c>
      <c r="P382" t="str">
        <f>IF(Table1[[#This Row],[NET_TRDQTY]]&gt;1000000,"High Volume","Low Volume")</f>
        <v>High Volume</v>
      </c>
    </row>
    <row r="383" spans="1:16" x14ac:dyDescent="0.3">
      <c r="A383" t="s">
        <v>772</v>
      </c>
      <c r="B383" t="s">
        <v>773</v>
      </c>
      <c r="C383">
        <v>163.01</v>
      </c>
      <c r="D383">
        <v>164.5</v>
      </c>
      <c r="E383">
        <v>160.26</v>
      </c>
      <c r="F383">
        <v>160.37</v>
      </c>
      <c r="G383">
        <v>164.26</v>
      </c>
      <c r="H383">
        <v>52783</v>
      </c>
      <c r="I383">
        <v>1077</v>
      </c>
      <c r="J383">
        <v>6678528465</v>
      </c>
      <c r="K383">
        <v>41644500</v>
      </c>
      <c r="L383">
        <f>(Table1[[#This Row],[CLOSE_PRICE]] - Table1[[#This Row],[PREV_CL_PR]]) / Table1[[#This Row],[PREV_CL_PR]] * 100</f>
        <v>-2.3681967612321846</v>
      </c>
      <c r="M383">
        <f>Table1[[#This Row],[HIGH_PRICE]]-Table1[[#This Row],[LOW_PRICE]]</f>
        <v>4.2400000000000091</v>
      </c>
      <c r="N383" t="str">
        <f>IF(Table1[[#This Row],[CLOSE_PRICE]]&gt;Table1[[#This Row],[OPEN_PRICE]],"Gain","Loss")</f>
        <v>Loss</v>
      </c>
      <c r="O383" t="str">
        <f>IF(Table1[[#This Row],[MARKET_CAP]]&gt;200000000000,"Large Cap",
IF(Table1[[#This Row],[MARKET_CAP]]&gt;50000000000,"Mid Cap","Small Cap"))</f>
        <v>Small Cap</v>
      </c>
      <c r="P383" t="str">
        <f>IF(Table1[[#This Row],[NET_TRDQTY]]&gt;1000000,"High Volume","Low Volume")</f>
        <v>Low Volume</v>
      </c>
    </row>
    <row r="384" spans="1:16" x14ac:dyDescent="0.3">
      <c r="A384" t="s">
        <v>774</v>
      </c>
      <c r="B384" t="s">
        <v>775</v>
      </c>
      <c r="C384">
        <v>210</v>
      </c>
      <c r="D384">
        <v>210.01</v>
      </c>
      <c r="E384">
        <v>193.07</v>
      </c>
      <c r="F384">
        <v>194.43</v>
      </c>
      <c r="G384">
        <v>210.23</v>
      </c>
      <c r="H384">
        <v>815939</v>
      </c>
      <c r="I384">
        <v>11324</v>
      </c>
      <c r="J384">
        <v>20555643563</v>
      </c>
      <c r="K384">
        <v>105722592</v>
      </c>
      <c r="L384">
        <f>(Table1[[#This Row],[CLOSE_PRICE]] - Table1[[#This Row],[PREV_CL_PR]]) / Table1[[#This Row],[PREV_CL_PR]] * 100</f>
        <v>-7.5155781762831104</v>
      </c>
      <c r="M384">
        <f>Table1[[#This Row],[HIGH_PRICE]]-Table1[[#This Row],[LOW_PRICE]]</f>
        <v>16.939999999999998</v>
      </c>
      <c r="N384" t="str">
        <f>IF(Table1[[#This Row],[CLOSE_PRICE]]&gt;Table1[[#This Row],[OPEN_PRICE]],"Gain","Loss")</f>
        <v>Loss</v>
      </c>
      <c r="O384" t="str">
        <f>IF(Table1[[#This Row],[MARKET_CAP]]&gt;200000000000,"Large Cap",
IF(Table1[[#This Row],[MARKET_CAP]]&gt;50000000000,"Mid Cap","Small Cap"))</f>
        <v>Small Cap</v>
      </c>
      <c r="P384" t="str">
        <f>IF(Table1[[#This Row],[NET_TRDQTY]]&gt;1000000,"High Volume","Low Volume")</f>
        <v>Low Volume</v>
      </c>
    </row>
    <row r="385" spans="1:16" x14ac:dyDescent="0.3">
      <c r="A385" t="s">
        <v>776</v>
      </c>
      <c r="B385" t="s">
        <v>777</v>
      </c>
      <c r="C385">
        <v>48.9</v>
      </c>
      <c r="D385">
        <v>49.1</v>
      </c>
      <c r="E385">
        <v>45.4</v>
      </c>
      <c r="F385">
        <v>46.31</v>
      </c>
      <c r="G385">
        <v>49.4</v>
      </c>
      <c r="H385">
        <v>622575</v>
      </c>
      <c r="I385">
        <v>2415</v>
      </c>
      <c r="J385">
        <v>10440126400</v>
      </c>
      <c r="K385">
        <v>225440000</v>
      </c>
      <c r="L385">
        <f>(Table1[[#This Row],[CLOSE_PRICE]] - Table1[[#This Row],[PREV_CL_PR]]) / Table1[[#This Row],[PREV_CL_PR]] * 100</f>
        <v>-6.2550607287449322</v>
      </c>
      <c r="M385">
        <f>Table1[[#This Row],[HIGH_PRICE]]-Table1[[#This Row],[LOW_PRICE]]</f>
        <v>3.7000000000000028</v>
      </c>
      <c r="N385" t="str">
        <f>IF(Table1[[#This Row],[CLOSE_PRICE]]&gt;Table1[[#This Row],[OPEN_PRICE]],"Gain","Loss")</f>
        <v>Loss</v>
      </c>
      <c r="O385" t="str">
        <f>IF(Table1[[#This Row],[MARKET_CAP]]&gt;200000000000,"Large Cap",
IF(Table1[[#This Row],[MARKET_CAP]]&gt;50000000000,"Mid Cap","Small Cap"))</f>
        <v>Small Cap</v>
      </c>
      <c r="P385" t="str">
        <f>IF(Table1[[#This Row],[NET_TRDQTY]]&gt;1000000,"High Volume","Low Volume")</f>
        <v>Low Volume</v>
      </c>
    </row>
    <row r="386" spans="1:16" x14ac:dyDescent="0.3">
      <c r="A386" t="s">
        <v>778</v>
      </c>
      <c r="B386" t="s">
        <v>779</v>
      </c>
      <c r="C386">
        <v>240</v>
      </c>
      <c r="D386">
        <v>240.05</v>
      </c>
      <c r="E386">
        <v>218.9</v>
      </c>
      <c r="F386">
        <v>221.75</v>
      </c>
      <c r="G386">
        <v>240.6</v>
      </c>
      <c r="H386">
        <v>2673833</v>
      </c>
      <c r="I386">
        <v>55790</v>
      </c>
      <c r="J386">
        <v>91303546349</v>
      </c>
      <c r="K386">
        <v>411740908</v>
      </c>
      <c r="L386">
        <f>(Table1[[#This Row],[CLOSE_PRICE]] - Table1[[#This Row],[PREV_CL_PR]]) / Table1[[#This Row],[PREV_CL_PR]] * 100</f>
        <v>-7.8345802161263478</v>
      </c>
      <c r="M386">
        <f>Table1[[#This Row],[HIGH_PRICE]]-Table1[[#This Row],[LOW_PRICE]]</f>
        <v>21.150000000000006</v>
      </c>
      <c r="N386" t="str">
        <f>IF(Table1[[#This Row],[CLOSE_PRICE]]&gt;Table1[[#This Row],[OPEN_PRICE]],"Gain","Loss")</f>
        <v>Loss</v>
      </c>
      <c r="O386" t="str">
        <f>IF(Table1[[#This Row],[MARKET_CAP]]&gt;200000000000,"Large Cap",
IF(Table1[[#This Row],[MARKET_CAP]]&gt;50000000000,"Mid Cap","Small Cap"))</f>
        <v>Mid Cap</v>
      </c>
      <c r="P386" t="str">
        <f>IF(Table1[[#This Row],[NET_TRDQTY]]&gt;1000000,"High Volume","Low Volume")</f>
        <v>High Volume</v>
      </c>
    </row>
    <row r="387" spans="1:16" x14ac:dyDescent="0.3">
      <c r="A387" t="s">
        <v>780</v>
      </c>
      <c r="B387" t="s">
        <v>781</v>
      </c>
      <c r="C387">
        <v>142.18</v>
      </c>
      <c r="D387">
        <v>153.08000000000001</v>
      </c>
      <c r="E387">
        <v>140.5</v>
      </c>
      <c r="F387">
        <v>150.37</v>
      </c>
      <c r="G387">
        <v>144.35</v>
      </c>
      <c r="H387">
        <v>1417376</v>
      </c>
      <c r="I387">
        <v>14599</v>
      </c>
      <c r="J387">
        <v>13662089649</v>
      </c>
      <c r="K387">
        <v>90856485</v>
      </c>
      <c r="L387">
        <f>(Table1[[#This Row],[CLOSE_PRICE]] - Table1[[#This Row],[PREV_CL_PR]]) / Table1[[#This Row],[PREV_CL_PR]] * 100</f>
        <v>4.17041912019398</v>
      </c>
      <c r="M387">
        <f>Table1[[#This Row],[HIGH_PRICE]]-Table1[[#This Row],[LOW_PRICE]]</f>
        <v>12.580000000000013</v>
      </c>
      <c r="N387" t="str">
        <f>IF(Table1[[#This Row],[CLOSE_PRICE]]&gt;Table1[[#This Row],[OPEN_PRICE]],"Gain","Loss")</f>
        <v>Gain</v>
      </c>
      <c r="O387" t="str">
        <f>IF(Table1[[#This Row],[MARKET_CAP]]&gt;200000000000,"Large Cap",
IF(Table1[[#This Row],[MARKET_CAP]]&gt;50000000000,"Mid Cap","Small Cap"))</f>
        <v>Small Cap</v>
      </c>
      <c r="P387" t="str">
        <f>IF(Table1[[#This Row],[NET_TRDQTY]]&gt;1000000,"High Volume","Low Volume")</f>
        <v>High Volume</v>
      </c>
    </row>
    <row r="388" spans="1:16" x14ac:dyDescent="0.3">
      <c r="A388" t="s">
        <v>782</v>
      </c>
      <c r="B388" t="s">
        <v>783</v>
      </c>
      <c r="C388">
        <v>20.010000000000002</v>
      </c>
      <c r="D388">
        <v>21.01</v>
      </c>
      <c r="E388">
        <v>19.21</v>
      </c>
      <c r="F388">
        <v>20.78</v>
      </c>
      <c r="G388">
        <v>20.010000000000002</v>
      </c>
      <c r="H388">
        <v>6937</v>
      </c>
      <c r="I388">
        <v>59</v>
      </c>
      <c r="J388">
        <v>357259256.5</v>
      </c>
      <c r="K388">
        <v>17192457</v>
      </c>
      <c r="L388">
        <f>(Table1[[#This Row],[CLOSE_PRICE]] - Table1[[#This Row],[PREV_CL_PR]]) / Table1[[#This Row],[PREV_CL_PR]] * 100</f>
        <v>3.8480759620189882</v>
      </c>
      <c r="M388">
        <f>Table1[[#This Row],[HIGH_PRICE]]-Table1[[#This Row],[LOW_PRICE]]</f>
        <v>1.8000000000000007</v>
      </c>
      <c r="N388" t="str">
        <f>IF(Table1[[#This Row],[CLOSE_PRICE]]&gt;Table1[[#This Row],[OPEN_PRICE]],"Gain","Loss")</f>
        <v>Gain</v>
      </c>
      <c r="O388" t="str">
        <f>IF(Table1[[#This Row],[MARKET_CAP]]&gt;200000000000,"Large Cap",
IF(Table1[[#This Row],[MARKET_CAP]]&gt;50000000000,"Mid Cap","Small Cap"))</f>
        <v>Small Cap</v>
      </c>
      <c r="P388" t="str">
        <f>IF(Table1[[#This Row],[NET_TRDQTY]]&gt;1000000,"High Volume","Low Volume")</f>
        <v>Low Volume</v>
      </c>
    </row>
    <row r="389" spans="1:16" x14ac:dyDescent="0.3">
      <c r="A389" t="s">
        <v>784</v>
      </c>
      <c r="B389" t="s">
        <v>785</v>
      </c>
      <c r="C389">
        <v>5095</v>
      </c>
      <c r="D389">
        <v>5095</v>
      </c>
      <c r="E389">
        <v>4900</v>
      </c>
      <c r="F389">
        <v>4932.5</v>
      </c>
      <c r="G389">
        <v>5101.5</v>
      </c>
      <c r="H389">
        <v>19579</v>
      </c>
      <c r="I389">
        <v>7506</v>
      </c>
      <c r="J389">
        <v>117000000000</v>
      </c>
      <c r="K389">
        <v>23727934</v>
      </c>
      <c r="L389">
        <f>(Table1[[#This Row],[CLOSE_PRICE]] - Table1[[#This Row],[PREV_CL_PR]]) / Table1[[#This Row],[PREV_CL_PR]] * 100</f>
        <v>-3.3127511516220718</v>
      </c>
      <c r="M389">
        <f>Table1[[#This Row],[HIGH_PRICE]]-Table1[[#This Row],[LOW_PRICE]]</f>
        <v>195</v>
      </c>
      <c r="N389" t="str">
        <f>IF(Table1[[#This Row],[CLOSE_PRICE]]&gt;Table1[[#This Row],[OPEN_PRICE]],"Gain","Loss")</f>
        <v>Loss</v>
      </c>
      <c r="O389" t="str">
        <f>IF(Table1[[#This Row],[MARKET_CAP]]&gt;200000000000,"Large Cap",
IF(Table1[[#This Row],[MARKET_CAP]]&gt;50000000000,"Mid Cap","Small Cap"))</f>
        <v>Mid Cap</v>
      </c>
      <c r="P389" t="str">
        <f>IF(Table1[[#This Row],[NET_TRDQTY]]&gt;1000000,"High Volume","Low Volume")</f>
        <v>Low Volume</v>
      </c>
    </row>
    <row r="390" spans="1:16" x14ac:dyDescent="0.3">
      <c r="A390" t="s">
        <v>786</v>
      </c>
      <c r="B390" t="s">
        <v>787</v>
      </c>
      <c r="C390">
        <v>358</v>
      </c>
      <c r="D390">
        <v>374.9</v>
      </c>
      <c r="E390">
        <v>335.8</v>
      </c>
      <c r="F390">
        <v>341.3</v>
      </c>
      <c r="G390">
        <v>357.95</v>
      </c>
      <c r="H390">
        <v>1654959</v>
      </c>
      <c r="I390">
        <v>35951</v>
      </c>
      <c r="J390">
        <v>59203749553</v>
      </c>
      <c r="K390">
        <v>173465425</v>
      </c>
      <c r="L390">
        <f>(Table1[[#This Row],[CLOSE_PRICE]] - Table1[[#This Row],[PREV_CL_PR]]) / Table1[[#This Row],[PREV_CL_PR]] * 100</f>
        <v>-4.6514876379382537</v>
      </c>
      <c r="M390">
        <f>Table1[[#This Row],[HIGH_PRICE]]-Table1[[#This Row],[LOW_PRICE]]</f>
        <v>39.099999999999966</v>
      </c>
      <c r="N390" t="str">
        <f>IF(Table1[[#This Row],[CLOSE_PRICE]]&gt;Table1[[#This Row],[OPEN_PRICE]],"Gain","Loss")</f>
        <v>Loss</v>
      </c>
      <c r="O390" t="str">
        <f>IF(Table1[[#This Row],[MARKET_CAP]]&gt;200000000000,"Large Cap",
IF(Table1[[#This Row],[MARKET_CAP]]&gt;50000000000,"Mid Cap","Small Cap"))</f>
        <v>Mid Cap</v>
      </c>
      <c r="P390" t="str">
        <f>IF(Table1[[#This Row],[NET_TRDQTY]]&gt;1000000,"High Volume","Low Volume")</f>
        <v>High Volume</v>
      </c>
    </row>
    <row r="391" spans="1:16" x14ac:dyDescent="0.3">
      <c r="A391" t="s">
        <v>788</v>
      </c>
      <c r="B391" t="s">
        <v>789</v>
      </c>
      <c r="C391">
        <v>1688.7</v>
      </c>
      <c r="D391">
        <v>1693</v>
      </c>
      <c r="E391">
        <v>1602</v>
      </c>
      <c r="F391">
        <v>1621.1</v>
      </c>
      <c r="G391">
        <v>1708.6</v>
      </c>
      <c r="H391">
        <v>687659</v>
      </c>
      <c r="I391">
        <v>38240</v>
      </c>
      <c r="J391">
        <v>333000000000</v>
      </c>
      <c r="K391">
        <v>205614788</v>
      </c>
      <c r="L391">
        <f>(Table1[[#This Row],[CLOSE_PRICE]] - Table1[[#This Row],[PREV_CL_PR]]) / Table1[[#This Row],[PREV_CL_PR]] * 100</f>
        <v>-5.1211518202036759</v>
      </c>
      <c r="M391">
        <f>Table1[[#This Row],[HIGH_PRICE]]-Table1[[#This Row],[LOW_PRICE]]</f>
        <v>91</v>
      </c>
      <c r="N391" t="str">
        <f>IF(Table1[[#This Row],[CLOSE_PRICE]]&gt;Table1[[#This Row],[OPEN_PRICE]],"Gain","Loss")</f>
        <v>Loss</v>
      </c>
      <c r="O391" t="str">
        <f>IF(Table1[[#This Row],[MARKET_CAP]]&gt;200000000000,"Large Cap",
IF(Table1[[#This Row],[MARKET_CAP]]&gt;50000000000,"Mid Cap","Small Cap"))</f>
        <v>Large Cap</v>
      </c>
      <c r="P391" t="str">
        <f>IF(Table1[[#This Row],[NET_TRDQTY]]&gt;1000000,"High Volume","Low Volume")</f>
        <v>Low Volume</v>
      </c>
    </row>
    <row r="392" spans="1:16" x14ac:dyDescent="0.3">
      <c r="A392" t="s">
        <v>790</v>
      </c>
      <c r="B392" t="s">
        <v>791</v>
      </c>
      <c r="C392">
        <v>537</v>
      </c>
      <c r="D392">
        <v>537</v>
      </c>
      <c r="E392">
        <v>511</v>
      </c>
      <c r="F392">
        <v>522.45000000000005</v>
      </c>
      <c r="G392">
        <v>543.79999999999995</v>
      </c>
      <c r="H392">
        <v>284040</v>
      </c>
      <c r="I392">
        <v>21212</v>
      </c>
      <c r="J392">
        <v>79057328351</v>
      </c>
      <c r="K392">
        <v>151320372</v>
      </c>
      <c r="L392">
        <f>(Table1[[#This Row],[CLOSE_PRICE]] - Table1[[#This Row],[PREV_CL_PR]]) / Table1[[#This Row],[PREV_CL_PR]] * 100</f>
        <v>-3.9260757631481997</v>
      </c>
      <c r="M392">
        <f>Table1[[#This Row],[HIGH_PRICE]]-Table1[[#This Row],[LOW_PRICE]]</f>
        <v>26</v>
      </c>
      <c r="N392" t="str">
        <f>IF(Table1[[#This Row],[CLOSE_PRICE]]&gt;Table1[[#This Row],[OPEN_PRICE]],"Gain","Loss")</f>
        <v>Loss</v>
      </c>
      <c r="O392" t="str">
        <f>IF(Table1[[#This Row],[MARKET_CAP]]&gt;200000000000,"Large Cap",
IF(Table1[[#This Row],[MARKET_CAP]]&gt;50000000000,"Mid Cap","Small Cap"))</f>
        <v>Mid Cap</v>
      </c>
      <c r="P392" t="str">
        <f>IF(Table1[[#This Row],[NET_TRDQTY]]&gt;1000000,"High Volume","Low Volume")</f>
        <v>Low Volume</v>
      </c>
    </row>
    <row r="393" spans="1:16" x14ac:dyDescent="0.3">
      <c r="A393" t="s">
        <v>792</v>
      </c>
      <c r="B393" t="s">
        <v>793</v>
      </c>
      <c r="C393">
        <v>45.67</v>
      </c>
      <c r="D393">
        <v>52.45</v>
      </c>
      <c r="E393">
        <v>43.98</v>
      </c>
      <c r="F393">
        <v>50.22</v>
      </c>
      <c r="G393">
        <v>45.67</v>
      </c>
      <c r="H393">
        <v>6047264</v>
      </c>
      <c r="I393">
        <v>22530</v>
      </c>
      <c r="J393">
        <v>7480239521</v>
      </c>
      <c r="K393">
        <v>148949413</v>
      </c>
      <c r="L393">
        <f>(Table1[[#This Row],[CLOSE_PRICE]] - Table1[[#This Row],[PREV_CL_PR]]) / Table1[[#This Row],[PREV_CL_PR]] * 100</f>
        <v>9.9627764396759293</v>
      </c>
      <c r="M393">
        <f>Table1[[#This Row],[HIGH_PRICE]]-Table1[[#This Row],[LOW_PRICE]]</f>
        <v>8.470000000000006</v>
      </c>
      <c r="N393" t="str">
        <f>IF(Table1[[#This Row],[CLOSE_PRICE]]&gt;Table1[[#This Row],[OPEN_PRICE]],"Gain","Loss")</f>
        <v>Gain</v>
      </c>
      <c r="O393" t="str">
        <f>IF(Table1[[#This Row],[MARKET_CAP]]&gt;200000000000,"Large Cap",
IF(Table1[[#This Row],[MARKET_CAP]]&gt;50000000000,"Mid Cap","Small Cap"))</f>
        <v>Small Cap</v>
      </c>
      <c r="P393" t="str">
        <f>IF(Table1[[#This Row],[NET_TRDQTY]]&gt;1000000,"High Volume","Low Volume")</f>
        <v>High Volume</v>
      </c>
    </row>
    <row r="394" spans="1:16" x14ac:dyDescent="0.3">
      <c r="A394" t="s">
        <v>794</v>
      </c>
      <c r="B394" t="s">
        <v>795</v>
      </c>
      <c r="C394">
        <v>58.01</v>
      </c>
      <c r="D394">
        <v>58.01</v>
      </c>
      <c r="E394">
        <v>53.12</v>
      </c>
      <c r="F394">
        <v>54.71</v>
      </c>
      <c r="G394">
        <v>58.24</v>
      </c>
      <c r="H394">
        <v>124921</v>
      </c>
      <c r="I394">
        <v>1493</v>
      </c>
      <c r="J394">
        <v>4744177650</v>
      </c>
      <c r="K394">
        <v>86715000</v>
      </c>
      <c r="L394">
        <f>(Table1[[#This Row],[CLOSE_PRICE]] - Table1[[#This Row],[PREV_CL_PR]]) / Table1[[#This Row],[PREV_CL_PR]] * 100</f>
        <v>-6.0611263736263759</v>
      </c>
      <c r="M394">
        <f>Table1[[#This Row],[HIGH_PRICE]]-Table1[[#This Row],[LOW_PRICE]]</f>
        <v>4.8900000000000006</v>
      </c>
      <c r="N394" t="str">
        <f>IF(Table1[[#This Row],[CLOSE_PRICE]]&gt;Table1[[#This Row],[OPEN_PRICE]],"Gain","Loss")</f>
        <v>Loss</v>
      </c>
      <c r="O394" t="str">
        <f>IF(Table1[[#This Row],[MARKET_CAP]]&gt;200000000000,"Large Cap",
IF(Table1[[#This Row],[MARKET_CAP]]&gt;50000000000,"Mid Cap","Small Cap"))</f>
        <v>Small Cap</v>
      </c>
      <c r="P394" t="str">
        <f>IF(Table1[[#This Row],[NET_TRDQTY]]&gt;1000000,"High Volume","Low Volume")</f>
        <v>Low Volume</v>
      </c>
    </row>
    <row r="395" spans="1:16" x14ac:dyDescent="0.3">
      <c r="A395" t="s">
        <v>796</v>
      </c>
      <c r="B395" t="s">
        <v>797</v>
      </c>
      <c r="C395">
        <v>54.37</v>
      </c>
      <c r="D395">
        <v>58.25</v>
      </c>
      <c r="E395">
        <v>51.03</v>
      </c>
      <c r="F395">
        <v>56.81</v>
      </c>
      <c r="G395">
        <v>54.65</v>
      </c>
      <c r="H395">
        <v>1473850</v>
      </c>
      <c r="I395">
        <v>7799</v>
      </c>
      <c r="J395">
        <v>7154882333</v>
      </c>
      <c r="K395">
        <v>125944065</v>
      </c>
      <c r="L395">
        <f>(Table1[[#This Row],[CLOSE_PRICE]] - Table1[[#This Row],[PREV_CL_PR]]) / Table1[[#This Row],[PREV_CL_PR]] * 100</f>
        <v>3.9524245196706378</v>
      </c>
      <c r="M395">
        <f>Table1[[#This Row],[HIGH_PRICE]]-Table1[[#This Row],[LOW_PRICE]]</f>
        <v>7.2199999999999989</v>
      </c>
      <c r="N395" t="str">
        <f>IF(Table1[[#This Row],[CLOSE_PRICE]]&gt;Table1[[#This Row],[OPEN_PRICE]],"Gain","Loss")</f>
        <v>Gain</v>
      </c>
      <c r="O395" t="str">
        <f>IF(Table1[[#This Row],[MARKET_CAP]]&gt;200000000000,"Large Cap",
IF(Table1[[#This Row],[MARKET_CAP]]&gt;50000000000,"Mid Cap","Small Cap"))</f>
        <v>Small Cap</v>
      </c>
      <c r="P395" t="str">
        <f>IF(Table1[[#This Row],[NET_TRDQTY]]&gt;1000000,"High Volume","Low Volume")</f>
        <v>High Volume</v>
      </c>
    </row>
    <row r="396" spans="1:16" x14ac:dyDescent="0.3">
      <c r="A396" t="s">
        <v>798</v>
      </c>
      <c r="B396" t="s">
        <v>799</v>
      </c>
      <c r="C396">
        <v>101.2</v>
      </c>
      <c r="D396">
        <v>101.9</v>
      </c>
      <c r="E396">
        <v>94.6</v>
      </c>
      <c r="F396">
        <v>95.98</v>
      </c>
      <c r="G396">
        <v>103.16</v>
      </c>
      <c r="H396">
        <v>1274096</v>
      </c>
      <c r="I396">
        <v>10440</v>
      </c>
      <c r="J396">
        <v>19823219702</v>
      </c>
      <c r="K396">
        <v>206534900</v>
      </c>
      <c r="L396">
        <f>(Table1[[#This Row],[CLOSE_PRICE]] - Table1[[#This Row],[PREV_CL_PR]]) / Table1[[#This Row],[PREV_CL_PR]] * 100</f>
        <v>-6.9600620395502064</v>
      </c>
      <c r="M396">
        <f>Table1[[#This Row],[HIGH_PRICE]]-Table1[[#This Row],[LOW_PRICE]]</f>
        <v>7.3000000000000114</v>
      </c>
      <c r="N396" t="str">
        <f>IF(Table1[[#This Row],[CLOSE_PRICE]]&gt;Table1[[#This Row],[OPEN_PRICE]],"Gain","Loss")</f>
        <v>Loss</v>
      </c>
      <c r="O396" t="str">
        <f>IF(Table1[[#This Row],[MARKET_CAP]]&gt;200000000000,"Large Cap",
IF(Table1[[#This Row],[MARKET_CAP]]&gt;50000000000,"Mid Cap","Small Cap"))</f>
        <v>Small Cap</v>
      </c>
      <c r="P396" t="str">
        <f>IF(Table1[[#This Row],[NET_TRDQTY]]&gt;1000000,"High Volume","Low Volume")</f>
        <v>High Volume</v>
      </c>
    </row>
    <row r="397" spans="1:16" x14ac:dyDescent="0.3">
      <c r="A397" t="s">
        <v>800</v>
      </c>
      <c r="B397" t="s">
        <v>801</v>
      </c>
      <c r="C397">
        <v>222.01</v>
      </c>
      <c r="D397">
        <v>225</v>
      </c>
      <c r="E397">
        <v>213.73</v>
      </c>
      <c r="F397">
        <v>215.6</v>
      </c>
      <c r="G397">
        <v>222.01</v>
      </c>
      <c r="H397">
        <v>173494</v>
      </c>
      <c r="I397">
        <v>5052</v>
      </c>
      <c r="J397">
        <v>25781577144</v>
      </c>
      <c r="K397">
        <v>119580599</v>
      </c>
      <c r="L397">
        <f>(Table1[[#This Row],[CLOSE_PRICE]] - Table1[[#This Row],[PREV_CL_PR]]) / Table1[[#This Row],[PREV_CL_PR]] * 100</f>
        <v>-2.8872573307508658</v>
      </c>
      <c r="M397">
        <f>Table1[[#This Row],[HIGH_PRICE]]-Table1[[#This Row],[LOW_PRICE]]</f>
        <v>11.27000000000001</v>
      </c>
      <c r="N397" t="str">
        <f>IF(Table1[[#This Row],[CLOSE_PRICE]]&gt;Table1[[#This Row],[OPEN_PRICE]],"Gain","Loss")</f>
        <v>Loss</v>
      </c>
      <c r="O397" t="str">
        <f>IF(Table1[[#This Row],[MARKET_CAP]]&gt;200000000000,"Large Cap",
IF(Table1[[#This Row],[MARKET_CAP]]&gt;50000000000,"Mid Cap","Small Cap"))</f>
        <v>Small Cap</v>
      </c>
      <c r="P397" t="str">
        <f>IF(Table1[[#This Row],[NET_TRDQTY]]&gt;1000000,"High Volume","Low Volume")</f>
        <v>Low Volume</v>
      </c>
    </row>
    <row r="398" spans="1:16" x14ac:dyDescent="0.3">
      <c r="A398" t="s">
        <v>802</v>
      </c>
      <c r="B398" t="s">
        <v>803</v>
      </c>
      <c r="C398">
        <v>415</v>
      </c>
      <c r="D398">
        <v>419.95</v>
      </c>
      <c r="E398">
        <v>396.9</v>
      </c>
      <c r="F398">
        <v>398.85</v>
      </c>
      <c r="G398">
        <v>420.9</v>
      </c>
      <c r="H398">
        <v>509417</v>
      </c>
      <c r="I398">
        <v>17374</v>
      </c>
      <c r="J398">
        <v>55914320828</v>
      </c>
      <c r="K398">
        <v>140188845</v>
      </c>
      <c r="L398">
        <f>(Table1[[#This Row],[CLOSE_PRICE]] - Table1[[#This Row],[PREV_CL_PR]]) / Table1[[#This Row],[PREV_CL_PR]] * 100</f>
        <v>-5.238774055595143</v>
      </c>
      <c r="M398">
        <f>Table1[[#This Row],[HIGH_PRICE]]-Table1[[#This Row],[LOW_PRICE]]</f>
        <v>23.050000000000011</v>
      </c>
      <c r="N398" t="str">
        <f>IF(Table1[[#This Row],[CLOSE_PRICE]]&gt;Table1[[#This Row],[OPEN_PRICE]],"Gain","Loss")</f>
        <v>Loss</v>
      </c>
      <c r="O398" t="str">
        <f>IF(Table1[[#This Row],[MARKET_CAP]]&gt;200000000000,"Large Cap",
IF(Table1[[#This Row],[MARKET_CAP]]&gt;50000000000,"Mid Cap","Small Cap"))</f>
        <v>Mid Cap</v>
      </c>
      <c r="P398" t="str">
        <f>IF(Table1[[#This Row],[NET_TRDQTY]]&gt;1000000,"High Volume","Low Volume")</f>
        <v>Low Volume</v>
      </c>
    </row>
    <row r="399" spans="1:16" x14ac:dyDescent="0.3">
      <c r="A399" t="s">
        <v>804</v>
      </c>
      <c r="B399" t="s">
        <v>805</v>
      </c>
      <c r="C399">
        <v>103.6</v>
      </c>
      <c r="D399">
        <v>105.69</v>
      </c>
      <c r="E399">
        <v>102</v>
      </c>
      <c r="F399">
        <v>102.6</v>
      </c>
      <c r="G399">
        <v>104.52</v>
      </c>
      <c r="H399">
        <v>126825</v>
      </c>
      <c r="I399">
        <v>2427</v>
      </c>
      <c r="J399">
        <v>9125967330</v>
      </c>
      <c r="K399">
        <v>88947050</v>
      </c>
      <c r="L399">
        <f>(Table1[[#This Row],[CLOSE_PRICE]] - Table1[[#This Row],[PREV_CL_PR]]) / Table1[[#This Row],[PREV_CL_PR]] * 100</f>
        <v>-1.8369690011481075</v>
      </c>
      <c r="M399">
        <f>Table1[[#This Row],[HIGH_PRICE]]-Table1[[#This Row],[LOW_PRICE]]</f>
        <v>3.6899999999999977</v>
      </c>
      <c r="N399" t="str">
        <f>IF(Table1[[#This Row],[CLOSE_PRICE]]&gt;Table1[[#This Row],[OPEN_PRICE]],"Gain","Loss")</f>
        <v>Loss</v>
      </c>
      <c r="O399" t="str">
        <f>IF(Table1[[#This Row],[MARKET_CAP]]&gt;200000000000,"Large Cap",
IF(Table1[[#This Row],[MARKET_CAP]]&gt;50000000000,"Mid Cap","Small Cap"))</f>
        <v>Small Cap</v>
      </c>
      <c r="P399" t="str">
        <f>IF(Table1[[#This Row],[NET_TRDQTY]]&gt;1000000,"High Volume","Low Volume")</f>
        <v>Low Volume</v>
      </c>
    </row>
    <row r="400" spans="1:16" x14ac:dyDescent="0.3">
      <c r="A400" t="s">
        <v>806</v>
      </c>
      <c r="B400" t="s">
        <v>807</v>
      </c>
      <c r="C400">
        <v>1255</v>
      </c>
      <c r="D400">
        <v>1270.0999999999999</v>
      </c>
      <c r="E400">
        <v>1220.2</v>
      </c>
      <c r="F400">
        <v>1233.5</v>
      </c>
      <c r="G400">
        <v>1281.0999999999999</v>
      </c>
      <c r="H400">
        <v>14762</v>
      </c>
      <c r="I400">
        <v>1241</v>
      </c>
      <c r="J400">
        <v>33539955414</v>
      </c>
      <c r="K400">
        <v>27190884</v>
      </c>
      <c r="L400">
        <f>(Table1[[#This Row],[CLOSE_PRICE]] - Table1[[#This Row],[PREV_CL_PR]]) / Table1[[#This Row],[PREV_CL_PR]] * 100</f>
        <v>-3.7155569432518862</v>
      </c>
      <c r="M400">
        <f>Table1[[#This Row],[HIGH_PRICE]]-Table1[[#This Row],[LOW_PRICE]]</f>
        <v>49.899999999999864</v>
      </c>
      <c r="N400" t="str">
        <f>IF(Table1[[#This Row],[CLOSE_PRICE]]&gt;Table1[[#This Row],[OPEN_PRICE]],"Gain","Loss")</f>
        <v>Loss</v>
      </c>
      <c r="O400" t="str">
        <f>IF(Table1[[#This Row],[MARKET_CAP]]&gt;200000000000,"Large Cap",
IF(Table1[[#This Row],[MARKET_CAP]]&gt;50000000000,"Mid Cap","Small Cap"))</f>
        <v>Small Cap</v>
      </c>
      <c r="P400" t="str">
        <f>IF(Table1[[#This Row],[NET_TRDQTY]]&gt;1000000,"High Volume","Low Volume")</f>
        <v>Low Volume</v>
      </c>
    </row>
    <row r="401" spans="1:16" x14ac:dyDescent="0.3">
      <c r="A401" t="s">
        <v>808</v>
      </c>
      <c r="B401" t="s">
        <v>809</v>
      </c>
      <c r="C401">
        <v>47.62</v>
      </c>
      <c r="D401">
        <v>47.62</v>
      </c>
      <c r="E401">
        <v>44.16</v>
      </c>
      <c r="F401">
        <v>44.42</v>
      </c>
      <c r="G401">
        <v>47.1</v>
      </c>
      <c r="H401">
        <v>125212</v>
      </c>
      <c r="I401">
        <v>1472</v>
      </c>
      <c r="J401">
        <v>2175502859</v>
      </c>
      <c r="K401">
        <v>48975751</v>
      </c>
      <c r="L401">
        <f>(Table1[[#This Row],[CLOSE_PRICE]] - Table1[[#This Row],[PREV_CL_PR]]) / Table1[[#This Row],[PREV_CL_PR]] * 100</f>
        <v>-5.6900212314225049</v>
      </c>
      <c r="M401">
        <f>Table1[[#This Row],[HIGH_PRICE]]-Table1[[#This Row],[LOW_PRICE]]</f>
        <v>3.4600000000000009</v>
      </c>
      <c r="N401" t="str">
        <f>IF(Table1[[#This Row],[CLOSE_PRICE]]&gt;Table1[[#This Row],[OPEN_PRICE]],"Gain","Loss")</f>
        <v>Loss</v>
      </c>
      <c r="O401" t="str">
        <f>IF(Table1[[#This Row],[MARKET_CAP]]&gt;200000000000,"Large Cap",
IF(Table1[[#This Row],[MARKET_CAP]]&gt;50000000000,"Mid Cap","Small Cap"))</f>
        <v>Small Cap</v>
      </c>
      <c r="P401" t="str">
        <f>IF(Table1[[#This Row],[NET_TRDQTY]]&gt;1000000,"High Volume","Low Volume")</f>
        <v>Low Volume</v>
      </c>
    </row>
    <row r="402" spans="1:16" x14ac:dyDescent="0.3">
      <c r="A402" t="s">
        <v>810</v>
      </c>
      <c r="B402" t="s">
        <v>811</v>
      </c>
      <c r="C402">
        <v>643.9</v>
      </c>
      <c r="D402">
        <v>643.9</v>
      </c>
      <c r="E402">
        <v>601</v>
      </c>
      <c r="F402">
        <v>634.70000000000005</v>
      </c>
      <c r="G402">
        <v>643.9</v>
      </c>
      <c r="H402">
        <v>205893</v>
      </c>
      <c r="I402">
        <v>13542</v>
      </c>
      <c r="J402">
        <v>155000000000</v>
      </c>
      <c r="K402">
        <v>244498273</v>
      </c>
      <c r="L402">
        <f>(Table1[[#This Row],[CLOSE_PRICE]] - Table1[[#This Row],[PREV_CL_PR]]) / Table1[[#This Row],[PREV_CL_PR]] * 100</f>
        <v>-1.4287932908836671</v>
      </c>
      <c r="M402">
        <f>Table1[[#This Row],[HIGH_PRICE]]-Table1[[#This Row],[LOW_PRICE]]</f>
        <v>42.899999999999977</v>
      </c>
      <c r="N402" t="str">
        <f>IF(Table1[[#This Row],[CLOSE_PRICE]]&gt;Table1[[#This Row],[OPEN_PRICE]],"Gain","Loss")</f>
        <v>Loss</v>
      </c>
      <c r="O402" t="str">
        <f>IF(Table1[[#This Row],[MARKET_CAP]]&gt;200000000000,"Large Cap",
IF(Table1[[#This Row],[MARKET_CAP]]&gt;50000000000,"Mid Cap","Small Cap"))</f>
        <v>Mid Cap</v>
      </c>
      <c r="P402" t="str">
        <f>IF(Table1[[#This Row],[NET_TRDQTY]]&gt;1000000,"High Volume","Low Volume")</f>
        <v>Low Volume</v>
      </c>
    </row>
    <row r="403" spans="1:16" x14ac:dyDescent="0.3">
      <c r="A403" t="s">
        <v>812</v>
      </c>
      <c r="B403" t="s">
        <v>813</v>
      </c>
      <c r="C403">
        <v>59.02</v>
      </c>
      <c r="D403">
        <v>59.31</v>
      </c>
      <c r="E403">
        <v>57.2</v>
      </c>
      <c r="F403">
        <v>57.67</v>
      </c>
      <c r="G403">
        <v>59.78</v>
      </c>
      <c r="H403">
        <v>151382</v>
      </c>
      <c r="I403">
        <v>1448</v>
      </c>
      <c r="J403">
        <v>21905520724</v>
      </c>
      <c r="K403">
        <v>379842565</v>
      </c>
      <c r="L403">
        <f>(Table1[[#This Row],[CLOSE_PRICE]] - Table1[[#This Row],[PREV_CL_PR]]) / Table1[[#This Row],[PREV_CL_PR]] * 100</f>
        <v>-3.5296085647373694</v>
      </c>
      <c r="M403">
        <f>Table1[[#This Row],[HIGH_PRICE]]-Table1[[#This Row],[LOW_PRICE]]</f>
        <v>2.1099999999999994</v>
      </c>
      <c r="N403" t="str">
        <f>IF(Table1[[#This Row],[CLOSE_PRICE]]&gt;Table1[[#This Row],[OPEN_PRICE]],"Gain","Loss")</f>
        <v>Loss</v>
      </c>
      <c r="O403" t="str">
        <f>IF(Table1[[#This Row],[MARKET_CAP]]&gt;200000000000,"Large Cap",
IF(Table1[[#This Row],[MARKET_CAP]]&gt;50000000000,"Mid Cap","Small Cap"))</f>
        <v>Small Cap</v>
      </c>
      <c r="P403" t="str">
        <f>IF(Table1[[#This Row],[NET_TRDQTY]]&gt;1000000,"High Volume","Low Volume")</f>
        <v>Low Volume</v>
      </c>
    </row>
    <row r="404" spans="1:16" x14ac:dyDescent="0.3">
      <c r="A404" t="s">
        <v>814</v>
      </c>
      <c r="B404" t="s">
        <v>815</v>
      </c>
      <c r="C404">
        <v>18.63</v>
      </c>
      <c r="D404">
        <v>18.87</v>
      </c>
      <c r="E404">
        <v>18.3</v>
      </c>
      <c r="F404">
        <v>18.36</v>
      </c>
      <c r="G404">
        <v>18.829999999999998</v>
      </c>
      <c r="H404">
        <v>52764</v>
      </c>
      <c r="I404">
        <v>364</v>
      </c>
      <c r="J404">
        <v>1541322000</v>
      </c>
      <c r="K404">
        <v>83950000</v>
      </c>
      <c r="L404">
        <f>(Table1[[#This Row],[CLOSE_PRICE]] - Table1[[#This Row],[PREV_CL_PR]]) / Table1[[#This Row],[PREV_CL_PR]] * 100</f>
        <v>-2.4960169941582526</v>
      </c>
      <c r="M404">
        <f>Table1[[#This Row],[HIGH_PRICE]]-Table1[[#This Row],[LOW_PRICE]]</f>
        <v>0.57000000000000028</v>
      </c>
      <c r="N404" t="str">
        <f>IF(Table1[[#This Row],[CLOSE_PRICE]]&gt;Table1[[#This Row],[OPEN_PRICE]],"Gain","Loss")</f>
        <v>Loss</v>
      </c>
      <c r="O404" t="str">
        <f>IF(Table1[[#This Row],[MARKET_CAP]]&gt;200000000000,"Large Cap",
IF(Table1[[#This Row],[MARKET_CAP]]&gt;50000000000,"Mid Cap","Small Cap"))</f>
        <v>Small Cap</v>
      </c>
      <c r="P404" t="str">
        <f>IF(Table1[[#This Row],[NET_TRDQTY]]&gt;1000000,"High Volume","Low Volume")</f>
        <v>Low Volume</v>
      </c>
    </row>
    <row r="405" spans="1:16" x14ac:dyDescent="0.3">
      <c r="A405" t="s">
        <v>816</v>
      </c>
      <c r="B405" t="s">
        <v>817</v>
      </c>
      <c r="C405">
        <v>52.64</v>
      </c>
      <c r="D405">
        <v>52.64</v>
      </c>
      <c r="E405">
        <v>45.27</v>
      </c>
      <c r="F405">
        <v>46.03</v>
      </c>
      <c r="G405">
        <v>52.64</v>
      </c>
      <c r="H405">
        <v>194432</v>
      </c>
      <c r="I405">
        <v>2363</v>
      </c>
      <c r="J405">
        <v>1355917125</v>
      </c>
      <c r="K405">
        <v>29457248</v>
      </c>
      <c r="L405">
        <f>(Table1[[#This Row],[CLOSE_PRICE]] - Table1[[#This Row],[PREV_CL_PR]]) / Table1[[#This Row],[PREV_CL_PR]] * 100</f>
        <v>-12.556990881458965</v>
      </c>
      <c r="M405">
        <f>Table1[[#This Row],[HIGH_PRICE]]-Table1[[#This Row],[LOW_PRICE]]</f>
        <v>7.3699999999999974</v>
      </c>
      <c r="N405" t="str">
        <f>IF(Table1[[#This Row],[CLOSE_PRICE]]&gt;Table1[[#This Row],[OPEN_PRICE]],"Gain","Loss")</f>
        <v>Loss</v>
      </c>
      <c r="O405" t="str">
        <f>IF(Table1[[#This Row],[MARKET_CAP]]&gt;200000000000,"Large Cap",
IF(Table1[[#This Row],[MARKET_CAP]]&gt;50000000000,"Mid Cap","Small Cap"))</f>
        <v>Small Cap</v>
      </c>
      <c r="P405" t="str">
        <f>IF(Table1[[#This Row],[NET_TRDQTY]]&gt;1000000,"High Volume","Low Volume")</f>
        <v>Low Volume</v>
      </c>
    </row>
    <row r="406" spans="1:16" x14ac:dyDescent="0.3">
      <c r="A406" t="s">
        <v>818</v>
      </c>
      <c r="B406" t="s">
        <v>819</v>
      </c>
      <c r="C406">
        <v>2770</v>
      </c>
      <c r="D406">
        <v>2776.8</v>
      </c>
      <c r="E406">
        <v>2688</v>
      </c>
      <c r="F406">
        <v>2714.4</v>
      </c>
      <c r="G406">
        <v>2806.1</v>
      </c>
      <c r="H406">
        <v>4616085</v>
      </c>
      <c r="I406">
        <v>159663</v>
      </c>
      <c r="J406">
        <v>1110000000000</v>
      </c>
      <c r="K406">
        <v>407884077</v>
      </c>
      <c r="L406">
        <f>(Table1[[#This Row],[CLOSE_PRICE]] - Table1[[#This Row],[PREV_CL_PR]]) / Table1[[#This Row],[PREV_CL_PR]] * 100</f>
        <v>-3.2678806885000475</v>
      </c>
      <c r="M406">
        <f>Table1[[#This Row],[HIGH_PRICE]]-Table1[[#This Row],[LOW_PRICE]]</f>
        <v>88.800000000000182</v>
      </c>
      <c r="N406" t="str">
        <f>IF(Table1[[#This Row],[CLOSE_PRICE]]&gt;Table1[[#This Row],[OPEN_PRICE]],"Gain","Loss")</f>
        <v>Loss</v>
      </c>
      <c r="O406" t="str">
        <f>IF(Table1[[#This Row],[MARKET_CAP]]&gt;200000000000,"Large Cap",
IF(Table1[[#This Row],[MARKET_CAP]]&gt;50000000000,"Mid Cap","Small Cap"))</f>
        <v>Large Cap</v>
      </c>
      <c r="P406" t="str">
        <f>IF(Table1[[#This Row],[NET_TRDQTY]]&gt;1000000,"High Volume","Low Volume")</f>
        <v>High Volume</v>
      </c>
    </row>
    <row r="407" spans="1:16" x14ac:dyDescent="0.3">
      <c r="A407" t="s">
        <v>820</v>
      </c>
      <c r="B407" t="s">
        <v>821</v>
      </c>
      <c r="C407">
        <v>78.430000000000007</v>
      </c>
      <c r="D407">
        <v>78.7</v>
      </c>
      <c r="E407">
        <v>75.650000000000006</v>
      </c>
      <c r="F407">
        <v>76.489999999999995</v>
      </c>
      <c r="G407">
        <v>78.430000000000007</v>
      </c>
      <c r="H407">
        <v>9978</v>
      </c>
      <c r="I407">
        <v>173</v>
      </c>
      <c r="J407">
        <v>8026652547</v>
      </c>
      <c r="K407">
        <v>104937280</v>
      </c>
      <c r="L407">
        <f>(Table1[[#This Row],[CLOSE_PRICE]] - Table1[[#This Row],[PREV_CL_PR]]) / Table1[[#This Row],[PREV_CL_PR]] * 100</f>
        <v>-2.473543287007538</v>
      </c>
      <c r="M407">
        <f>Table1[[#This Row],[HIGH_PRICE]]-Table1[[#This Row],[LOW_PRICE]]</f>
        <v>3.0499999999999972</v>
      </c>
      <c r="N407" t="str">
        <f>IF(Table1[[#This Row],[CLOSE_PRICE]]&gt;Table1[[#This Row],[OPEN_PRICE]],"Gain","Loss")</f>
        <v>Loss</v>
      </c>
      <c r="O407" t="str">
        <f>IF(Table1[[#This Row],[MARKET_CAP]]&gt;200000000000,"Large Cap",
IF(Table1[[#This Row],[MARKET_CAP]]&gt;50000000000,"Mid Cap","Small Cap"))</f>
        <v>Small Cap</v>
      </c>
      <c r="P407" t="str">
        <f>IF(Table1[[#This Row],[NET_TRDQTY]]&gt;1000000,"High Volume","Low Volume")</f>
        <v>Low Volume</v>
      </c>
    </row>
    <row r="408" spans="1:16" x14ac:dyDescent="0.3">
      <c r="A408" t="s">
        <v>822</v>
      </c>
      <c r="B408" t="s">
        <v>823</v>
      </c>
      <c r="C408">
        <v>126.89</v>
      </c>
      <c r="D408">
        <v>126.89</v>
      </c>
      <c r="E408">
        <v>111.9</v>
      </c>
      <c r="F408">
        <v>115.72</v>
      </c>
      <c r="G408">
        <v>123.36</v>
      </c>
      <c r="H408">
        <v>7735</v>
      </c>
      <c r="I408">
        <v>258</v>
      </c>
      <c r="J408">
        <v>1191009681</v>
      </c>
      <c r="K408">
        <v>10292168</v>
      </c>
      <c r="L408">
        <f>(Table1[[#This Row],[CLOSE_PRICE]] - Table1[[#This Row],[PREV_CL_PR]]) / Table1[[#This Row],[PREV_CL_PR]] * 100</f>
        <v>-6.1932555123216604</v>
      </c>
      <c r="M408">
        <f>Table1[[#This Row],[HIGH_PRICE]]-Table1[[#This Row],[LOW_PRICE]]</f>
        <v>14.989999999999995</v>
      </c>
      <c r="N408" t="str">
        <f>IF(Table1[[#This Row],[CLOSE_PRICE]]&gt;Table1[[#This Row],[OPEN_PRICE]],"Gain","Loss")</f>
        <v>Loss</v>
      </c>
      <c r="O408" t="str">
        <f>IF(Table1[[#This Row],[MARKET_CAP]]&gt;200000000000,"Large Cap",
IF(Table1[[#This Row],[MARKET_CAP]]&gt;50000000000,"Mid Cap","Small Cap"))</f>
        <v>Small Cap</v>
      </c>
      <c r="P408" t="str">
        <f>IF(Table1[[#This Row],[NET_TRDQTY]]&gt;1000000,"High Volume","Low Volume")</f>
        <v>Low Volume</v>
      </c>
    </row>
    <row r="409" spans="1:16" x14ac:dyDescent="0.3">
      <c r="A409" t="s">
        <v>824</v>
      </c>
      <c r="B409" t="s">
        <v>825</v>
      </c>
      <c r="C409">
        <v>355.55</v>
      </c>
      <c r="D409">
        <v>356.5</v>
      </c>
      <c r="E409">
        <v>337.05</v>
      </c>
      <c r="F409">
        <v>339.2</v>
      </c>
      <c r="G409">
        <v>358.05</v>
      </c>
      <c r="H409">
        <v>1086249</v>
      </c>
      <c r="I409">
        <v>28501</v>
      </c>
      <c r="J409">
        <v>94531710752</v>
      </c>
      <c r="K409">
        <v>278690185</v>
      </c>
      <c r="L409">
        <f>(Table1[[#This Row],[CLOSE_PRICE]] - Table1[[#This Row],[PREV_CL_PR]]) / Table1[[#This Row],[PREV_CL_PR]] * 100</f>
        <v>-5.2646278452730133</v>
      </c>
      <c r="M409">
        <f>Table1[[#This Row],[HIGH_PRICE]]-Table1[[#This Row],[LOW_PRICE]]</f>
        <v>19.449999999999989</v>
      </c>
      <c r="N409" t="str">
        <f>IF(Table1[[#This Row],[CLOSE_PRICE]]&gt;Table1[[#This Row],[OPEN_PRICE]],"Gain","Loss")</f>
        <v>Loss</v>
      </c>
      <c r="O409" t="str">
        <f>IF(Table1[[#This Row],[MARKET_CAP]]&gt;200000000000,"Large Cap",
IF(Table1[[#This Row],[MARKET_CAP]]&gt;50000000000,"Mid Cap","Small Cap"))</f>
        <v>Mid Cap</v>
      </c>
      <c r="P409" t="str">
        <f>IF(Table1[[#This Row],[NET_TRDQTY]]&gt;1000000,"High Volume","Low Volume")</f>
        <v>High Volume</v>
      </c>
    </row>
    <row r="410" spans="1:16" x14ac:dyDescent="0.3">
      <c r="A410" t="s">
        <v>826</v>
      </c>
      <c r="B410" t="s">
        <v>827</v>
      </c>
      <c r="C410">
        <v>6.49</v>
      </c>
      <c r="D410">
        <v>6.49</v>
      </c>
      <c r="E410">
        <v>5.62</v>
      </c>
      <c r="F410">
        <v>5.87</v>
      </c>
      <c r="G410">
        <v>6.47</v>
      </c>
      <c r="H410">
        <v>1007356</v>
      </c>
      <c r="I410">
        <v>957</v>
      </c>
      <c r="J410">
        <v>1059521951</v>
      </c>
      <c r="K410">
        <v>180497777</v>
      </c>
      <c r="L410">
        <f>(Table1[[#This Row],[CLOSE_PRICE]] - Table1[[#This Row],[PREV_CL_PR]]) / Table1[[#This Row],[PREV_CL_PR]] * 100</f>
        <v>-9.2735703245749566</v>
      </c>
      <c r="M410">
        <f>Table1[[#This Row],[HIGH_PRICE]]-Table1[[#This Row],[LOW_PRICE]]</f>
        <v>0.87000000000000011</v>
      </c>
      <c r="N410" t="str">
        <f>IF(Table1[[#This Row],[CLOSE_PRICE]]&gt;Table1[[#This Row],[OPEN_PRICE]],"Gain","Loss")</f>
        <v>Loss</v>
      </c>
      <c r="O410" t="str">
        <f>IF(Table1[[#This Row],[MARKET_CAP]]&gt;200000000000,"Large Cap",
IF(Table1[[#This Row],[MARKET_CAP]]&gt;50000000000,"Mid Cap","Small Cap"))</f>
        <v>Small Cap</v>
      </c>
      <c r="P410" t="str">
        <f>IF(Table1[[#This Row],[NET_TRDQTY]]&gt;1000000,"High Volume","Low Volume")</f>
        <v>High Volume</v>
      </c>
    </row>
    <row r="411" spans="1:16" x14ac:dyDescent="0.3">
      <c r="A411" t="s">
        <v>828</v>
      </c>
      <c r="B411" t="s">
        <v>829</v>
      </c>
      <c r="C411">
        <v>949.7</v>
      </c>
      <c r="D411">
        <v>949.7</v>
      </c>
      <c r="E411">
        <v>901.2</v>
      </c>
      <c r="F411">
        <v>916.55</v>
      </c>
      <c r="G411">
        <v>945.65</v>
      </c>
      <c r="H411">
        <v>154736</v>
      </c>
      <c r="I411">
        <v>2641</v>
      </c>
      <c r="J411">
        <v>22225719745</v>
      </c>
      <c r="K411">
        <v>24249326</v>
      </c>
      <c r="L411">
        <f>(Table1[[#This Row],[CLOSE_PRICE]] - Table1[[#This Row],[PREV_CL_PR]]) / Table1[[#This Row],[PREV_CL_PR]] * 100</f>
        <v>-3.0772484534447231</v>
      </c>
      <c r="M411">
        <f>Table1[[#This Row],[HIGH_PRICE]]-Table1[[#This Row],[LOW_PRICE]]</f>
        <v>48.5</v>
      </c>
      <c r="N411" t="str">
        <f>IF(Table1[[#This Row],[CLOSE_PRICE]]&gt;Table1[[#This Row],[OPEN_PRICE]],"Gain","Loss")</f>
        <v>Loss</v>
      </c>
      <c r="O411" t="str">
        <f>IF(Table1[[#This Row],[MARKET_CAP]]&gt;200000000000,"Large Cap",
IF(Table1[[#This Row],[MARKET_CAP]]&gt;50000000000,"Mid Cap","Small Cap"))</f>
        <v>Small Cap</v>
      </c>
      <c r="P411" t="str">
        <f>IF(Table1[[#This Row],[NET_TRDQTY]]&gt;1000000,"High Volume","Low Volume")</f>
        <v>Low Volume</v>
      </c>
    </row>
    <row r="412" spans="1:16" x14ac:dyDescent="0.3">
      <c r="A412" t="s">
        <v>830</v>
      </c>
      <c r="B412" t="s">
        <v>831</v>
      </c>
      <c r="C412">
        <v>633</v>
      </c>
      <c r="D412">
        <v>703</v>
      </c>
      <c r="E412">
        <v>605.1</v>
      </c>
      <c r="F412">
        <v>627.25</v>
      </c>
      <c r="G412">
        <v>640.85</v>
      </c>
      <c r="H412">
        <v>1506667</v>
      </c>
      <c r="I412">
        <v>53707</v>
      </c>
      <c r="J412">
        <v>11214948365</v>
      </c>
      <c r="K412">
        <v>17879551</v>
      </c>
      <c r="L412">
        <f>(Table1[[#This Row],[CLOSE_PRICE]] - Table1[[#This Row],[PREV_CL_PR]]) / Table1[[#This Row],[PREV_CL_PR]] * 100</f>
        <v>-2.1221814777249</v>
      </c>
      <c r="M412">
        <f>Table1[[#This Row],[HIGH_PRICE]]-Table1[[#This Row],[LOW_PRICE]]</f>
        <v>97.899999999999977</v>
      </c>
      <c r="N412" t="str">
        <f>IF(Table1[[#This Row],[CLOSE_PRICE]]&gt;Table1[[#This Row],[OPEN_PRICE]],"Gain","Loss")</f>
        <v>Loss</v>
      </c>
      <c r="O412" t="str">
        <f>IF(Table1[[#This Row],[MARKET_CAP]]&gt;200000000000,"Large Cap",
IF(Table1[[#This Row],[MARKET_CAP]]&gt;50000000000,"Mid Cap","Small Cap"))</f>
        <v>Small Cap</v>
      </c>
      <c r="P412" t="str">
        <f>IF(Table1[[#This Row],[NET_TRDQTY]]&gt;1000000,"High Volume","Low Volume")</f>
        <v>High Volume</v>
      </c>
    </row>
    <row r="413" spans="1:16" x14ac:dyDescent="0.3">
      <c r="A413" t="s">
        <v>832</v>
      </c>
      <c r="B413" t="s">
        <v>833</v>
      </c>
      <c r="C413">
        <v>39.85</v>
      </c>
      <c r="D413">
        <v>39.85</v>
      </c>
      <c r="E413">
        <v>37</v>
      </c>
      <c r="F413">
        <v>37.53</v>
      </c>
      <c r="G413">
        <v>39.44</v>
      </c>
      <c r="H413">
        <v>8918</v>
      </c>
      <c r="I413">
        <v>181</v>
      </c>
      <c r="J413">
        <v>831664800</v>
      </c>
      <c r="K413">
        <v>22160000</v>
      </c>
      <c r="L413">
        <f>(Table1[[#This Row],[CLOSE_PRICE]] - Table1[[#This Row],[PREV_CL_PR]]) / Table1[[#This Row],[PREV_CL_PR]] * 100</f>
        <v>-4.8427991886409654</v>
      </c>
      <c r="M413">
        <f>Table1[[#This Row],[HIGH_PRICE]]-Table1[[#This Row],[LOW_PRICE]]</f>
        <v>2.8500000000000014</v>
      </c>
      <c r="N413" t="str">
        <f>IF(Table1[[#This Row],[CLOSE_PRICE]]&gt;Table1[[#This Row],[OPEN_PRICE]],"Gain","Loss")</f>
        <v>Loss</v>
      </c>
      <c r="O413" t="str">
        <f>IF(Table1[[#This Row],[MARKET_CAP]]&gt;200000000000,"Large Cap",
IF(Table1[[#This Row],[MARKET_CAP]]&gt;50000000000,"Mid Cap","Small Cap"))</f>
        <v>Small Cap</v>
      </c>
      <c r="P413" t="str">
        <f>IF(Table1[[#This Row],[NET_TRDQTY]]&gt;1000000,"High Volume","Low Volume")</f>
        <v>Low Volume</v>
      </c>
    </row>
    <row r="414" spans="1:16" x14ac:dyDescent="0.3">
      <c r="A414" t="s">
        <v>834</v>
      </c>
      <c r="B414" t="s">
        <v>835</v>
      </c>
      <c r="C414">
        <v>32.1</v>
      </c>
      <c r="D414">
        <v>32.99</v>
      </c>
      <c r="E414">
        <v>27.76</v>
      </c>
      <c r="F414">
        <v>28.92</v>
      </c>
      <c r="G414">
        <v>32.880000000000003</v>
      </c>
      <c r="H414">
        <v>369456</v>
      </c>
      <c r="I414">
        <v>3237</v>
      </c>
      <c r="J414">
        <v>1511917356</v>
      </c>
      <c r="K414">
        <v>52279300</v>
      </c>
      <c r="L414">
        <f>(Table1[[#This Row],[CLOSE_PRICE]] - Table1[[#This Row],[PREV_CL_PR]]) / Table1[[#This Row],[PREV_CL_PR]] * 100</f>
        <v>-12.043795620437958</v>
      </c>
      <c r="M414">
        <f>Table1[[#This Row],[HIGH_PRICE]]-Table1[[#This Row],[LOW_PRICE]]</f>
        <v>5.23</v>
      </c>
      <c r="N414" t="str">
        <f>IF(Table1[[#This Row],[CLOSE_PRICE]]&gt;Table1[[#This Row],[OPEN_PRICE]],"Gain","Loss")</f>
        <v>Loss</v>
      </c>
      <c r="O414" t="str">
        <f>IF(Table1[[#This Row],[MARKET_CAP]]&gt;200000000000,"Large Cap",
IF(Table1[[#This Row],[MARKET_CAP]]&gt;50000000000,"Mid Cap","Small Cap"))</f>
        <v>Small Cap</v>
      </c>
      <c r="P414" t="str">
        <f>IF(Table1[[#This Row],[NET_TRDQTY]]&gt;1000000,"High Volume","Low Volume")</f>
        <v>Low Volume</v>
      </c>
    </row>
    <row r="415" spans="1:16" x14ac:dyDescent="0.3">
      <c r="A415" t="s">
        <v>836</v>
      </c>
      <c r="B415" t="s">
        <v>837</v>
      </c>
      <c r="C415">
        <v>12.9</v>
      </c>
      <c r="D415">
        <v>12.9</v>
      </c>
      <c r="E415">
        <v>11.98</v>
      </c>
      <c r="F415">
        <v>12</v>
      </c>
      <c r="G415">
        <v>12.68</v>
      </c>
      <c r="H415">
        <v>20998</v>
      </c>
      <c r="I415">
        <v>261</v>
      </c>
      <c r="J415">
        <v>185485272</v>
      </c>
      <c r="K415">
        <v>15457106</v>
      </c>
      <c r="L415">
        <f>(Table1[[#This Row],[CLOSE_PRICE]] - Table1[[#This Row],[PREV_CL_PR]]) / Table1[[#This Row],[PREV_CL_PR]] * 100</f>
        <v>-5.3627760252365908</v>
      </c>
      <c r="M415">
        <f>Table1[[#This Row],[HIGH_PRICE]]-Table1[[#This Row],[LOW_PRICE]]</f>
        <v>0.91999999999999993</v>
      </c>
      <c r="N415" t="str">
        <f>IF(Table1[[#This Row],[CLOSE_PRICE]]&gt;Table1[[#This Row],[OPEN_PRICE]],"Gain","Loss")</f>
        <v>Loss</v>
      </c>
      <c r="O415" t="str">
        <f>IF(Table1[[#This Row],[MARKET_CAP]]&gt;200000000000,"Large Cap",
IF(Table1[[#This Row],[MARKET_CAP]]&gt;50000000000,"Mid Cap","Small Cap"))</f>
        <v>Small Cap</v>
      </c>
      <c r="P415" t="str">
        <f>IF(Table1[[#This Row],[NET_TRDQTY]]&gt;1000000,"High Volume","Low Volume")</f>
        <v>Low Volume</v>
      </c>
    </row>
    <row r="416" spans="1:16" x14ac:dyDescent="0.3">
      <c r="A416" t="s">
        <v>838</v>
      </c>
      <c r="B416" t="s">
        <v>839</v>
      </c>
      <c r="C416">
        <v>117</v>
      </c>
      <c r="D416">
        <v>118.04</v>
      </c>
      <c r="E416">
        <v>110</v>
      </c>
      <c r="F416">
        <v>110.69</v>
      </c>
      <c r="G416">
        <v>118.71</v>
      </c>
      <c r="H416">
        <v>529040</v>
      </c>
      <c r="I416">
        <v>9586</v>
      </c>
      <c r="J416">
        <v>21262067193</v>
      </c>
      <c r="K416">
        <v>192086613</v>
      </c>
      <c r="L416">
        <f>(Table1[[#This Row],[CLOSE_PRICE]] - Table1[[#This Row],[PREV_CL_PR]]) / Table1[[#This Row],[PREV_CL_PR]] * 100</f>
        <v>-6.7559599022828714</v>
      </c>
      <c r="M416">
        <f>Table1[[#This Row],[HIGH_PRICE]]-Table1[[#This Row],[LOW_PRICE]]</f>
        <v>8.0400000000000063</v>
      </c>
      <c r="N416" t="str">
        <f>IF(Table1[[#This Row],[CLOSE_PRICE]]&gt;Table1[[#This Row],[OPEN_PRICE]],"Gain","Loss")</f>
        <v>Loss</v>
      </c>
      <c r="O416" t="str">
        <f>IF(Table1[[#This Row],[MARKET_CAP]]&gt;200000000000,"Large Cap",
IF(Table1[[#This Row],[MARKET_CAP]]&gt;50000000000,"Mid Cap","Small Cap"))</f>
        <v>Small Cap</v>
      </c>
      <c r="P416" t="str">
        <f>IF(Table1[[#This Row],[NET_TRDQTY]]&gt;1000000,"High Volume","Low Volume")</f>
        <v>Low Volume</v>
      </c>
    </row>
    <row r="417" spans="1:16" x14ac:dyDescent="0.3">
      <c r="A417" t="s">
        <v>840</v>
      </c>
      <c r="B417" t="s">
        <v>841</v>
      </c>
      <c r="C417">
        <v>221</v>
      </c>
      <c r="D417">
        <v>222.9</v>
      </c>
      <c r="E417">
        <v>216.7</v>
      </c>
      <c r="F417">
        <v>219.15</v>
      </c>
      <c r="G417">
        <v>225</v>
      </c>
      <c r="H417">
        <v>265443</v>
      </c>
      <c r="I417">
        <v>10755</v>
      </c>
      <c r="J417">
        <v>66956972258</v>
      </c>
      <c r="K417">
        <v>305530332</v>
      </c>
      <c r="L417">
        <f>(Table1[[#This Row],[CLOSE_PRICE]] - Table1[[#This Row],[PREV_CL_PR]]) / Table1[[#This Row],[PREV_CL_PR]] * 100</f>
        <v>-2.5999999999999974</v>
      </c>
      <c r="M417">
        <f>Table1[[#This Row],[HIGH_PRICE]]-Table1[[#This Row],[LOW_PRICE]]</f>
        <v>6.2000000000000171</v>
      </c>
      <c r="N417" t="str">
        <f>IF(Table1[[#This Row],[CLOSE_PRICE]]&gt;Table1[[#This Row],[OPEN_PRICE]],"Gain","Loss")</f>
        <v>Loss</v>
      </c>
      <c r="O417" t="str">
        <f>IF(Table1[[#This Row],[MARKET_CAP]]&gt;200000000000,"Large Cap",
IF(Table1[[#This Row],[MARKET_CAP]]&gt;50000000000,"Mid Cap","Small Cap"))</f>
        <v>Mid Cap</v>
      </c>
      <c r="P417" t="str">
        <f>IF(Table1[[#This Row],[NET_TRDQTY]]&gt;1000000,"High Volume","Low Volume")</f>
        <v>Low Volume</v>
      </c>
    </row>
    <row r="418" spans="1:16" x14ac:dyDescent="0.3">
      <c r="A418" t="s">
        <v>842</v>
      </c>
      <c r="B418" t="s">
        <v>843</v>
      </c>
      <c r="C418">
        <v>636</v>
      </c>
      <c r="D418">
        <v>638.04999999999995</v>
      </c>
      <c r="E418">
        <v>611.4</v>
      </c>
      <c r="F418">
        <v>622.45000000000005</v>
      </c>
      <c r="G418">
        <v>640.70000000000005</v>
      </c>
      <c r="H418">
        <v>1805078</v>
      </c>
      <c r="I418">
        <v>48633</v>
      </c>
      <c r="J418">
        <v>154000000000</v>
      </c>
      <c r="K418">
        <v>247650635</v>
      </c>
      <c r="L418">
        <f>(Table1[[#This Row],[CLOSE_PRICE]] - Table1[[#This Row],[PREV_CL_PR]]) / Table1[[#This Row],[PREV_CL_PR]] * 100</f>
        <v>-2.8484470110816291</v>
      </c>
      <c r="M418">
        <f>Table1[[#This Row],[HIGH_PRICE]]-Table1[[#This Row],[LOW_PRICE]]</f>
        <v>26.649999999999977</v>
      </c>
      <c r="N418" t="str">
        <f>IF(Table1[[#This Row],[CLOSE_PRICE]]&gt;Table1[[#This Row],[OPEN_PRICE]],"Gain","Loss")</f>
        <v>Loss</v>
      </c>
      <c r="O418" t="str">
        <f>IF(Table1[[#This Row],[MARKET_CAP]]&gt;200000000000,"Large Cap",
IF(Table1[[#This Row],[MARKET_CAP]]&gt;50000000000,"Mid Cap","Small Cap"))</f>
        <v>Mid Cap</v>
      </c>
      <c r="P418" t="str">
        <f>IF(Table1[[#This Row],[NET_TRDQTY]]&gt;1000000,"High Volume","Low Volume")</f>
        <v>High Volume</v>
      </c>
    </row>
    <row r="419" spans="1:16" x14ac:dyDescent="0.3">
      <c r="A419" t="s">
        <v>844</v>
      </c>
      <c r="B419" t="s">
        <v>845</v>
      </c>
      <c r="C419">
        <v>810</v>
      </c>
      <c r="D419">
        <v>834</v>
      </c>
      <c r="E419">
        <v>772</v>
      </c>
      <c r="F419">
        <v>821.05</v>
      </c>
      <c r="G419">
        <v>820.3</v>
      </c>
      <c r="H419">
        <v>146080</v>
      </c>
      <c r="I419">
        <v>12661</v>
      </c>
      <c r="J419">
        <v>109000000000</v>
      </c>
      <c r="K419">
        <v>133154125</v>
      </c>
      <c r="L419">
        <f>(Table1[[#This Row],[CLOSE_PRICE]] - Table1[[#This Row],[PREV_CL_PR]]) / Table1[[#This Row],[PREV_CL_PR]] * 100</f>
        <v>9.142996464708035E-2</v>
      </c>
      <c r="M419">
        <f>Table1[[#This Row],[HIGH_PRICE]]-Table1[[#This Row],[LOW_PRICE]]</f>
        <v>62</v>
      </c>
      <c r="N419" t="str">
        <f>IF(Table1[[#This Row],[CLOSE_PRICE]]&gt;Table1[[#This Row],[OPEN_PRICE]],"Gain","Loss")</f>
        <v>Gain</v>
      </c>
      <c r="O419" t="str">
        <f>IF(Table1[[#This Row],[MARKET_CAP]]&gt;200000000000,"Large Cap",
IF(Table1[[#This Row],[MARKET_CAP]]&gt;50000000000,"Mid Cap","Small Cap"))</f>
        <v>Mid Cap</v>
      </c>
      <c r="P419" t="str">
        <f>IF(Table1[[#This Row],[NET_TRDQTY]]&gt;1000000,"High Volume","Low Volume")</f>
        <v>Low Volume</v>
      </c>
    </row>
    <row r="420" spans="1:16" x14ac:dyDescent="0.3">
      <c r="A420" t="s">
        <v>846</v>
      </c>
      <c r="B420" t="s">
        <v>847</v>
      </c>
      <c r="C420">
        <v>145.02000000000001</v>
      </c>
      <c r="D420">
        <v>145.15</v>
      </c>
      <c r="E420">
        <v>140</v>
      </c>
      <c r="F420">
        <v>141.02000000000001</v>
      </c>
      <c r="G420">
        <v>145.66</v>
      </c>
      <c r="H420">
        <v>407992</v>
      </c>
      <c r="I420">
        <v>13353</v>
      </c>
      <c r="J420">
        <v>134000000000</v>
      </c>
      <c r="K420">
        <v>950000000</v>
      </c>
      <c r="L420">
        <f>(Table1[[#This Row],[CLOSE_PRICE]] - Table1[[#This Row],[PREV_CL_PR]]) / Table1[[#This Row],[PREV_CL_PR]] * 100</f>
        <v>-3.1855004805711835</v>
      </c>
      <c r="M420">
        <f>Table1[[#This Row],[HIGH_PRICE]]-Table1[[#This Row],[LOW_PRICE]]</f>
        <v>5.1500000000000057</v>
      </c>
      <c r="N420" t="str">
        <f>IF(Table1[[#This Row],[CLOSE_PRICE]]&gt;Table1[[#This Row],[OPEN_PRICE]],"Gain","Loss")</f>
        <v>Loss</v>
      </c>
      <c r="O420" t="str">
        <f>IF(Table1[[#This Row],[MARKET_CAP]]&gt;200000000000,"Large Cap",
IF(Table1[[#This Row],[MARKET_CAP]]&gt;50000000000,"Mid Cap","Small Cap"))</f>
        <v>Mid Cap</v>
      </c>
      <c r="P420" t="str">
        <f>IF(Table1[[#This Row],[NET_TRDQTY]]&gt;1000000,"High Volume","Low Volume")</f>
        <v>Low Volume</v>
      </c>
    </row>
    <row r="421" spans="1:16" x14ac:dyDescent="0.3">
      <c r="A421" t="s">
        <v>848</v>
      </c>
      <c r="B421" t="s">
        <v>849</v>
      </c>
      <c r="C421">
        <v>235.8</v>
      </c>
      <c r="D421">
        <v>235.8</v>
      </c>
      <c r="E421">
        <v>221</v>
      </c>
      <c r="F421">
        <v>223.45</v>
      </c>
      <c r="G421">
        <v>237.05</v>
      </c>
      <c r="H421">
        <v>233579</v>
      </c>
      <c r="I421">
        <v>2954</v>
      </c>
      <c r="J421">
        <v>18688920038</v>
      </c>
      <c r="K421">
        <v>83638040</v>
      </c>
      <c r="L421">
        <f>(Table1[[#This Row],[CLOSE_PRICE]] - Table1[[#This Row],[PREV_CL_PR]]) / Table1[[#This Row],[PREV_CL_PR]] * 100</f>
        <v>-5.7371862476270925</v>
      </c>
      <c r="M421">
        <f>Table1[[#This Row],[HIGH_PRICE]]-Table1[[#This Row],[LOW_PRICE]]</f>
        <v>14.800000000000011</v>
      </c>
      <c r="N421" t="str">
        <f>IF(Table1[[#This Row],[CLOSE_PRICE]]&gt;Table1[[#This Row],[OPEN_PRICE]],"Gain","Loss")</f>
        <v>Loss</v>
      </c>
      <c r="O421" t="str">
        <f>IF(Table1[[#This Row],[MARKET_CAP]]&gt;200000000000,"Large Cap",
IF(Table1[[#This Row],[MARKET_CAP]]&gt;50000000000,"Mid Cap","Small Cap"))</f>
        <v>Small Cap</v>
      </c>
      <c r="P421" t="str">
        <f>IF(Table1[[#This Row],[NET_TRDQTY]]&gt;1000000,"High Volume","Low Volume")</f>
        <v>Low Volume</v>
      </c>
    </row>
    <row r="422" spans="1:16" x14ac:dyDescent="0.3">
      <c r="A422" t="s">
        <v>850</v>
      </c>
      <c r="B422" t="s">
        <v>851</v>
      </c>
      <c r="C422">
        <v>218</v>
      </c>
      <c r="D422">
        <v>219.27</v>
      </c>
      <c r="E422">
        <v>208.1</v>
      </c>
      <c r="F422">
        <v>210.48</v>
      </c>
      <c r="G422">
        <v>223.88</v>
      </c>
      <c r="H422">
        <v>774306</v>
      </c>
      <c r="I422">
        <v>10918</v>
      </c>
      <c r="J422">
        <v>17807458971</v>
      </c>
      <c r="K422">
        <v>84604043</v>
      </c>
      <c r="L422">
        <f>(Table1[[#This Row],[CLOSE_PRICE]] - Table1[[#This Row],[PREV_CL_PR]]) / Table1[[#This Row],[PREV_CL_PR]] * 100</f>
        <v>-5.985349294264787</v>
      </c>
      <c r="M422">
        <f>Table1[[#This Row],[HIGH_PRICE]]-Table1[[#This Row],[LOW_PRICE]]</f>
        <v>11.170000000000016</v>
      </c>
      <c r="N422" t="str">
        <f>IF(Table1[[#This Row],[CLOSE_PRICE]]&gt;Table1[[#This Row],[OPEN_PRICE]],"Gain","Loss")</f>
        <v>Loss</v>
      </c>
      <c r="O422" t="str">
        <f>IF(Table1[[#This Row],[MARKET_CAP]]&gt;200000000000,"Large Cap",
IF(Table1[[#This Row],[MARKET_CAP]]&gt;50000000000,"Mid Cap","Small Cap"))</f>
        <v>Small Cap</v>
      </c>
      <c r="P422" t="str">
        <f>IF(Table1[[#This Row],[NET_TRDQTY]]&gt;1000000,"High Volume","Low Volume")</f>
        <v>Low Volume</v>
      </c>
    </row>
    <row r="423" spans="1:16" x14ac:dyDescent="0.3">
      <c r="A423" t="s">
        <v>852</v>
      </c>
      <c r="B423" t="s">
        <v>853</v>
      </c>
      <c r="C423">
        <v>509.95</v>
      </c>
      <c r="D423">
        <v>509.95</v>
      </c>
      <c r="E423">
        <v>471.5</v>
      </c>
      <c r="F423">
        <v>475.8</v>
      </c>
      <c r="G423">
        <v>507.4</v>
      </c>
      <c r="H423">
        <v>44570</v>
      </c>
      <c r="I423">
        <v>1576</v>
      </c>
      <c r="J423">
        <v>37736541593</v>
      </c>
      <c r="K423">
        <v>79311773</v>
      </c>
      <c r="L423">
        <f>(Table1[[#This Row],[CLOSE_PRICE]] - Table1[[#This Row],[PREV_CL_PR]]) / Table1[[#This Row],[PREV_CL_PR]] * 100</f>
        <v>-6.2278281434765406</v>
      </c>
      <c r="M423">
        <f>Table1[[#This Row],[HIGH_PRICE]]-Table1[[#This Row],[LOW_PRICE]]</f>
        <v>38.449999999999989</v>
      </c>
      <c r="N423" t="str">
        <f>IF(Table1[[#This Row],[CLOSE_PRICE]]&gt;Table1[[#This Row],[OPEN_PRICE]],"Gain","Loss")</f>
        <v>Loss</v>
      </c>
      <c r="O423" t="str">
        <f>IF(Table1[[#This Row],[MARKET_CAP]]&gt;200000000000,"Large Cap",
IF(Table1[[#This Row],[MARKET_CAP]]&gt;50000000000,"Mid Cap","Small Cap"))</f>
        <v>Small Cap</v>
      </c>
      <c r="P423" t="str">
        <f>IF(Table1[[#This Row],[NET_TRDQTY]]&gt;1000000,"High Volume","Low Volume")</f>
        <v>Low Volume</v>
      </c>
    </row>
    <row r="424" spans="1:16" x14ac:dyDescent="0.3">
      <c r="A424" t="s">
        <v>854</v>
      </c>
      <c r="B424" t="s">
        <v>855</v>
      </c>
      <c r="C424">
        <v>237</v>
      </c>
      <c r="D424">
        <v>237.9</v>
      </c>
      <c r="E424">
        <v>222.8</v>
      </c>
      <c r="F424">
        <v>223.15</v>
      </c>
      <c r="G424">
        <v>240.05</v>
      </c>
      <c r="H424">
        <v>102952</v>
      </c>
      <c r="I424">
        <v>1725</v>
      </c>
      <c r="J424">
        <v>10135198749</v>
      </c>
      <c r="K424">
        <v>45418771</v>
      </c>
      <c r="L424">
        <f>(Table1[[#This Row],[CLOSE_PRICE]] - Table1[[#This Row],[PREV_CL_PR]]) / Table1[[#This Row],[PREV_CL_PR]] * 100</f>
        <v>-7.0401999583420141</v>
      </c>
      <c r="M424">
        <f>Table1[[#This Row],[HIGH_PRICE]]-Table1[[#This Row],[LOW_PRICE]]</f>
        <v>15.099999999999994</v>
      </c>
      <c r="N424" t="str">
        <f>IF(Table1[[#This Row],[CLOSE_PRICE]]&gt;Table1[[#This Row],[OPEN_PRICE]],"Gain","Loss")</f>
        <v>Loss</v>
      </c>
      <c r="O424" t="str">
        <f>IF(Table1[[#This Row],[MARKET_CAP]]&gt;200000000000,"Large Cap",
IF(Table1[[#This Row],[MARKET_CAP]]&gt;50000000000,"Mid Cap","Small Cap"))</f>
        <v>Small Cap</v>
      </c>
      <c r="P424" t="str">
        <f>IF(Table1[[#This Row],[NET_TRDQTY]]&gt;1000000,"High Volume","Low Volume")</f>
        <v>Low Volume</v>
      </c>
    </row>
    <row r="425" spans="1:16" x14ac:dyDescent="0.3">
      <c r="A425" t="s">
        <v>856</v>
      </c>
      <c r="B425" t="s">
        <v>857</v>
      </c>
      <c r="C425">
        <v>1600</v>
      </c>
      <c r="D425">
        <v>1604.1</v>
      </c>
      <c r="E425">
        <v>1555.2</v>
      </c>
      <c r="F425">
        <v>1560.3</v>
      </c>
      <c r="G425">
        <v>1604.1</v>
      </c>
      <c r="H425">
        <v>101864</v>
      </c>
      <c r="I425">
        <v>10189</v>
      </c>
      <c r="J425">
        <v>119000000000</v>
      </c>
      <c r="K425">
        <v>76011696</v>
      </c>
      <c r="L425">
        <f>(Table1[[#This Row],[CLOSE_PRICE]] - Table1[[#This Row],[PREV_CL_PR]]) / Table1[[#This Row],[PREV_CL_PR]] * 100</f>
        <v>-2.7305030858425261</v>
      </c>
      <c r="M425">
        <f>Table1[[#This Row],[HIGH_PRICE]]-Table1[[#This Row],[LOW_PRICE]]</f>
        <v>48.899999999999864</v>
      </c>
      <c r="N425" t="str">
        <f>IF(Table1[[#This Row],[CLOSE_PRICE]]&gt;Table1[[#This Row],[OPEN_PRICE]],"Gain","Loss")</f>
        <v>Loss</v>
      </c>
      <c r="O425" t="str">
        <f>IF(Table1[[#This Row],[MARKET_CAP]]&gt;200000000000,"Large Cap",
IF(Table1[[#This Row],[MARKET_CAP]]&gt;50000000000,"Mid Cap","Small Cap"))</f>
        <v>Mid Cap</v>
      </c>
      <c r="P425" t="str">
        <f>IF(Table1[[#This Row],[NET_TRDQTY]]&gt;1000000,"High Volume","Low Volume")</f>
        <v>Low Volume</v>
      </c>
    </row>
    <row r="426" spans="1:16" x14ac:dyDescent="0.3">
      <c r="A426" t="s">
        <v>858</v>
      </c>
      <c r="B426" t="s">
        <v>859</v>
      </c>
      <c r="C426">
        <v>754.3</v>
      </c>
      <c r="D426">
        <v>759.4</v>
      </c>
      <c r="E426">
        <v>735.2</v>
      </c>
      <c r="F426">
        <v>755.45</v>
      </c>
      <c r="G426">
        <v>756.95</v>
      </c>
      <c r="H426">
        <v>157123</v>
      </c>
      <c r="I426">
        <v>14059</v>
      </c>
      <c r="J426">
        <v>144000000000</v>
      </c>
      <c r="K426">
        <v>190440988</v>
      </c>
      <c r="L426">
        <f>(Table1[[#This Row],[CLOSE_PRICE]] - Table1[[#This Row],[PREV_CL_PR]]) / Table1[[#This Row],[PREV_CL_PR]] * 100</f>
        <v>-0.19816368320232514</v>
      </c>
      <c r="M426">
        <f>Table1[[#This Row],[HIGH_PRICE]]-Table1[[#This Row],[LOW_PRICE]]</f>
        <v>24.199999999999932</v>
      </c>
      <c r="N426" t="str">
        <f>IF(Table1[[#This Row],[CLOSE_PRICE]]&gt;Table1[[#This Row],[OPEN_PRICE]],"Gain","Loss")</f>
        <v>Gain</v>
      </c>
      <c r="O426" t="str">
        <f>IF(Table1[[#This Row],[MARKET_CAP]]&gt;200000000000,"Large Cap",
IF(Table1[[#This Row],[MARKET_CAP]]&gt;50000000000,"Mid Cap","Small Cap"))</f>
        <v>Mid Cap</v>
      </c>
      <c r="P426" t="str">
        <f>IF(Table1[[#This Row],[NET_TRDQTY]]&gt;1000000,"High Volume","Low Volume")</f>
        <v>Low Volume</v>
      </c>
    </row>
    <row r="427" spans="1:16" x14ac:dyDescent="0.3">
      <c r="A427" t="s">
        <v>860</v>
      </c>
      <c r="B427" t="s">
        <v>861</v>
      </c>
      <c r="C427">
        <v>1537</v>
      </c>
      <c r="D427">
        <v>1537</v>
      </c>
      <c r="E427">
        <v>1392.7</v>
      </c>
      <c r="F427">
        <v>1412.5</v>
      </c>
      <c r="G427">
        <v>1537.7</v>
      </c>
      <c r="H427">
        <v>59587</v>
      </c>
      <c r="I427">
        <v>6173</v>
      </c>
      <c r="J427">
        <v>42410353463</v>
      </c>
      <c r="K427">
        <v>30025029</v>
      </c>
      <c r="L427">
        <f>(Table1[[#This Row],[CLOSE_PRICE]] - Table1[[#This Row],[PREV_CL_PR]]) / Table1[[#This Row],[PREV_CL_PR]] * 100</f>
        <v>-8.1420303050009792</v>
      </c>
      <c r="M427">
        <f>Table1[[#This Row],[HIGH_PRICE]]-Table1[[#This Row],[LOW_PRICE]]</f>
        <v>144.29999999999995</v>
      </c>
      <c r="N427" t="str">
        <f>IF(Table1[[#This Row],[CLOSE_PRICE]]&gt;Table1[[#This Row],[OPEN_PRICE]],"Gain","Loss")</f>
        <v>Loss</v>
      </c>
      <c r="O427" t="str">
        <f>IF(Table1[[#This Row],[MARKET_CAP]]&gt;200000000000,"Large Cap",
IF(Table1[[#This Row],[MARKET_CAP]]&gt;50000000000,"Mid Cap","Small Cap"))</f>
        <v>Small Cap</v>
      </c>
      <c r="P427" t="str">
        <f>IF(Table1[[#This Row],[NET_TRDQTY]]&gt;1000000,"High Volume","Low Volume")</f>
        <v>Low Volume</v>
      </c>
    </row>
    <row r="428" spans="1:16" x14ac:dyDescent="0.3">
      <c r="A428" t="s">
        <v>862</v>
      </c>
      <c r="B428" t="s">
        <v>863</v>
      </c>
      <c r="C428">
        <v>438</v>
      </c>
      <c r="D428">
        <v>438</v>
      </c>
      <c r="E428">
        <v>416</v>
      </c>
      <c r="F428">
        <v>423.1</v>
      </c>
      <c r="G428">
        <v>441.95</v>
      </c>
      <c r="H428">
        <v>72788</v>
      </c>
      <c r="I428">
        <v>4367</v>
      </c>
      <c r="J428">
        <v>24053885728</v>
      </c>
      <c r="K428">
        <v>56851538</v>
      </c>
      <c r="L428">
        <f>(Table1[[#This Row],[CLOSE_PRICE]] - Table1[[#This Row],[PREV_CL_PR]]) / Table1[[#This Row],[PREV_CL_PR]] * 100</f>
        <v>-4.2651883697250748</v>
      </c>
      <c r="M428">
        <f>Table1[[#This Row],[HIGH_PRICE]]-Table1[[#This Row],[LOW_PRICE]]</f>
        <v>22</v>
      </c>
      <c r="N428" t="str">
        <f>IF(Table1[[#This Row],[CLOSE_PRICE]]&gt;Table1[[#This Row],[OPEN_PRICE]],"Gain","Loss")</f>
        <v>Loss</v>
      </c>
      <c r="O428" t="str">
        <f>IF(Table1[[#This Row],[MARKET_CAP]]&gt;200000000000,"Large Cap",
IF(Table1[[#This Row],[MARKET_CAP]]&gt;50000000000,"Mid Cap","Small Cap"))</f>
        <v>Small Cap</v>
      </c>
      <c r="P428" t="str">
        <f>IF(Table1[[#This Row],[NET_TRDQTY]]&gt;1000000,"High Volume","Low Volume")</f>
        <v>Low Volume</v>
      </c>
    </row>
    <row r="429" spans="1:16" x14ac:dyDescent="0.3">
      <c r="A429" t="s">
        <v>864</v>
      </c>
      <c r="B429" t="s">
        <v>865</v>
      </c>
      <c r="C429">
        <v>1680</v>
      </c>
      <c r="D429">
        <v>1712</v>
      </c>
      <c r="E429">
        <v>1670</v>
      </c>
      <c r="F429">
        <v>1695.1</v>
      </c>
      <c r="G429">
        <v>1696.9</v>
      </c>
      <c r="H429">
        <v>201549</v>
      </c>
      <c r="I429">
        <v>22465</v>
      </c>
      <c r="J429">
        <v>81098559119</v>
      </c>
      <c r="K429">
        <v>47842935</v>
      </c>
      <c r="L429">
        <f>(Table1[[#This Row],[CLOSE_PRICE]] - Table1[[#This Row],[PREV_CL_PR]]) / Table1[[#This Row],[PREV_CL_PR]] * 100</f>
        <v>-0.10607578525547656</v>
      </c>
      <c r="M429">
        <f>Table1[[#This Row],[HIGH_PRICE]]-Table1[[#This Row],[LOW_PRICE]]</f>
        <v>42</v>
      </c>
      <c r="N429" t="str">
        <f>IF(Table1[[#This Row],[CLOSE_PRICE]]&gt;Table1[[#This Row],[OPEN_PRICE]],"Gain","Loss")</f>
        <v>Gain</v>
      </c>
      <c r="O429" t="str">
        <f>IF(Table1[[#This Row],[MARKET_CAP]]&gt;200000000000,"Large Cap",
IF(Table1[[#This Row],[MARKET_CAP]]&gt;50000000000,"Mid Cap","Small Cap"))</f>
        <v>Mid Cap</v>
      </c>
      <c r="P429" t="str">
        <f>IF(Table1[[#This Row],[NET_TRDQTY]]&gt;1000000,"High Volume","Low Volume")</f>
        <v>Low Volume</v>
      </c>
    </row>
    <row r="430" spans="1:16" x14ac:dyDescent="0.3">
      <c r="A430" t="s">
        <v>866</v>
      </c>
      <c r="B430" t="s">
        <v>867</v>
      </c>
      <c r="C430">
        <v>777.65</v>
      </c>
      <c r="D430">
        <v>777.65</v>
      </c>
      <c r="E430">
        <v>745.5</v>
      </c>
      <c r="F430">
        <v>749.05</v>
      </c>
      <c r="G430">
        <v>781.65</v>
      </c>
      <c r="H430">
        <v>99344</v>
      </c>
      <c r="I430">
        <v>5698</v>
      </c>
      <c r="J430">
        <v>21304934024</v>
      </c>
      <c r="K430">
        <v>28442606</v>
      </c>
      <c r="L430">
        <f>(Table1[[#This Row],[CLOSE_PRICE]] - Table1[[#This Row],[PREV_CL_PR]]) / Table1[[#This Row],[PREV_CL_PR]] * 100</f>
        <v>-4.1706646197147093</v>
      </c>
      <c r="M430">
        <f>Table1[[#This Row],[HIGH_PRICE]]-Table1[[#This Row],[LOW_PRICE]]</f>
        <v>32.149999999999977</v>
      </c>
      <c r="N430" t="str">
        <f>IF(Table1[[#This Row],[CLOSE_PRICE]]&gt;Table1[[#This Row],[OPEN_PRICE]],"Gain","Loss")</f>
        <v>Loss</v>
      </c>
      <c r="O430" t="str">
        <f>IF(Table1[[#This Row],[MARKET_CAP]]&gt;200000000000,"Large Cap",
IF(Table1[[#This Row],[MARKET_CAP]]&gt;50000000000,"Mid Cap","Small Cap"))</f>
        <v>Small Cap</v>
      </c>
      <c r="P430" t="str">
        <f>IF(Table1[[#This Row],[NET_TRDQTY]]&gt;1000000,"High Volume","Low Volume")</f>
        <v>Low Volume</v>
      </c>
    </row>
    <row r="431" spans="1:16" x14ac:dyDescent="0.3">
      <c r="A431" t="s">
        <v>868</v>
      </c>
      <c r="B431" t="s">
        <v>869</v>
      </c>
      <c r="C431">
        <v>182.5</v>
      </c>
      <c r="D431">
        <v>183.7</v>
      </c>
      <c r="E431">
        <v>177.1</v>
      </c>
      <c r="F431">
        <v>177.29</v>
      </c>
      <c r="G431">
        <v>187.34</v>
      </c>
      <c r="H431">
        <v>3759032</v>
      </c>
      <c r="I431">
        <v>31711</v>
      </c>
      <c r="J431">
        <v>175000000000</v>
      </c>
      <c r="K431">
        <v>989122384</v>
      </c>
      <c r="L431">
        <f>(Table1[[#This Row],[CLOSE_PRICE]] - Table1[[#This Row],[PREV_CL_PR]]) / Table1[[#This Row],[PREV_CL_PR]] * 100</f>
        <v>-5.3645777730329938</v>
      </c>
      <c r="M431">
        <f>Table1[[#This Row],[HIGH_PRICE]]-Table1[[#This Row],[LOW_PRICE]]</f>
        <v>6.5999999999999943</v>
      </c>
      <c r="N431" t="str">
        <f>IF(Table1[[#This Row],[CLOSE_PRICE]]&gt;Table1[[#This Row],[OPEN_PRICE]],"Gain","Loss")</f>
        <v>Loss</v>
      </c>
      <c r="O431" t="str">
        <f>IF(Table1[[#This Row],[MARKET_CAP]]&gt;200000000000,"Large Cap",
IF(Table1[[#This Row],[MARKET_CAP]]&gt;50000000000,"Mid Cap","Small Cap"))</f>
        <v>Mid Cap</v>
      </c>
      <c r="P431" t="str">
        <f>IF(Table1[[#This Row],[NET_TRDQTY]]&gt;1000000,"High Volume","Low Volume")</f>
        <v>High Volume</v>
      </c>
    </row>
    <row r="432" spans="1:16" x14ac:dyDescent="0.3">
      <c r="A432" t="s">
        <v>870</v>
      </c>
      <c r="B432" t="s">
        <v>871</v>
      </c>
      <c r="C432">
        <v>14.1</v>
      </c>
      <c r="D432">
        <v>14.15</v>
      </c>
      <c r="E432">
        <v>13.26</v>
      </c>
      <c r="F432">
        <v>13.35</v>
      </c>
      <c r="G432">
        <v>14.2</v>
      </c>
      <c r="H432">
        <v>9159849</v>
      </c>
      <c r="I432">
        <v>15690</v>
      </c>
      <c r="J432">
        <v>46418535251</v>
      </c>
      <c r="K432">
        <v>3477043839</v>
      </c>
      <c r="L432">
        <f>(Table1[[#This Row],[CLOSE_PRICE]] - Table1[[#This Row],[PREV_CL_PR]]) / Table1[[#This Row],[PREV_CL_PR]] * 100</f>
        <v>-5.9859154929577443</v>
      </c>
      <c r="M432">
        <f>Table1[[#This Row],[HIGH_PRICE]]-Table1[[#This Row],[LOW_PRICE]]</f>
        <v>0.89000000000000057</v>
      </c>
      <c r="N432" t="str">
        <f>IF(Table1[[#This Row],[CLOSE_PRICE]]&gt;Table1[[#This Row],[OPEN_PRICE]],"Gain","Loss")</f>
        <v>Loss</v>
      </c>
      <c r="O432" t="str">
        <f>IF(Table1[[#This Row],[MARKET_CAP]]&gt;200000000000,"Large Cap",
IF(Table1[[#This Row],[MARKET_CAP]]&gt;50000000000,"Mid Cap","Small Cap"))</f>
        <v>Small Cap</v>
      </c>
      <c r="P432" t="str">
        <f>IF(Table1[[#This Row],[NET_TRDQTY]]&gt;1000000,"High Volume","Low Volume")</f>
        <v>High Volume</v>
      </c>
    </row>
    <row r="433" spans="1:16" x14ac:dyDescent="0.3">
      <c r="A433" t="s">
        <v>872</v>
      </c>
      <c r="B433" t="s">
        <v>873</v>
      </c>
      <c r="C433">
        <v>15.19</v>
      </c>
      <c r="D433">
        <v>15.19</v>
      </c>
      <c r="E433">
        <v>13.92</v>
      </c>
      <c r="F433">
        <v>14.32</v>
      </c>
      <c r="G433">
        <v>14.97</v>
      </c>
      <c r="H433">
        <v>449285</v>
      </c>
      <c r="I433">
        <v>803</v>
      </c>
      <c r="J433">
        <v>6397595338</v>
      </c>
      <c r="K433">
        <v>446759451</v>
      </c>
      <c r="L433">
        <f>(Table1[[#This Row],[CLOSE_PRICE]] - Table1[[#This Row],[PREV_CL_PR]]) / Table1[[#This Row],[PREV_CL_PR]] * 100</f>
        <v>-4.3420173680694747</v>
      </c>
      <c r="M433">
        <f>Table1[[#This Row],[HIGH_PRICE]]-Table1[[#This Row],[LOW_PRICE]]</f>
        <v>1.2699999999999996</v>
      </c>
      <c r="N433" t="str">
        <f>IF(Table1[[#This Row],[CLOSE_PRICE]]&gt;Table1[[#This Row],[OPEN_PRICE]],"Gain","Loss")</f>
        <v>Loss</v>
      </c>
      <c r="O433" t="str">
        <f>IF(Table1[[#This Row],[MARKET_CAP]]&gt;200000000000,"Large Cap",
IF(Table1[[#This Row],[MARKET_CAP]]&gt;50000000000,"Mid Cap","Small Cap"))</f>
        <v>Small Cap</v>
      </c>
      <c r="P433" t="str">
        <f>IF(Table1[[#This Row],[NET_TRDQTY]]&gt;1000000,"High Volume","Low Volume")</f>
        <v>Low Volume</v>
      </c>
    </row>
    <row r="434" spans="1:16" x14ac:dyDescent="0.3">
      <c r="A434" t="s">
        <v>874</v>
      </c>
      <c r="B434" t="s">
        <v>875</v>
      </c>
      <c r="C434">
        <v>11.61</v>
      </c>
      <c r="D434">
        <v>13</v>
      </c>
      <c r="E434">
        <v>11.12</v>
      </c>
      <c r="F434">
        <v>11.48</v>
      </c>
      <c r="G434">
        <v>12.24</v>
      </c>
      <c r="H434">
        <v>291282</v>
      </c>
      <c r="I434">
        <v>983</v>
      </c>
      <c r="J434">
        <v>1876575158</v>
      </c>
      <c r="K434">
        <v>163464735</v>
      </c>
      <c r="L434">
        <f>(Table1[[#This Row],[CLOSE_PRICE]] - Table1[[#This Row],[PREV_CL_PR]]) / Table1[[#This Row],[PREV_CL_PR]] * 100</f>
        <v>-6.209150326797384</v>
      </c>
      <c r="M434">
        <f>Table1[[#This Row],[HIGH_PRICE]]-Table1[[#This Row],[LOW_PRICE]]</f>
        <v>1.8800000000000008</v>
      </c>
      <c r="N434" t="str">
        <f>IF(Table1[[#This Row],[CLOSE_PRICE]]&gt;Table1[[#This Row],[OPEN_PRICE]],"Gain","Loss")</f>
        <v>Loss</v>
      </c>
      <c r="O434" t="str">
        <f>IF(Table1[[#This Row],[MARKET_CAP]]&gt;200000000000,"Large Cap",
IF(Table1[[#This Row],[MARKET_CAP]]&gt;50000000000,"Mid Cap","Small Cap"))</f>
        <v>Small Cap</v>
      </c>
      <c r="P434" t="str">
        <f>IF(Table1[[#This Row],[NET_TRDQTY]]&gt;1000000,"High Volume","Low Volume")</f>
        <v>Low Volume</v>
      </c>
    </row>
    <row r="435" spans="1:16" x14ac:dyDescent="0.3">
      <c r="A435" t="s">
        <v>876</v>
      </c>
      <c r="B435" t="s">
        <v>877</v>
      </c>
      <c r="C435">
        <v>1082.2</v>
      </c>
      <c r="D435">
        <v>1082.2</v>
      </c>
      <c r="E435">
        <v>1042.2</v>
      </c>
      <c r="F435">
        <v>1067.9000000000001</v>
      </c>
      <c r="G435">
        <v>1087.5999999999999</v>
      </c>
      <c r="H435">
        <v>270231</v>
      </c>
      <c r="I435">
        <v>24095</v>
      </c>
      <c r="J435">
        <v>143000000000</v>
      </c>
      <c r="K435">
        <v>133527920</v>
      </c>
      <c r="L435">
        <f>(Table1[[#This Row],[CLOSE_PRICE]] - Table1[[#This Row],[PREV_CL_PR]]) / Table1[[#This Row],[PREV_CL_PR]] * 100</f>
        <v>-1.8113276940051322</v>
      </c>
      <c r="M435">
        <f>Table1[[#This Row],[HIGH_PRICE]]-Table1[[#This Row],[LOW_PRICE]]</f>
        <v>40</v>
      </c>
      <c r="N435" t="str">
        <f>IF(Table1[[#This Row],[CLOSE_PRICE]]&gt;Table1[[#This Row],[OPEN_PRICE]],"Gain","Loss")</f>
        <v>Loss</v>
      </c>
      <c r="O435" t="str">
        <f>IF(Table1[[#This Row],[MARKET_CAP]]&gt;200000000000,"Large Cap",
IF(Table1[[#This Row],[MARKET_CAP]]&gt;50000000000,"Mid Cap","Small Cap"))</f>
        <v>Mid Cap</v>
      </c>
      <c r="P435" t="str">
        <f>IF(Table1[[#This Row],[NET_TRDQTY]]&gt;1000000,"High Volume","Low Volume")</f>
        <v>Low Volume</v>
      </c>
    </row>
    <row r="436" spans="1:16" x14ac:dyDescent="0.3">
      <c r="A436" t="s">
        <v>878</v>
      </c>
      <c r="B436" t="s">
        <v>879</v>
      </c>
      <c r="C436">
        <v>1175.5999999999999</v>
      </c>
      <c r="D436">
        <v>1176.9000000000001</v>
      </c>
      <c r="E436">
        <v>1130</v>
      </c>
      <c r="F436">
        <v>1133.8</v>
      </c>
      <c r="G436">
        <v>1190.8</v>
      </c>
      <c r="H436">
        <v>2661615</v>
      </c>
      <c r="I436">
        <v>107781</v>
      </c>
      <c r="J436">
        <v>237000000000</v>
      </c>
      <c r="K436">
        <v>209000000</v>
      </c>
      <c r="L436">
        <f>(Table1[[#This Row],[CLOSE_PRICE]] - Table1[[#This Row],[PREV_CL_PR]]) / Table1[[#This Row],[PREV_CL_PR]] * 100</f>
        <v>-4.7866980181390666</v>
      </c>
      <c r="M436">
        <f>Table1[[#This Row],[HIGH_PRICE]]-Table1[[#This Row],[LOW_PRICE]]</f>
        <v>46.900000000000091</v>
      </c>
      <c r="N436" t="str">
        <f>IF(Table1[[#This Row],[CLOSE_PRICE]]&gt;Table1[[#This Row],[OPEN_PRICE]],"Gain","Loss")</f>
        <v>Loss</v>
      </c>
      <c r="O436" t="str">
        <f>IF(Table1[[#This Row],[MARKET_CAP]]&gt;200000000000,"Large Cap",
IF(Table1[[#This Row],[MARKET_CAP]]&gt;50000000000,"Mid Cap","Small Cap"))</f>
        <v>Large Cap</v>
      </c>
      <c r="P436" t="str">
        <f>IF(Table1[[#This Row],[NET_TRDQTY]]&gt;1000000,"High Volume","Low Volume")</f>
        <v>High Volume</v>
      </c>
    </row>
    <row r="437" spans="1:16" x14ac:dyDescent="0.3">
      <c r="A437" t="s">
        <v>880</v>
      </c>
      <c r="B437" t="s">
        <v>881</v>
      </c>
      <c r="C437">
        <v>3477.9</v>
      </c>
      <c r="D437">
        <v>3487.8</v>
      </c>
      <c r="E437">
        <v>3360</v>
      </c>
      <c r="F437">
        <v>3386.4</v>
      </c>
      <c r="G437">
        <v>3537.5</v>
      </c>
      <c r="H437">
        <v>98765</v>
      </c>
      <c r="I437">
        <v>18140</v>
      </c>
      <c r="J437">
        <v>137000000000</v>
      </c>
      <c r="K437">
        <v>40450092</v>
      </c>
      <c r="L437">
        <f>(Table1[[#This Row],[CLOSE_PRICE]] - Table1[[#This Row],[PREV_CL_PR]]) / Table1[[#This Row],[PREV_CL_PR]] * 100</f>
        <v>-4.2713780918727888</v>
      </c>
      <c r="M437">
        <f>Table1[[#This Row],[HIGH_PRICE]]-Table1[[#This Row],[LOW_PRICE]]</f>
        <v>127.80000000000018</v>
      </c>
      <c r="N437" t="str">
        <f>IF(Table1[[#This Row],[CLOSE_PRICE]]&gt;Table1[[#This Row],[OPEN_PRICE]],"Gain","Loss")</f>
        <v>Loss</v>
      </c>
      <c r="O437" t="str">
        <f>IF(Table1[[#This Row],[MARKET_CAP]]&gt;200000000000,"Large Cap",
IF(Table1[[#This Row],[MARKET_CAP]]&gt;50000000000,"Mid Cap","Small Cap"))</f>
        <v>Mid Cap</v>
      </c>
      <c r="P437" t="str">
        <f>IF(Table1[[#This Row],[NET_TRDQTY]]&gt;1000000,"High Volume","Low Volume")</f>
        <v>Low Volume</v>
      </c>
    </row>
    <row r="438" spans="1:16" x14ac:dyDescent="0.3">
      <c r="A438" t="s">
        <v>882</v>
      </c>
      <c r="B438" t="s">
        <v>883</v>
      </c>
      <c r="C438">
        <v>274.25</v>
      </c>
      <c r="D438">
        <v>274.25</v>
      </c>
      <c r="E438">
        <v>260</v>
      </c>
      <c r="F438">
        <v>263.35000000000002</v>
      </c>
      <c r="G438">
        <v>270.5</v>
      </c>
      <c r="H438">
        <v>441665</v>
      </c>
      <c r="I438">
        <v>6238</v>
      </c>
      <c r="J438">
        <v>45876850144</v>
      </c>
      <c r="K438">
        <v>174204861</v>
      </c>
      <c r="L438">
        <f>(Table1[[#This Row],[CLOSE_PRICE]] - Table1[[#This Row],[PREV_CL_PR]]) / Table1[[#This Row],[PREV_CL_PR]] * 100</f>
        <v>-2.6432532347504538</v>
      </c>
      <c r="M438">
        <f>Table1[[#This Row],[HIGH_PRICE]]-Table1[[#This Row],[LOW_PRICE]]</f>
        <v>14.25</v>
      </c>
      <c r="N438" t="str">
        <f>IF(Table1[[#This Row],[CLOSE_PRICE]]&gt;Table1[[#This Row],[OPEN_PRICE]],"Gain","Loss")</f>
        <v>Loss</v>
      </c>
      <c r="O438" t="str">
        <f>IF(Table1[[#This Row],[MARKET_CAP]]&gt;200000000000,"Large Cap",
IF(Table1[[#This Row],[MARKET_CAP]]&gt;50000000000,"Mid Cap","Small Cap"))</f>
        <v>Small Cap</v>
      </c>
      <c r="P438" t="str">
        <f>IF(Table1[[#This Row],[NET_TRDQTY]]&gt;1000000,"High Volume","Low Volume")</f>
        <v>Low Volume</v>
      </c>
    </row>
    <row r="439" spans="1:16" x14ac:dyDescent="0.3">
      <c r="A439" t="s">
        <v>884</v>
      </c>
      <c r="B439" t="s">
        <v>885</v>
      </c>
      <c r="C439">
        <v>937.95</v>
      </c>
      <c r="D439">
        <v>937.95</v>
      </c>
      <c r="E439">
        <v>867</v>
      </c>
      <c r="F439">
        <v>888.35</v>
      </c>
      <c r="G439">
        <v>938.7</v>
      </c>
      <c r="H439">
        <v>102701</v>
      </c>
      <c r="I439">
        <v>5619</v>
      </c>
      <c r="J439">
        <v>15849182049</v>
      </c>
      <c r="K439">
        <v>17841146</v>
      </c>
      <c r="L439">
        <f>(Table1[[#This Row],[CLOSE_PRICE]] - Table1[[#This Row],[PREV_CL_PR]]) / Table1[[#This Row],[PREV_CL_PR]] * 100</f>
        <v>-5.3638010013848962</v>
      </c>
      <c r="M439">
        <f>Table1[[#This Row],[HIGH_PRICE]]-Table1[[#This Row],[LOW_PRICE]]</f>
        <v>70.950000000000045</v>
      </c>
      <c r="N439" t="str">
        <f>IF(Table1[[#This Row],[CLOSE_PRICE]]&gt;Table1[[#This Row],[OPEN_PRICE]],"Gain","Loss")</f>
        <v>Loss</v>
      </c>
      <c r="O439" t="str">
        <f>IF(Table1[[#This Row],[MARKET_CAP]]&gt;200000000000,"Large Cap",
IF(Table1[[#This Row],[MARKET_CAP]]&gt;50000000000,"Mid Cap","Small Cap"))</f>
        <v>Small Cap</v>
      </c>
      <c r="P439" t="str">
        <f>IF(Table1[[#This Row],[NET_TRDQTY]]&gt;1000000,"High Volume","Low Volume")</f>
        <v>Low Volume</v>
      </c>
    </row>
    <row r="440" spans="1:16" x14ac:dyDescent="0.3">
      <c r="A440" t="s">
        <v>886</v>
      </c>
      <c r="B440" t="s">
        <v>887</v>
      </c>
      <c r="C440">
        <v>7.4</v>
      </c>
      <c r="D440">
        <v>7.64</v>
      </c>
      <c r="E440">
        <v>6.6</v>
      </c>
      <c r="F440">
        <v>6.65</v>
      </c>
      <c r="G440">
        <v>7.25</v>
      </c>
      <c r="H440">
        <v>63808</v>
      </c>
      <c r="I440">
        <v>430</v>
      </c>
      <c r="J440">
        <v>396861446.5</v>
      </c>
      <c r="K440">
        <v>59678413</v>
      </c>
      <c r="L440">
        <f>(Table1[[#This Row],[CLOSE_PRICE]] - Table1[[#This Row],[PREV_CL_PR]]) / Table1[[#This Row],[PREV_CL_PR]] * 100</f>
        <v>-8.2758620689655125</v>
      </c>
      <c r="M440">
        <f>Table1[[#This Row],[HIGH_PRICE]]-Table1[[#This Row],[LOW_PRICE]]</f>
        <v>1.04</v>
      </c>
      <c r="N440" t="str">
        <f>IF(Table1[[#This Row],[CLOSE_PRICE]]&gt;Table1[[#This Row],[OPEN_PRICE]],"Gain","Loss")</f>
        <v>Loss</v>
      </c>
      <c r="O440" t="str">
        <f>IF(Table1[[#This Row],[MARKET_CAP]]&gt;200000000000,"Large Cap",
IF(Table1[[#This Row],[MARKET_CAP]]&gt;50000000000,"Mid Cap","Small Cap"))</f>
        <v>Small Cap</v>
      </c>
      <c r="P440" t="str">
        <f>IF(Table1[[#This Row],[NET_TRDQTY]]&gt;1000000,"High Volume","Low Volume")</f>
        <v>Low Volume</v>
      </c>
    </row>
    <row r="441" spans="1:16" x14ac:dyDescent="0.3">
      <c r="A441" t="s">
        <v>888</v>
      </c>
      <c r="B441" t="s">
        <v>889</v>
      </c>
      <c r="C441">
        <v>422.5</v>
      </c>
      <c r="D441">
        <v>422.5</v>
      </c>
      <c r="E441">
        <v>393.25</v>
      </c>
      <c r="F441">
        <v>397.6</v>
      </c>
      <c r="G441">
        <v>423.45</v>
      </c>
      <c r="H441">
        <v>446825</v>
      </c>
      <c r="I441">
        <v>13976</v>
      </c>
      <c r="J441">
        <v>87823889518</v>
      </c>
      <c r="K441">
        <v>220885034</v>
      </c>
      <c r="L441">
        <f>(Table1[[#This Row],[CLOSE_PRICE]] - Table1[[#This Row],[PREV_CL_PR]]) / Table1[[#This Row],[PREV_CL_PR]] * 100</f>
        <v>-6.1046168378793171</v>
      </c>
      <c r="M441">
        <f>Table1[[#This Row],[HIGH_PRICE]]-Table1[[#This Row],[LOW_PRICE]]</f>
        <v>29.25</v>
      </c>
      <c r="N441" t="str">
        <f>IF(Table1[[#This Row],[CLOSE_PRICE]]&gt;Table1[[#This Row],[OPEN_PRICE]],"Gain","Loss")</f>
        <v>Loss</v>
      </c>
      <c r="O441" t="str">
        <f>IF(Table1[[#This Row],[MARKET_CAP]]&gt;200000000000,"Large Cap",
IF(Table1[[#This Row],[MARKET_CAP]]&gt;50000000000,"Mid Cap","Small Cap"))</f>
        <v>Mid Cap</v>
      </c>
      <c r="P441" t="str">
        <f>IF(Table1[[#This Row],[NET_TRDQTY]]&gt;1000000,"High Volume","Low Volume")</f>
        <v>Low Volume</v>
      </c>
    </row>
    <row r="442" spans="1:16" x14ac:dyDescent="0.3">
      <c r="A442" t="s">
        <v>890</v>
      </c>
      <c r="B442" t="s">
        <v>891</v>
      </c>
      <c r="C442">
        <v>534.95000000000005</v>
      </c>
      <c r="D442">
        <v>535.79999999999995</v>
      </c>
      <c r="E442">
        <v>503.3</v>
      </c>
      <c r="F442">
        <v>509.7</v>
      </c>
      <c r="G442">
        <v>539.6</v>
      </c>
      <c r="H442">
        <v>435621</v>
      </c>
      <c r="I442">
        <v>16911</v>
      </c>
      <c r="J442">
        <v>87560131565</v>
      </c>
      <c r="K442">
        <v>171787584</v>
      </c>
      <c r="L442">
        <f>(Table1[[#This Row],[CLOSE_PRICE]] - Table1[[#This Row],[PREV_CL_PR]]) / Table1[[#This Row],[PREV_CL_PR]] * 100</f>
        <v>-5.5411415863602729</v>
      </c>
      <c r="M442">
        <f>Table1[[#This Row],[HIGH_PRICE]]-Table1[[#This Row],[LOW_PRICE]]</f>
        <v>32.499999999999943</v>
      </c>
      <c r="N442" t="str">
        <f>IF(Table1[[#This Row],[CLOSE_PRICE]]&gt;Table1[[#This Row],[OPEN_PRICE]],"Gain","Loss")</f>
        <v>Loss</v>
      </c>
      <c r="O442" t="str">
        <f>IF(Table1[[#This Row],[MARKET_CAP]]&gt;200000000000,"Large Cap",
IF(Table1[[#This Row],[MARKET_CAP]]&gt;50000000000,"Mid Cap","Small Cap"))</f>
        <v>Mid Cap</v>
      </c>
      <c r="P442" t="str">
        <f>IF(Table1[[#This Row],[NET_TRDQTY]]&gt;1000000,"High Volume","Low Volume")</f>
        <v>Low Volume</v>
      </c>
    </row>
    <row r="443" spans="1:16" x14ac:dyDescent="0.3">
      <c r="A443" t="s">
        <v>892</v>
      </c>
      <c r="B443" t="s">
        <v>893</v>
      </c>
      <c r="C443">
        <v>419.85</v>
      </c>
      <c r="D443">
        <v>419.85</v>
      </c>
      <c r="E443">
        <v>393</v>
      </c>
      <c r="F443">
        <v>396.05</v>
      </c>
      <c r="G443">
        <v>417.15</v>
      </c>
      <c r="H443">
        <v>29261</v>
      </c>
      <c r="I443">
        <v>1138</v>
      </c>
      <c r="J443">
        <v>8653925773</v>
      </c>
      <c r="K443">
        <v>21850589</v>
      </c>
      <c r="L443">
        <f>(Table1[[#This Row],[CLOSE_PRICE]] - Table1[[#This Row],[PREV_CL_PR]]) / Table1[[#This Row],[PREV_CL_PR]] * 100</f>
        <v>-5.0581325662231729</v>
      </c>
      <c r="M443">
        <f>Table1[[#This Row],[HIGH_PRICE]]-Table1[[#This Row],[LOW_PRICE]]</f>
        <v>26.850000000000023</v>
      </c>
      <c r="N443" t="str">
        <f>IF(Table1[[#This Row],[CLOSE_PRICE]]&gt;Table1[[#This Row],[OPEN_PRICE]],"Gain","Loss")</f>
        <v>Loss</v>
      </c>
      <c r="O443" t="str">
        <f>IF(Table1[[#This Row],[MARKET_CAP]]&gt;200000000000,"Large Cap",
IF(Table1[[#This Row],[MARKET_CAP]]&gt;50000000000,"Mid Cap","Small Cap"))</f>
        <v>Small Cap</v>
      </c>
      <c r="P443" t="str">
        <f>IF(Table1[[#This Row],[NET_TRDQTY]]&gt;1000000,"High Volume","Low Volume")</f>
        <v>Low Volume</v>
      </c>
    </row>
    <row r="444" spans="1:16" x14ac:dyDescent="0.3">
      <c r="A444" t="s">
        <v>894</v>
      </c>
      <c r="B444" t="s">
        <v>895</v>
      </c>
      <c r="C444">
        <v>18.14</v>
      </c>
      <c r="D444">
        <v>18.38</v>
      </c>
      <c r="E444">
        <v>17.489999999999998</v>
      </c>
      <c r="F444">
        <v>18.13</v>
      </c>
      <c r="G444">
        <v>18.690000000000001</v>
      </c>
      <c r="H444">
        <v>189680</v>
      </c>
      <c r="I444">
        <v>862</v>
      </c>
      <c r="J444">
        <v>1450400000</v>
      </c>
      <c r="K444">
        <v>80000000</v>
      </c>
      <c r="L444">
        <f>(Table1[[#This Row],[CLOSE_PRICE]] - Table1[[#This Row],[PREV_CL_PR]]) / Table1[[#This Row],[PREV_CL_PR]] * 100</f>
        <v>-2.9962546816479518</v>
      </c>
      <c r="M444">
        <f>Table1[[#This Row],[HIGH_PRICE]]-Table1[[#This Row],[LOW_PRICE]]</f>
        <v>0.89000000000000057</v>
      </c>
      <c r="N444" t="str">
        <f>IF(Table1[[#This Row],[CLOSE_PRICE]]&gt;Table1[[#This Row],[OPEN_PRICE]],"Gain","Loss")</f>
        <v>Loss</v>
      </c>
      <c r="O444" t="str">
        <f>IF(Table1[[#This Row],[MARKET_CAP]]&gt;200000000000,"Large Cap",
IF(Table1[[#This Row],[MARKET_CAP]]&gt;50000000000,"Mid Cap","Small Cap"))</f>
        <v>Small Cap</v>
      </c>
      <c r="P444" t="str">
        <f>IF(Table1[[#This Row],[NET_TRDQTY]]&gt;1000000,"High Volume","Low Volume")</f>
        <v>Low Volume</v>
      </c>
    </row>
    <row r="445" spans="1:16" x14ac:dyDescent="0.3">
      <c r="A445" t="s">
        <v>896</v>
      </c>
      <c r="B445" t="s">
        <v>897</v>
      </c>
      <c r="C445">
        <v>33.6</v>
      </c>
      <c r="D445">
        <v>33.69</v>
      </c>
      <c r="E445">
        <v>32.4</v>
      </c>
      <c r="F445">
        <v>32.56</v>
      </c>
      <c r="G445">
        <v>34.17</v>
      </c>
      <c r="H445">
        <v>12336817</v>
      </c>
      <c r="I445">
        <v>25507</v>
      </c>
      <c r="J445">
        <v>295000000000</v>
      </c>
      <c r="K445">
        <v>9051401274</v>
      </c>
      <c r="L445">
        <f>(Table1[[#This Row],[CLOSE_PRICE]] - Table1[[#This Row],[PREV_CL_PR]]) / Table1[[#This Row],[PREV_CL_PR]] * 100</f>
        <v>-4.7117354404448326</v>
      </c>
      <c r="M445">
        <f>Table1[[#This Row],[HIGH_PRICE]]-Table1[[#This Row],[LOW_PRICE]]</f>
        <v>1.2899999999999991</v>
      </c>
      <c r="N445" t="str">
        <f>IF(Table1[[#This Row],[CLOSE_PRICE]]&gt;Table1[[#This Row],[OPEN_PRICE]],"Gain","Loss")</f>
        <v>Loss</v>
      </c>
      <c r="O445" t="str">
        <f>IF(Table1[[#This Row],[MARKET_CAP]]&gt;200000000000,"Large Cap",
IF(Table1[[#This Row],[MARKET_CAP]]&gt;50000000000,"Mid Cap","Small Cap"))</f>
        <v>Large Cap</v>
      </c>
      <c r="P445" t="str">
        <f>IF(Table1[[#This Row],[NET_TRDQTY]]&gt;1000000,"High Volume","Low Volume")</f>
        <v>High Volume</v>
      </c>
    </row>
    <row r="446" spans="1:16" x14ac:dyDescent="0.3">
      <c r="A446" t="s">
        <v>898</v>
      </c>
      <c r="B446" t="s">
        <v>899</v>
      </c>
      <c r="C446">
        <v>25.67</v>
      </c>
      <c r="D446">
        <v>25.67</v>
      </c>
      <c r="E446">
        <v>23.56</v>
      </c>
      <c r="F446">
        <v>24.47</v>
      </c>
      <c r="G446">
        <v>25.94</v>
      </c>
      <c r="H446">
        <v>685751</v>
      </c>
      <c r="I446">
        <v>2243</v>
      </c>
      <c r="J446">
        <v>11245902877</v>
      </c>
      <c r="K446">
        <v>459579194</v>
      </c>
      <c r="L446">
        <f>(Table1[[#This Row],[CLOSE_PRICE]] - Table1[[#This Row],[PREV_CL_PR]]) / Table1[[#This Row],[PREV_CL_PR]] * 100</f>
        <v>-5.6669236700077192</v>
      </c>
      <c r="M446">
        <f>Table1[[#This Row],[HIGH_PRICE]]-Table1[[#This Row],[LOW_PRICE]]</f>
        <v>2.110000000000003</v>
      </c>
      <c r="N446" t="str">
        <f>IF(Table1[[#This Row],[CLOSE_PRICE]]&gt;Table1[[#This Row],[OPEN_PRICE]],"Gain","Loss")</f>
        <v>Loss</v>
      </c>
      <c r="O446" t="str">
        <f>IF(Table1[[#This Row],[MARKET_CAP]]&gt;200000000000,"Large Cap",
IF(Table1[[#This Row],[MARKET_CAP]]&gt;50000000000,"Mid Cap","Small Cap"))</f>
        <v>Small Cap</v>
      </c>
      <c r="P446" t="str">
        <f>IF(Table1[[#This Row],[NET_TRDQTY]]&gt;1000000,"High Volume","Low Volume")</f>
        <v>Low Volume</v>
      </c>
    </row>
    <row r="447" spans="1:16" x14ac:dyDescent="0.3">
      <c r="A447" t="s">
        <v>900</v>
      </c>
      <c r="B447" t="s">
        <v>901</v>
      </c>
      <c r="C447">
        <v>2935</v>
      </c>
      <c r="D447">
        <v>2967.1</v>
      </c>
      <c r="E447">
        <v>2698</v>
      </c>
      <c r="F447">
        <v>2744.4</v>
      </c>
      <c r="G447">
        <v>2987.8</v>
      </c>
      <c r="H447">
        <v>123752</v>
      </c>
      <c r="I447">
        <v>16743</v>
      </c>
      <c r="J447">
        <v>40441890060</v>
      </c>
      <c r="K447">
        <v>14736150</v>
      </c>
      <c r="L447">
        <f>(Table1[[#This Row],[CLOSE_PRICE]] - Table1[[#This Row],[PREV_CL_PR]]) / Table1[[#This Row],[PREV_CL_PR]] * 100</f>
        <v>-8.1464622799384188</v>
      </c>
      <c r="M447">
        <f>Table1[[#This Row],[HIGH_PRICE]]-Table1[[#This Row],[LOW_PRICE]]</f>
        <v>269.09999999999991</v>
      </c>
      <c r="N447" t="str">
        <f>IF(Table1[[#This Row],[CLOSE_PRICE]]&gt;Table1[[#This Row],[OPEN_PRICE]],"Gain","Loss")</f>
        <v>Loss</v>
      </c>
      <c r="O447" t="str">
        <f>IF(Table1[[#This Row],[MARKET_CAP]]&gt;200000000000,"Large Cap",
IF(Table1[[#This Row],[MARKET_CAP]]&gt;50000000000,"Mid Cap","Small Cap"))</f>
        <v>Small Cap</v>
      </c>
      <c r="P447" t="str">
        <f>IF(Table1[[#This Row],[NET_TRDQTY]]&gt;1000000,"High Volume","Low Volume")</f>
        <v>Low Volume</v>
      </c>
    </row>
    <row r="448" spans="1:16" x14ac:dyDescent="0.3">
      <c r="A448" t="s">
        <v>902</v>
      </c>
      <c r="B448" t="s">
        <v>903</v>
      </c>
      <c r="C448">
        <v>641.1</v>
      </c>
      <c r="D448">
        <v>660</v>
      </c>
      <c r="E448">
        <v>618.5</v>
      </c>
      <c r="F448">
        <v>647.45000000000005</v>
      </c>
      <c r="G448">
        <v>650.9</v>
      </c>
      <c r="H448">
        <v>57365</v>
      </c>
      <c r="I448">
        <v>7318</v>
      </c>
      <c r="J448">
        <v>144000000000</v>
      </c>
      <c r="K448">
        <v>222172990</v>
      </c>
      <c r="L448">
        <f>(Table1[[#This Row],[CLOSE_PRICE]] - Table1[[#This Row],[PREV_CL_PR]]) / Table1[[#This Row],[PREV_CL_PR]] * 100</f>
        <v>-0.53003533568903549</v>
      </c>
      <c r="M448">
        <f>Table1[[#This Row],[HIGH_PRICE]]-Table1[[#This Row],[LOW_PRICE]]</f>
        <v>41.5</v>
      </c>
      <c r="N448" t="str">
        <f>IF(Table1[[#This Row],[CLOSE_PRICE]]&gt;Table1[[#This Row],[OPEN_PRICE]],"Gain","Loss")</f>
        <v>Gain</v>
      </c>
      <c r="O448" t="str">
        <f>IF(Table1[[#This Row],[MARKET_CAP]]&gt;200000000000,"Large Cap",
IF(Table1[[#This Row],[MARKET_CAP]]&gt;50000000000,"Mid Cap","Small Cap"))</f>
        <v>Mid Cap</v>
      </c>
      <c r="P448" t="str">
        <f>IF(Table1[[#This Row],[NET_TRDQTY]]&gt;1000000,"High Volume","Low Volume")</f>
        <v>Low Volume</v>
      </c>
    </row>
    <row r="449" spans="1:16" x14ac:dyDescent="0.3">
      <c r="A449" t="s">
        <v>904</v>
      </c>
      <c r="B449" t="s">
        <v>905</v>
      </c>
      <c r="C449">
        <v>4700</v>
      </c>
      <c r="D449">
        <v>4738</v>
      </c>
      <c r="E449">
        <v>4535.8</v>
      </c>
      <c r="F449">
        <v>4582.8999999999996</v>
      </c>
      <c r="G449">
        <v>4753.7</v>
      </c>
      <c r="H449">
        <v>13908</v>
      </c>
      <c r="I449">
        <v>4976</v>
      </c>
      <c r="J449">
        <v>59108140649</v>
      </c>
      <c r="K449">
        <v>12897541</v>
      </c>
      <c r="L449">
        <f>(Table1[[#This Row],[CLOSE_PRICE]] - Table1[[#This Row],[PREV_CL_PR]]) / Table1[[#This Row],[PREV_CL_PR]] * 100</f>
        <v>-3.5929907230157596</v>
      </c>
      <c r="M449">
        <f>Table1[[#This Row],[HIGH_PRICE]]-Table1[[#This Row],[LOW_PRICE]]</f>
        <v>202.19999999999982</v>
      </c>
      <c r="N449" t="str">
        <f>IF(Table1[[#This Row],[CLOSE_PRICE]]&gt;Table1[[#This Row],[OPEN_PRICE]],"Gain","Loss")</f>
        <v>Loss</v>
      </c>
      <c r="O449" t="str">
        <f>IF(Table1[[#This Row],[MARKET_CAP]]&gt;200000000000,"Large Cap",
IF(Table1[[#This Row],[MARKET_CAP]]&gt;50000000000,"Mid Cap","Small Cap"))</f>
        <v>Mid Cap</v>
      </c>
      <c r="P449" t="str">
        <f>IF(Table1[[#This Row],[NET_TRDQTY]]&gt;1000000,"High Volume","Low Volume")</f>
        <v>Low Volume</v>
      </c>
    </row>
    <row r="450" spans="1:16" x14ac:dyDescent="0.3">
      <c r="A450" t="s">
        <v>906</v>
      </c>
      <c r="B450" t="s">
        <v>907</v>
      </c>
      <c r="C450">
        <v>151.80000000000001</v>
      </c>
      <c r="D450">
        <v>152.44</v>
      </c>
      <c r="E450">
        <v>147.11000000000001</v>
      </c>
      <c r="F450">
        <v>148.69999999999999</v>
      </c>
      <c r="G450">
        <v>152.74</v>
      </c>
      <c r="H450">
        <v>1512973</v>
      </c>
      <c r="I450">
        <v>26319</v>
      </c>
      <c r="J450">
        <v>197000000000</v>
      </c>
      <c r="K450">
        <v>1325570430</v>
      </c>
      <c r="L450">
        <f>(Table1[[#This Row],[CLOSE_PRICE]] - Table1[[#This Row],[PREV_CL_PR]]) / Table1[[#This Row],[PREV_CL_PR]] * 100</f>
        <v>-2.64501767709835</v>
      </c>
      <c r="M450">
        <f>Table1[[#This Row],[HIGH_PRICE]]-Table1[[#This Row],[LOW_PRICE]]</f>
        <v>5.3299999999999841</v>
      </c>
      <c r="N450" t="str">
        <f>IF(Table1[[#This Row],[CLOSE_PRICE]]&gt;Table1[[#This Row],[OPEN_PRICE]],"Gain","Loss")</f>
        <v>Loss</v>
      </c>
      <c r="O450" t="str">
        <f>IF(Table1[[#This Row],[MARKET_CAP]]&gt;200000000000,"Large Cap",
IF(Table1[[#This Row],[MARKET_CAP]]&gt;50000000000,"Mid Cap","Small Cap"))</f>
        <v>Mid Cap</v>
      </c>
      <c r="P450" t="str">
        <f>IF(Table1[[#This Row],[NET_TRDQTY]]&gt;1000000,"High Volume","Low Volume")</f>
        <v>High Volume</v>
      </c>
    </row>
    <row r="451" spans="1:16" x14ac:dyDescent="0.3">
      <c r="A451" t="s">
        <v>908</v>
      </c>
      <c r="B451" t="s">
        <v>909</v>
      </c>
      <c r="C451">
        <v>275.64999999999998</v>
      </c>
      <c r="D451">
        <v>281.8</v>
      </c>
      <c r="E451">
        <v>262.89999999999998</v>
      </c>
      <c r="F451">
        <v>267.2</v>
      </c>
      <c r="G451">
        <v>282.95</v>
      </c>
      <c r="H451">
        <v>101674</v>
      </c>
      <c r="I451">
        <v>4933</v>
      </c>
      <c r="J451">
        <v>5530033458</v>
      </c>
      <c r="K451">
        <v>20696233</v>
      </c>
      <c r="L451">
        <f>(Table1[[#This Row],[CLOSE_PRICE]] - Table1[[#This Row],[PREV_CL_PR]]) / Table1[[#This Row],[PREV_CL_PR]] * 100</f>
        <v>-5.5663544795900339</v>
      </c>
      <c r="M451">
        <f>Table1[[#This Row],[HIGH_PRICE]]-Table1[[#This Row],[LOW_PRICE]]</f>
        <v>18.900000000000034</v>
      </c>
      <c r="N451" t="str">
        <f>IF(Table1[[#This Row],[CLOSE_PRICE]]&gt;Table1[[#This Row],[OPEN_PRICE]],"Gain","Loss")</f>
        <v>Loss</v>
      </c>
      <c r="O451" t="str">
        <f>IF(Table1[[#This Row],[MARKET_CAP]]&gt;200000000000,"Large Cap",
IF(Table1[[#This Row],[MARKET_CAP]]&gt;50000000000,"Mid Cap","Small Cap"))</f>
        <v>Small Cap</v>
      </c>
      <c r="P451" t="str">
        <f>IF(Table1[[#This Row],[NET_TRDQTY]]&gt;1000000,"High Volume","Low Volume")</f>
        <v>Low Volume</v>
      </c>
    </row>
    <row r="452" spans="1:16" x14ac:dyDescent="0.3">
      <c r="A452" t="s">
        <v>910</v>
      </c>
      <c r="B452" t="s">
        <v>911</v>
      </c>
      <c r="C452">
        <v>166.71</v>
      </c>
      <c r="D452">
        <v>167.47</v>
      </c>
      <c r="E452">
        <v>157.1</v>
      </c>
      <c r="F452">
        <v>159.78</v>
      </c>
      <c r="G452">
        <v>170.08</v>
      </c>
      <c r="H452">
        <v>1637109</v>
      </c>
      <c r="I452">
        <v>20029</v>
      </c>
      <c r="J452">
        <v>154000000000</v>
      </c>
      <c r="K452">
        <v>962153962</v>
      </c>
      <c r="L452">
        <f>(Table1[[#This Row],[CLOSE_PRICE]] - Table1[[#This Row],[PREV_CL_PR]]) / Table1[[#This Row],[PREV_CL_PR]] * 100</f>
        <v>-6.0559736594543807</v>
      </c>
      <c r="M452">
        <f>Table1[[#This Row],[HIGH_PRICE]]-Table1[[#This Row],[LOW_PRICE]]</f>
        <v>10.370000000000005</v>
      </c>
      <c r="N452" t="str">
        <f>IF(Table1[[#This Row],[CLOSE_PRICE]]&gt;Table1[[#This Row],[OPEN_PRICE]],"Gain","Loss")</f>
        <v>Loss</v>
      </c>
      <c r="O452" t="str">
        <f>IF(Table1[[#This Row],[MARKET_CAP]]&gt;200000000000,"Large Cap",
IF(Table1[[#This Row],[MARKET_CAP]]&gt;50000000000,"Mid Cap","Small Cap"))</f>
        <v>Mid Cap</v>
      </c>
      <c r="P452" t="str">
        <f>IF(Table1[[#This Row],[NET_TRDQTY]]&gt;1000000,"High Volume","Low Volume")</f>
        <v>High Volume</v>
      </c>
    </row>
    <row r="453" spans="1:16" x14ac:dyDescent="0.3">
      <c r="A453" t="s">
        <v>912</v>
      </c>
      <c r="B453" t="s">
        <v>913</v>
      </c>
      <c r="C453">
        <v>713.5</v>
      </c>
      <c r="D453">
        <v>719.65</v>
      </c>
      <c r="E453">
        <v>698.4</v>
      </c>
      <c r="F453">
        <v>712.75</v>
      </c>
      <c r="G453">
        <v>723.5</v>
      </c>
      <c r="H453">
        <v>172572</v>
      </c>
      <c r="I453">
        <v>12353</v>
      </c>
      <c r="J453">
        <v>156000000000</v>
      </c>
      <c r="K453">
        <v>218739432</v>
      </c>
      <c r="L453">
        <f>(Table1[[#This Row],[CLOSE_PRICE]] - Table1[[#This Row],[PREV_CL_PR]]) / Table1[[#This Row],[PREV_CL_PR]] * 100</f>
        <v>-1.4858327574291639</v>
      </c>
      <c r="M453">
        <f>Table1[[#This Row],[HIGH_PRICE]]-Table1[[#This Row],[LOW_PRICE]]</f>
        <v>21.25</v>
      </c>
      <c r="N453" t="str">
        <f>IF(Table1[[#This Row],[CLOSE_PRICE]]&gt;Table1[[#This Row],[OPEN_PRICE]],"Gain","Loss")</f>
        <v>Loss</v>
      </c>
      <c r="O453" t="str">
        <f>IF(Table1[[#This Row],[MARKET_CAP]]&gt;200000000000,"Large Cap",
IF(Table1[[#This Row],[MARKET_CAP]]&gt;50000000000,"Mid Cap","Small Cap"))</f>
        <v>Mid Cap</v>
      </c>
      <c r="P453" t="str">
        <f>IF(Table1[[#This Row],[NET_TRDQTY]]&gt;1000000,"High Volume","Low Volume")</f>
        <v>Low Volume</v>
      </c>
    </row>
    <row r="454" spans="1:16" x14ac:dyDescent="0.3">
      <c r="A454" t="s">
        <v>914</v>
      </c>
      <c r="B454" t="s">
        <v>915</v>
      </c>
      <c r="C454">
        <v>426</v>
      </c>
      <c r="D454">
        <v>426</v>
      </c>
      <c r="E454">
        <v>410.85</v>
      </c>
      <c r="F454">
        <v>414</v>
      </c>
      <c r="G454">
        <v>428.55</v>
      </c>
      <c r="H454">
        <v>792969</v>
      </c>
      <c r="I454">
        <v>24501</v>
      </c>
      <c r="J454">
        <v>166000000000</v>
      </c>
      <c r="K454">
        <v>400652297</v>
      </c>
      <c r="L454">
        <f>(Table1[[#This Row],[CLOSE_PRICE]] - Table1[[#This Row],[PREV_CL_PR]]) / Table1[[#This Row],[PREV_CL_PR]] * 100</f>
        <v>-3.3951697584879272</v>
      </c>
      <c r="M454">
        <f>Table1[[#This Row],[HIGH_PRICE]]-Table1[[#This Row],[LOW_PRICE]]</f>
        <v>15.149999999999977</v>
      </c>
      <c r="N454" t="str">
        <f>IF(Table1[[#This Row],[CLOSE_PRICE]]&gt;Table1[[#This Row],[OPEN_PRICE]],"Gain","Loss")</f>
        <v>Loss</v>
      </c>
      <c r="O454" t="str">
        <f>IF(Table1[[#This Row],[MARKET_CAP]]&gt;200000000000,"Large Cap",
IF(Table1[[#This Row],[MARKET_CAP]]&gt;50000000000,"Mid Cap","Small Cap"))</f>
        <v>Mid Cap</v>
      </c>
      <c r="P454" t="str">
        <f>IF(Table1[[#This Row],[NET_TRDQTY]]&gt;1000000,"High Volume","Low Volume")</f>
        <v>Low Volume</v>
      </c>
    </row>
    <row r="455" spans="1:16" x14ac:dyDescent="0.3">
      <c r="A455" t="s">
        <v>916</v>
      </c>
      <c r="B455" t="s">
        <v>917</v>
      </c>
      <c r="C455">
        <v>126</v>
      </c>
      <c r="D455">
        <v>128.80000000000001</v>
      </c>
      <c r="E455">
        <v>118.95</v>
      </c>
      <c r="F455">
        <v>121.96</v>
      </c>
      <c r="G455">
        <v>126.32</v>
      </c>
      <c r="H455">
        <v>12825</v>
      </c>
      <c r="I455">
        <v>339</v>
      </c>
      <c r="J455">
        <v>1640153205</v>
      </c>
      <c r="K455">
        <v>13448288</v>
      </c>
      <c r="L455">
        <f>(Table1[[#This Row],[CLOSE_PRICE]] - Table1[[#This Row],[PREV_CL_PR]]) / Table1[[#This Row],[PREV_CL_PR]] * 100</f>
        <v>-3.451551614946168</v>
      </c>
      <c r="M455">
        <f>Table1[[#This Row],[HIGH_PRICE]]-Table1[[#This Row],[LOW_PRICE]]</f>
        <v>9.8500000000000085</v>
      </c>
      <c r="N455" t="str">
        <f>IF(Table1[[#This Row],[CLOSE_PRICE]]&gt;Table1[[#This Row],[OPEN_PRICE]],"Gain","Loss")</f>
        <v>Loss</v>
      </c>
      <c r="O455" t="str">
        <f>IF(Table1[[#This Row],[MARKET_CAP]]&gt;200000000000,"Large Cap",
IF(Table1[[#This Row],[MARKET_CAP]]&gt;50000000000,"Mid Cap","Small Cap"))</f>
        <v>Small Cap</v>
      </c>
      <c r="P455" t="str">
        <f>IF(Table1[[#This Row],[NET_TRDQTY]]&gt;1000000,"High Volume","Low Volume")</f>
        <v>Low Volume</v>
      </c>
    </row>
    <row r="456" spans="1:16" x14ac:dyDescent="0.3">
      <c r="A456" t="s">
        <v>918</v>
      </c>
      <c r="B456" t="s">
        <v>919</v>
      </c>
      <c r="C456">
        <v>124.1</v>
      </c>
      <c r="D456">
        <v>124.98</v>
      </c>
      <c r="E456">
        <v>118</v>
      </c>
      <c r="F456">
        <v>119.52</v>
      </c>
      <c r="G456">
        <v>127.99</v>
      </c>
      <c r="H456">
        <v>22217</v>
      </c>
      <c r="I456">
        <v>453</v>
      </c>
      <c r="J456">
        <v>3214678764</v>
      </c>
      <c r="K456">
        <v>26896576</v>
      </c>
      <c r="L456">
        <f>(Table1[[#This Row],[CLOSE_PRICE]] - Table1[[#This Row],[PREV_CL_PR]]) / Table1[[#This Row],[PREV_CL_PR]] * 100</f>
        <v>-6.6177045081646995</v>
      </c>
      <c r="M456">
        <f>Table1[[#This Row],[HIGH_PRICE]]-Table1[[#This Row],[LOW_PRICE]]</f>
        <v>6.980000000000004</v>
      </c>
      <c r="N456" t="str">
        <f>IF(Table1[[#This Row],[CLOSE_PRICE]]&gt;Table1[[#This Row],[OPEN_PRICE]],"Gain","Loss")</f>
        <v>Loss</v>
      </c>
      <c r="O456" t="str">
        <f>IF(Table1[[#This Row],[MARKET_CAP]]&gt;200000000000,"Large Cap",
IF(Table1[[#This Row],[MARKET_CAP]]&gt;50000000000,"Mid Cap","Small Cap"))</f>
        <v>Small Cap</v>
      </c>
      <c r="P456" t="str">
        <f>IF(Table1[[#This Row],[NET_TRDQTY]]&gt;1000000,"High Volume","Low Volume")</f>
        <v>Low Volume</v>
      </c>
    </row>
    <row r="457" spans="1:16" x14ac:dyDescent="0.3">
      <c r="A457" t="s">
        <v>920</v>
      </c>
      <c r="B457" t="s">
        <v>921</v>
      </c>
      <c r="C457">
        <v>145.30000000000001</v>
      </c>
      <c r="D457">
        <v>146.96</v>
      </c>
      <c r="E457">
        <v>137.69</v>
      </c>
      <c r="F457">
        <v>138.88999999999999</v>
      </c>
      <c r="G457">
        <v>146.56</v>
      </c>
      <c r="H457">
        <v>68528</v>
      </c>
      <c r="I457">
        <v>2557</v>
      </c>
      <c r="J457">
        <v>5087638062</v>
      </c>
      <c r="K457">
        <v>36630701</v>
      </c>
      <c r="L457">
        <f>(Table1[[#This Row],[CLOSE_PRICE]] - Table1[[#This Row],[PREV_CL_PR]]) / Table1[[#This Row],[PREV_CL_PR]] * 100</f>
        <v>-5.2333515283842909</v>
      </c>
      <c r="M457">
        <f>Table1[[#This Row],[HIGH_PRICE]]-Table1[[#This Row],[LOW_PRICE]]</f>
        <v>9.2700000000000102</v>
      </c>
      <c r="N457" t="str">
        <f>IF(Table1[[#This Row],[CLOSE_PRICE]]&gt;Table1[[#This Row],[OPEN_PRICE]],"Gain","Loss")</f>
        <v>Loss</v>
      </c>
      <c r="O457" t="str">
        <f>IF(Table1[[#This Row],[MARKET_CAP]]&gt;200000000000,"Large Cap",
IF(Table1[[#This Row],[MARKET_CAP]]&gt;50000000000,"Mid Cap","Small Cap"))</f>
        <v>Small Cap</v>
      </c>
      <c r="P457" t="str">
        <f>IF(Table1[[#This Row],[NET_TRDQTY]]&gt;1000000,"High Volume","Low Volume")</f>
        <v>Low Volume</v>
      </c>
    </row>
    <row r="458" spans="1:16" x14ac:dyDescent="0.3">
      <c r="A458" t="s">
        <v>922</v>
      </c>
      <c r="B458" t="s">
        <v>923</v>
      </c>
      <c r="C458">
        <v>355.15</v>
      </c>
      <c r="D458">
        <v>361.95</v>
      </c>
      <c r="E458">
        <v>333.1</v>
      </c>
      <c r="F458">
        <v>339.75</v>
      </c>
      <c r="G458">
        <v>357.2</v>
      </c>
      <c r="H458">
        <v>23979</v>
      </c>
      <c r="I458">
        <v>2156</v>
      </c>
      <c r="J458">
        <v>4883465255</v>
      </c>
      <c r="K458">
        <v>14373702</v>
      </c>
      <c r="L458">
        <f>(Table1[[#This Row],[CLOSE_PRICE]] - Table1[[#This Row],[PREV_CL_PR]]) / Table1[[#This Row],[PREV_CL_PR]] * 100</f>
        <v>-4.8852183650615872</v>
      </c>
      <c r="M458">
        <f>Table1[[#This Row],[HIGH_PRICE]]-Table1[[#This Row],[LOW_PRICE]]</f>
        <v>28.849999999999966</v>
      </c>
      <c r="N458" t="str">
        <f>IF(Table1[[#This Row],[CLOSE_PRICE]]&gt;Table1[[#This Row],[OPEN_PRICE]],"Gain","Loss")</f>
        <v>Loss</v>
      </c>
      <c r="O458" t="str">
        <f>IF(Table1[[#This Row],[MARKET_CAP]]&gt;200000000000,"Large Cap",
IF(Table1[[#This Row],[MARKET_CAP]]&gt;50000000000,"Mid Cap","Small Cap"))</f>
        <v>Small Cap</v>
      </c>
      <c r="P458" t="str">
        <f>IF(Table1[[#This Row],[NET_TRDQTY]]&gt;1000000,"High Volume","Low Volume")</f>
        <v>Low Volume</v>
      </c>
    </row>
    <row r="459" spans="1:16" x14ac:dyDescent="0.3">
      <c r="A459" t="s">
        <v>924</v>
      </c>
      <c r="B459" t="s">
        <v>925</v>
      </c>
      <c r="C459">
        <v>276.70999999999998</v>
      </c>
      <c r="D459">
        <v>276.70999999999998</v>
      </c>
      <c r="E459">
        <v>255.5</v>
      </c>
      <c r="F459">
        <v>259.08</v>
      </c>
      <c r="G459">
        <v>280.33</v>
      </c>
      <c r="H459">
        <v>653856</v>
      </c>
      <c r="I459">
        <v>11020</v>
      </c>
      <c r="J459">
        <v>40963028432</v>
      </c>
      <c r="K459">
        <v>158109574</v>
      </c>
      <c r="L459">
        <f>(Table1[[#This Row],[CLOSE_PRICE]] - Table1[[#This Row],[PREV_CL_PR]]) / Table1[[#This Row],[PREV_CL_PR]] * 100</f>
        <v>-7.5803517283201947</v>
      </c>
      <c r="M459">
        <f>Table1[[#This Row],[HIGH_PRICE]]-Table1[[#This Row],[LOW_PRICE]]</f>
        <v>21.20999999999998</v>
      </c>
      <c r="N459" t="str">
        <f>IF(Table1[[#This Row],[CLOSE_PRICE]]&gt;Table1[[#This Row],[OPEN_PRICE]],"Gain","Loss")</f>
        <v>Loss</v>
      </c>
      <c r="O459" t="str">
        <f>IF(Table1[[#This Row],[MARKET_CAP]]&gt;200000000000,"Large Cap",
IF(Table1[[#This Row],[MARKET_CAP]]&gt;50000000000,"Mid Cap","Small Cap"))</f>
        <v>Small Cap</v>
      </c>
      <c r="P459" t="str">
        <f>IF(Table1[[#This Row],[NET_TRDQTY]]&gt;1000000,"High Volume","Low Volume")</f>
        <v>Low Volume</v>
      </c>
    </row>
    <row r="460" spans="1:16" x14ac:dyDescent="0.3">
      <c r="A460" t="s">
        <v>926</v>
      </c>
      <c r="B460" t="s">
        <v>927</v>
      </c>
      <c r="C460">
        <v>1064</v>
      </c>
      <c r="D460">
        <v>1094.4000000000001</v>
      </c>
      <c r="E460">
        <v>998</v>
      </c>
      <c r="F460">
        <v>1004.55</v>
      </c>
      <c r="G460">
        <v>1064.75</v>
      </c>
      <c r="H460">
        <v>2612734</v>
      </c>
      <c r="I460">
        <v>76234</v>
      </c>
      <c r="J460">
        <v>150000000000</v>
      </c>
      <c r="K460">
        <v>148911400</v>
      </c>
      <c r="L460">
        <f>(Table1[[#This Row],[CLOSE_PRICE]] - Table1[[#This Row],[PREV_CL_PR]]) / Table1[[#This Row],[PREV_CL_PR]] * 100</f>
        <v>-5.6539093683963415</v>
      </c>
      <c r="M460">
        <f>Table1[[#This Row],[HIGH_PRICE]]-Table1[[#This Row],[LOW_PRICE]]</f>
        <v>96.400000000000091</v>
      </c>
      <c r="N460" t="str">
        <f>IF(Table1[[#This Row],[CLOSE_PRICE]]&gt;Table1[[#This Row],[OPEN_PRICE]],"Gain","Loss")</f>
        <v>Loss</v>
      </c>
      <c r="O460" t="str">
        <f>IF(Table1[[#This Row],[MARKET_CAP]]&gt;200000000000,"Large Cap",
IF(Table1[[#This Row],[MARKET_CAP]]&gt;50000000000,"Mid Cap","Small Cap"))</f>
        <v>Mid Cap</v>
      </c>
      <c r="P460" t="str">
        <f>IF(Table1[[#This Row],[NET_TRDQTY]]&gt;1000000,"High Volume","Low Volume")</f>
        <v>High Volume</v>
      </c>
    </row>
    <row r="461" spans="1:16" x14ac:dyDescent="0.3">
      <c r="A461" t="s">
        <v>928</v>
      </c>
      <c r="B461" t="s">
        <v>929</v>
      </c>
      <c r="C461">
        <v>985.6</v>
      </c>
      <c r="D461">
        <v>985.6</v>
      </c>
      <c r="E461">
        <v>945.1</v>
      </c>
      <c r="F461">
        <v>950.7</v>
      </c>
      <c r="G461">
        <v>985.6</v>
      </c>
      <c r="H461">
        <v>4478</v>
      </c>
      <c r="I461">
        <v>426</v>
      </c>
      <c r="J461">
        <v>5553870563</v>
      </c>
      <c r="K461">
        <v>5841875</v>
      </c>
      <c r="L461">
        <f>(Table1[[#This Row],[CLOSE_PRICE]] - Table1[[#This Row],[PREV_CL_PR]]) / Table1[[#This Row],[PREV_CL_PR]] * 100</f>
        <v>-3.5409902597402572</v>
      </c>
      <c r="M461">
        <f>Table1[[#This Row],[HIGH_PRICE]]-Table1[[#This Row],[LOW_PRICE]]</f>
        <v>40.5</v>
      </c>
      <c r="N461" t="str">
        <f>IF(Table1[[#This Row],[CLOSE_PRICE]]&gt;Table1[[#This Row],[OPEN_PRICE]],"Gain","Loss")</f>
        <v>Loss</v>
      </c>
      <c r="O461" t="str">
        <f>IF(Table1[[#This Row],[MARKET_CAP]]&gt;200000000000,"Large Cap",
IF(Table1[[#This Row],[MARKET_CAP]]&gt;50000000000,"Mid Cap","Small Cap"))</f>
        <v>Small Cap</v>
      </c>
      <c r="P461" t="str">
        <f>IF(Table1[[#This Row],[NET_TRDQTY]]&gt;1000000,"High Volume","Low Volume")</f>
        <v>Low Volume</v>
      </c>
    </row>
    <row r="462" spans="1:16" x14ac:dyDescent="0.3">
      <c r="A462" t="s">
        <v>930</v>
      </c>
      <c r="B462" t="s">
        <v>931</v>
      </c>
      <c r="C462">
        <v>604.9</v>
      </c>
      <c r="D462">
        <v>607.29999999999995</v>
      </c>
      <c r="E462">
        <v>568.70000000000005</v>
      </c>
      <c r="F462">
        <v>583.95000000000005</v>
      </c>
      <c r="G462">
        <v>614.9</v>
      </c>
      <c r="H462">
        <v>1108595</v>
      </c>
      <c r="I462">
        <v>19443</v>
      </c>
      <c r="J462">
        <v>130000000000</v>
      </c>
      <c r="K462">
        <v>222776500</v>
      </c>
      <c r="L462">
        <f>(Table1[[#This Row],[CLOSE_PRICE]] - Table1[[#This Row],[PREV_CL_PR]]) / Table1[[#This Row],[PREV_CL_PR]] * 100</f>
        <v>-5.0333387542689758</v>
      </c>
      <c r="M462">
        <f>Table1[[#This Row],[HIGH_PRICE]]-Table1[[#This Row],[LOW_PRICE]]</f>
        <v>38.599999999999909</v>
      </c>
      <c r="N462" t="str">
        <f>IF(Table1[[#This Row],[CLOSE_PRICE]]&gt;Table1[[#This Row],[OPEN_PRICE]],"Gain","Loss")</f>
        <v>Loss</v>
      </c>
      <c r="O462" t="str">
        <f>IF(Table1[[#This Row],[MARKET_CAP]]&gt;200000000000,"Large Cap",
IF(Table1[[#This Row],[MARKET_CAP]]&gt;50000000000,"Mid Cap","Small Cap"))</f>
        <v>Mid Cap</v>
      </c>
      <c r="P462" t="str">
        <f>IF(Table1[[#This Row],[NET_TRDQTY]]&gt;1000000,"High Volume","Low Volume")</f>
        <v>High Volume</v>
      </c>
    </row>
    <row r="463" spans="1:16" x14ac:dyDescent="0.3">
      <c r="A463" t="s">
        <v>932</v>
      </c>
      <c r="B463" t="s">
        <v>933</v>
      </c>
      <c r="C463">
        <v>1407</v>
      </c>
      <c r="D463">
        <v>1407.6</v>
      </c>
      <c r="E463">
        <v>1305</v>
      </c>
      <c r="F463">
        <v>1350.9</v>
      </c>
      <c r="G463">
        <v>1407.6</v>
      </c>
      <c r="H463">
        <v>403354</v>
      </c>
      <c r="I463">
        <v>30102</v>
      </c>
      <c r="J463">
        <v>254000000000</v>
      </c>
      <c r="K463">
        <v>187777462</v>
      </c>
      <c r="L463">
        <f>(Table1[[#This Row],[CLOSE_PRICE]] - Table1[[#This Row],[PREV_CL_PR]]) / Table1[[#This Row],[PREV_CL_PR]] * 100</f>
        <v>-4.028132992327353</v>
      </c>
      <c r="M463">
        <f>Table1[[#This Row],[HIGH_PRICE]]-Table1[[#This Row],[LOW_PRICE]]</f>
        <v>102.59999999999991</v>
      </c>
      <c r="N463" t="str">
        <f>IF(Table1[[#This Row],[CLOSE_PRICE]]&gt;Table1[[#This Row],[OPEN_PRICE]],"Gain","Loss")</f>
        <v>Loss</v>
      </c>
      <c r="O463" t="str">
        <f>IF(Table1[[#This Row],[MARKET_CAP]]&gt;200000000000,"Large Cap",
IF(Table1[[#This Row],[MARKET_CAP]]&gt;50000000000,"Mid Cap","Small Cap"))</f>
        <v>Large Cap</v>
      </c>
      <c r="P463" t="str">
        <f>IF(Table1[[#This Row],[NET_TRDQTY]]&gt;1000000,"High Volume","Low Volume")</f>
        <v>Low Volume</v>
      </c>
    </row>
    <row r="464" spans="1:16" x14ac:dyDescent="0.3">
      <c r="A464" t="s">
        <v>934</v>
      </c>
      <c r="B464" t="s">
        <v>935</v>
      </c>
      <c r="C464">
        <v>459.75</v>
      </c>
      <c r="D464">
        <v>460.75</v>
      </c>
      <c r="E464">
        <v>439.85</v>
      </c>
      <c r="F464">
        <v>445.65</v>
      </c>
      <c r="G464">
        <v>461.15</v>
      </c>
      <c r="H464">
        <v>143029</v>
      </c>
      <c r="I464">
        <v>10537</v>
      </c>
      <c r="J464">
        <v>169000000000</v>
      </c>
      <c r="K464">
        <v>379362377</v>
      </c>
      <c r="L464">
        <f>(Table1[[#This Row],[CLOSE_PRICE]] - Table1[[#This Row],[PREV_CL_PR]]) / Table1[[#This Row],[PREV_CL_PR]] * 100</f>
        <v>-3.3611623116122735</v>
      </c>
      <c r="M464">
        <f>Table1[[#This Row],[HIGH_PRICE]]-Table1[[#This Row],[LOW_PRICE]]</f>
        <v>20.899999999999977</v>
      </c>
      <c r="N464" t="str">
        <f>IF(Table1[[#This Row],[CLOSE_PRICE]]&gt;Table1[[#This Row],[OPEN_PRICE]],"Gain","Loss")</f>
        <v>Loss</v>
      </c>
      <c r="O464" t="str">
        <f>IF(Table1[[#This Row],[MARKET_CAP]]&gt;200000000000,"Large Cap",
IF(Table1[[#This Row],[MARKET_CAP]]&gt;50000000000,"Mid Cap","Small Cap"))</f>
        <v>Mid Cap</v>
      </c>
      <c r="P464" t="str">
        <f>IF(Table1[[#This Row],[NET_TRDQTY]]&gt;1000000,"High Volume","Low Volume")</f>
        <v>Low Volume</v>
      </c>
    </row>
    <row r="465" spans="1:16" x14ac:dyDescent="0.3">
      <c r="A465" t="s">
        <v>936</v>
      </c>
      <c r="B465" t="s">
        <v>937</v>
      </c>
      <c r="C465">
        <v>25.49</v>
      </c>
      <c r="D465">
        <v>25.49</v>
      </c>
      <c r="E465">
        <v>23.21</v>
      </c>
      <c r="F465">
        <v>23.64</v>
      </c>
      <c r="G465">
        <v>25.63</v>
      </c>
      <c r="H465">
        <v>199067</v>
      </c>
      <c r="I465">
        <v>801</v>
      </c>
      <c r="J465">
        <v>9212716032</v>
      </c>
      <c r="K465">
        <v>389708800</v>
      </c>
      <c r="L465">
        <f>(Table1[[#This Row],[CLOSE_PRICE]] - Table1[[#This Row],[PREV_CL_PR]]) / Table1[[#This Row],[PREV_CL_PR]] * 100</f>
        <v>-7.7643386656262141</v>
      </c>
      <c r="M465">
        <f>Table1[[#This Row],[HIGH_PRICE]]-Table1[[#This Row],[LOW_PRICE]]</f>
        <v>2.2799999999999976</v>
      </c>
      <c r="N465" t="str">
        <f>IF(Table1[[#This Row],[CLOSE_PRICE]]&gt;Table1[[#This Row],[OPEN_PRICE]],"Gain","Loss")</f>
        <v>Loss</v>
      </c>
      <c r="O465" t="str">
        <f>IF(Table1[[#This Row],[MARKET_CAP]]&gt;200000000000,"Large Cap",
IF(Table1[[#This Row],[MARKET_CAP]]&gt;50000000000,"Mid Cap","Small Cap"))</f>
        <v>Small Cap</v>
      </c>
      <c r="P465" t="str">
        <f>IF(Table1[[#This Row],[NET_TRDQTY]]&gt;1000000,"High Volume","Low Volume")</f>
        <v>Low Volume</v>
      </c>
    </row>
    <row r="466" spans="1:16" x14ac:dyDescent="0.3">
      <c r="A466" t="s">
        <v>938</v>
      </c>
      <c r="B466" t="s">
        <v>939</v>
      </c>
      <c r="C466">
        <v>1048.3</v>
      </c>
      <c r="D466">
        <v>1081</v>
      </c>
      <c r="E466">
        <v>1043.0999999999999</v>
      </c>
      <c r="F466">
        <v>1073.4000000000001</v>
      </c>
      <c r="G466">
        <v>1068.3</v>
      </c>
      <c r="H466">
        <v>211209</v>
      </c>
      <c r="I466">
        <v>5155</v>
      </c>
      <c r="J466">
        <v>29568905791</v>
      </c>
      <c r="K466">
        <v>27546959</v>
      </c>
      <c r="L466">
        <f>(Table1[[#This Row],[CLOSE_PRICE]] - Table1[[#This Row],[PREV_CL_PR]]) / Table1[[#This Row],[PREV_CL_PR]] * 100</f>
        <v>0.47739399045213299</v>
      </c>
      <c r="M466">
        <f>Table1[[#This Row],[HIGH_PRICE]]-Table1[[#This Row],[LOW_PRICE]]</f>
        <v>37.900000000000091</v>
      </c>
      <c r="N466" t="str">
        <f>IF(Table1[[#This Row],[CLOSE_PRICE]]&gt;Table1[[#This Row],[OPEN_PRICE]],"Gain","Loss")</f>
        <v>Gain</v>
      </c>
      <c r="O466" t="str">
        <f>IF(Table1[[#This Row],[MARKET_CAP]]&gt;200000000000,"Large Cap",
IF(Table1[[#This Row],[MARKET_CAP]]&gt;50000000000,"Mid Cap","Small Cap"))</f>
        <v>Small Cap</v>
      </c>
      <c r="P466" t="str">
        <f>IF(Table1[[#This Row],[NET_TRDQTY]]&gt;1000000,"High Volume","Low Volume")</f>
        <v>Low Volume</v>
      </c>
    </row>
    <row r="467" spans="1:16" x14ac:dyDescent="0.3">
      <c r="A467" t="s">
        <v>940</v>
      </c>
      <c r="B467" t="s">
        <v>941</v>
      </c>
      <c r="C467">
        <v>87.69</v>
      </c>
      <c r="D467">
        <v>87.69</v>
      </c>
      <c r="E467">
        <v>81.81</v>
      </c>
      <c r="F467">
        <v>83.51</v>
      </c>
      <c r="G467">
        <v>88.01</v>
      </c>
      <c r="H467">
        <v>26025</v>
      </c>
      <c r="I467">
        <v>723</v>
      </c>
      <c r="J467">
        <v>2861589903</v>
      </c>
      <c r="K467">
        <v>34266434</v>
      </c>
      <c r="L467">
        <f>(Table1[[#This Row],[CLOSE_PRICE]] - Table1[[#This Row],[PREV_CL_PR]]) / Table1[[#This Row],[PREV_CL_PR]] * 100</f>
        <v>-5.1130553346210652</v>
      </c>
      <c r="M467">
        <f>Table1[[#This Row],[HIGH_PRICE]]-Table1[[#This Row],[LOW_PRICE]]</f>
        <v>5.8799999999999955</v>
      </c>
      <c r="N467" t="str">
        <f>IF(Table1[[#This Row],[CLOSE_PRICE]]&gt;Table1[[#This Row],[OPEN_PRICE]],"Gain","Loss")</f>
        <v>Loss</v>
      </c>
      <c r="O467" t="str">
        <f>IF(Table1[[#This Row],[MARKET_CAP]]&gt;200000000000,"Large Cap",
IF(Table1[[#This Row],[MARKET_CAP]]&gt;50000000000,"Mid Cap","Small Cap"))</f>
        <v>Small Cap</v>
      </c>
      <c r="P467" t="str">
        <f>IF(Table1[[#This Row],[NET_TRDQTY]]&gt;1000000,"High Volume","Low Volume")</f>
        <v>Low Volume</v>
      </c>
    </row>
    <row r="468" spans="1:16" x14ac:dyDescent="0.3">
      <c r="A468" t="s">
        <v>942</v>
      </c>
      <c r="B468" t="s">
        <v>943</v>
      </c>
      <c r="C468">
        <v>15.23</v>
      </c>
      <c r="D468">
        <v>15.23</v>
      </c>
      <c r="E468">
        <v>14.51</v>
      </c>
      <c r="F468">
        <v>14.73</v>
      </c>
      <c r="G468">
        <v>15.24</v>
      </c>
      <c r="H468">
        <v>13456</v>
      </c>
      <c r="I468">
        <v>70</v>
      </c>
      <c r="J468">
        <v>846039276.79999995</v>
      </c>
      <c r="K468">
        <v>57436475</v>
      </c>
      <c r="L468">
        <f>(Table1[[#This Row],[CLOSE_PRICE]] - Table1[[#This Row],[PREV_CL_PR]]) / Table1[[#This Row],[PREV_CL_PR]] * 100</f>
        <v>-3.3464566929133839</v>
      </c>
      <c r="M468">
        <f>Table1[[#This Row],[HIGH_PRICE]]-Table1[[#This Row],[LOW_PRICE]]</f>
        <v>0.72000000000000064</v>
      </c>
      <c r="N468" t="str">
        <f>IF(Table1[[#This Row],[CLOSE_PRICE]]&gt;Table1[[#This Row],[OPEN_PRICE]],"Gain","Loss")</f>
        <v>Loss</v>
      </c>
      <c r="O468" t="str">
        <f>IF(Table1[[#This Row],[MARKET_CAP]]&gt;200000000000,"Large Cap",
IF(Table1[[#This Row],[MARKET_CAP]]&gt;50000000000,"Mid Cap","Small Cap"))</f>
        <v>Small Cap</v>
      </c>
      <c r="P468" t="str">
        <f>IF(Table1[[#This Row],[NET_TRDQTY]]&gt;1000000,"High Volume","Low Volume")</f>
        <v>Low Volume</v>
      </c>
    </row>
    <row r="469" spans="1:16" x14ac:dyDescent="0.3">
      <c r="A469" t="s">
        <v>944</v>
      </c>
      <c r="B469" t="s">
        <v>945</v>
      </c>
      <c r="C469">
        <v>689</v>
      </c>
      <c r="D469">
        <v>693.25</v>
      </c>
      <c r="E469">
        <v>674.95</v>
      </c>
      <c r="F469">
        <v>676.85</v>
      </c>
      <c r="G469">
        <v>698.6</v>
      </c>
      <c r="H469">
        <v>269188</v>
      </c>
      <c r="I469">
        <v>18054</v>
      </c>
      <c r="J469">
        <v>71933248348</v>
      </c>
      <c r="K469">
        <v>106276499</v>
      </c>
      <c r="L469">
        <f>(Table1[[#This Row],[CLOSE_PRICE]] - Table1[[#This Row],[PREV_CL_PR]]) / Table1[[#This Row],[PREV_CL_PR]] * 100</f>
        <v>-3.1133695963355281</v>
      </c>
      <c r="M469">
        <f>Table1[[#This Row],[HIGH_PRICE]]-Table1[[#This Row],[LOW_PRICE]]</f>
        <v>18.299999999999955</v>
      </c>
      <c r="N469" t="str">
        <f>IF(Table1[[#This Row],[CLOSE_PRICE]]&gt;Table1[[#This Row],[OPEN_PRICE]],"Gain","Loss")</f>
        <v>Loss</v>
      </c>
      <c r="O469" t="str">
        <f>IF(Table1[[#This Row],[MARKET_CAP]]&gt;200000000000,"Large Cap",
IF(Table1[[#This Row],[MARKET_CAP]]&gt;50000000000,"Mid Cap","Small Cap"))</f>
        <v>Mid Cap</v>
      </c>
      <c r="P469" t="str">
        <f>IF(Table1[[#This Row],[NET_TRDQTY]]&gt;1000000,"High Volume","Low Volume")</f>
        <v>Low Volume</v>
      </c>
    </row>
    <row r="470" spans="1:16" x14ac:dyDescent="0.3">
      <c r="A470" t="s">
        <v>946</v>
      </c>
      <c r="B470" t="s">
        <v>947</v>
      </c>
      <c r="C470">
        <v>876.6</v>
      </c>
      <c r="D470">
        <v>877</v>
      </c>
      <c r="E470">
        <v>801.1</v>
      </c>
      <c r="F470">
        <v>834.8</v>
      </c>
      <c r="G470">
        <v>889.9</v>
      </c>
      <c r="H470">
        <v>216063</v>
      </c>
      <c r="I470">
        <v>12401</v>
      </c>
      <c r="J470">
        <v>97737694455</v>
      </c>
      <c r="K470">
        <v>117079174</v>
      </c>
      <c r="L470">
        <f>(Table1[[#This Row],[CLOSE_PRICE]] - Table1[[#This Row],[PREV_CL_PR]]) / Table1[[#This Row],[PREV_CL_PR]] * 100</f>
        <v>-6.1917069333633021</v>
      </c>
      <c r="M470">
        <f>Table1[[#This Row],[HIGH_PRICE]]-Table1[[#This Row],[LOW_PRICE]]</f>
        <v>75.899999999999977</v>
      </c>
      <c r="N470" t="str">
        <f>IF(Table1[[#This Row],[CLOSE_PRICE]]&gt;Table1[[#This Row],[OPEN_PRICE]],"Gain","Loss")</f>
        <v>Loss</v>
      </c>
      <c r="O470" t="str">
        <f>IF(Table1[[#This Row],[MARKET_CAP]]&gt;200000000000,"Large Cap",
IF(Table1[[#This Row],[MARKET_CAP]]&gt;50000000000,"Mid Cap","Small Cap"))</f>
        <v>Mid Cap</v>
      </c>
      <c r="P470" t="str">
        <f>IF(Table1[[#This Row],[NET_TRDQTY]]&gt;1000000,"High Volume","Low Volume")</f>
        <v>Low Volume</v>
      </c>
    </row>
    <row r="471" spans="1:16" x14ac:dyDescent="0.3">
      <c r="A471" t="s">
        <v>948</v>
      </c>
      <c r="B471" t="s">
        <v>949</v>
      </c>
      <c r="C471">
        <v>231.05</v>
      </c>
      <c r="D471">
        <v>237.15</v>
      </c>
      <c r="E471">
        <v>220.5</v>
      </c>
      <c r="F471">
        <v>221.5</v>
      </c>
      <c r="G471">
        <v>233</v>
      </c>
      <c r="H471">
        <v>60142</v>
      </c>
      <c r="I471">
        <v>1886</v>
      </c>
      <c r="J471">
        <v>11014224830</v>
      </c>
      <c r="K471">
        <v>49725620</v>
      </c>
      <c r="L471">
        <f>(Table1[[#This Row],[CLOSE_PRICE]] - Table1[[#This Row],[PREV_CL_PR]]) / Table1[[#This Row],[PREV_CL_PR]] * 100</f>
        <v>-4.9356223175965663</v>
      </c>
      <c r="M471">
        <f>Table1[[#This Row],[HIGH_PRICE]]-Table1[[#This Row],[LOW_PRICE]]</f>
        <v>16.650000000000006</v>
      </c>
      <c r="N471" t="str">
        <f>IF(Table1[[#This Row],[CLOSE_PRICE]]&gt;Table1[[#This Row],[OPEN_PRICE]],"Gain","Loss")</f>
        <v>Loss</v>
      </c>
      <c r="O471" t="str">
        <f>IF(Table1[[#This Row],[MARKET_CAP]]&gt;200000000000,"Large Cap",
IF(Table1[[#This Row],[MARKET_CAP]]&gt;50000000000,"Mid Cap","Small Cap"))</f>
        <v>Small Cap</v>
      </c>
      <c r="P471" t="str">
        <f>IF(Table1[[#This Row],[NET_TRDQTY]]&gt;1000000,"High Volume","Low Volume")</f>
        <v>Low Volume</v>
      </c>
    </row>
    <row r="472" spans="1:16" x14ac:dyDescent="0.3">
      <c r="A472" t="s">
        <v>950</v>
      </c>
      <c r="B472" t="s">
        <v>951</v>
      </c>
      <c r="C472">
        <v>283</v>
      </c>
      <c r="D472">
        <v>283.95</v>
      </c>
      <c r="E472">
        <v>270</v>
      </c>
      <c r="F472">
        <v>271.45</v>
      </c>
      <c r="G472">
        <v>283.95</v>
      </c>
      <c r="H472">
        <v>844023</v>
      </c>
      <c r="I472">
        <v>24957</v>
      </c>
      <c r="J472">
        <v>44646071254</v>
      </c>
      <c r="K472">
        <v>164472541</v>
      </c>
      <c r="L472">
        <f>(Table1[[#This Row],[CLOSE_PRICE]] - Table1[[#This Row],[PREV_CL_PR]]) / Table1[[#This Row],[PREV_CL_PR]] * 100</f>
        <v>-4.4021834830075717</v>
      </c>
      <c r="M472">
        <f>Table1[[#This Row],[HIGH_PRICE]]-Table1[[#This Row],[LOW_PRICE]]</f>
        <v>13.949999999999989</v>
      </c>
      <c r="N472" t="str">
        <f>IF(Table1[[#This Row],[CLOSE_PRICE]]&gt;Table1[[#This Row],[OPEN_PRICE]],"Gain","Loss")</f>
        <v>Loss</v>
      </c>
      <c r="O472" t="str">
        <f>IF(Table1[[#This Row],[MARKET_CAP]]&gt;200000000000,"Large Cap",
IF(Table1[[#This Row],[MARKET_CAP]]&gt;50000000000,"Mid Cap","Small Cap"))</f>
        <v>Small Cap</v>
      </c>
      <c r="P472" t="str">
        <f>IF(Table1[[#This Row],[NET_TRDQTY]]&gt;1000000,"High Volume","Low Volume")</f>
        <v>Low Volume</v>
      </c>
    </row>
    <row r="473" spans="1:16" x14ac:dyDescent="0.3">
      <c r="A473" t="s">
        <v>952</v>
      </c>
      <c r="B473" t="s">
        <v>953</v>
      </c>
      <c r="C473">
        <v>589</v>
      </c>
      <c r="D473">
        <v>594.70000000000005</v>
      </c>
      <c r="E473">
        <v>530.04999999999995</v>
      </c>
      <c r="F473">
        <v>571.4</v>
      </c>
      <c r="G473">
        <v>578.9</v>
      </c>
      <c r="H473">
        <v>20847</v>
      </c>
      <c r="I473">
        <v>1024</v>
      </c>
      <c r="J473">
        <v>8580528095</v>
      </c>
      <c r="K473">
        <v>15016675</v>
      </c>
      <c r="L473">
        <f>(Table1[[#This Row],[CLOSE_PRICE]] - Table1[[#This Row],[PREV_CL_PR]]) / Table1[[#This Row],[PREV_CL_PR]] * 100</f>
        <v>-1.2955605458628434</v>
      </c>
      <c r="M473">
        <f>Table1[[#This Row],[HIGH_PRICE]]-Table1[[#This Row],[LOW_PRICE]]</f>
        <v>64.650000000000091</v>
      </c>
      <c r="N473" t="str">
        <f>IF(Table1[[#This Row],[CLOSE_PRICE]]&gt;Table1[[#This Row],[OPEN_PRICE]],"Gain","Loss")</f>
        <v>Loss</v>
      </c>
      <c r="O473" t="str">
        <f>IF(Table1[[#This Row],[MARKET_CAP]]&gt;200000000000,"Large Cap",
IF(Table1[[#This Row],[MARKET_CAP]]&gt;50000000000,"Mid Cap","Small Cap"))</f>
        <v>Small Cap</v>
      </c>
      <c r="P473" t="str">
        <f>IF(Table1[[#This Row],[NET_TRDQTY]]&gt;1000000,"High Volume","Low Volume")</f>
        <v>Low Volume</v>
      </c>
    </row>
    <row r="474" spans="1:16" x14ac:dyDescent="0.3">
      <c r="A474" t="s">
        <v>954</v>
      </c>
      <c r="B474" t="s">
        <v>955</v>
      </c>
      <c r="C474">
        <v>42.09</v>
      </c>
      <c r="D474">
        <v>45.12</v>
      </c>
      <c r="E474">
        <v>42.07</v>
      </c>
      <c r="F474">
        <v>42.8</v>
      </c>
      <c r="G474">
        <v>43.27</v>
      </c>
      <c r="H474">
        <v>105598</v>
      </c>
      <c r="I474">
        <v>932</v>
      </c>
      <c r="J474">
        <v>2866625444</v>
      </c>
      <c r="K474">
        <v>66977230</v>
      </c>
      <c r="L474">
        <f>(Table1[[#This Row],[CLOSE_PRICE]] - Table1[[#This Row],[PREV_CL_PR]]) / Table1[[#This Row],[PREV_CL_PR]] * 100</f>
        <v>-1.0862029119482457</v>
      </c>
      <c r="M474">
        <f>Table1[[#This Row],[HIGH_PRICE]]-Table1[[#This Row],[LOW_PRICE]]</f>
        <v>3.0499999999999972</v>
      </c>
      <c r="N474" t="str">
        <f>IF(Table1[[#This Row],[CLOSE_PRICE]]&gt;Table1[[#This Row],[OPEN_PRICE]],"Gain","Loss")</f>
        <v>Gain</v>
      </c>
      <c r="O474" t="str">
        <f>IF(Table1[[#This Row],[MARKET_CAP]]&gt;200000000000,"Large Cap",
IF(Table1[[#This Row],[MARKET_CAP]]&gt;50000000000,"Mid Cap","Small Cap"))</f>
        <v>Small Cap</v>
      </c>
      <c r="P474" t="str">
        <f>IF(Table1[[#This Row],[NET_TRDQTY]]&gt;1000000,"High Volume","Low Volume")</f>
        <v>Low Volume</v>
      </c>
    </row>
    <row r="475" spans="1:16" x14ac:dyDescent="0.3">
      <c r="A475" t="s">
        <v>956</v>
      </c>
      <c r="B475" t="s">
        <v>957</v>
      </c>
      <c r="C475">
        <v>1330.9</v>
      </c>
      <c r="D475">
        <v>1333.5</v>
      </c>
      <c r="E475">
        <v>1260.0999999999999</v>
      </c>
      <c r="F475">
        <v>1269.2</v>
      </c>
      <c r="G475">
        <v>1341.5</v>
      </c>
      <c r="H475">
        <v>1034950</v>
      </c>
      <c r="I475">
        <v>53664</v>
      </c>
      <c r="J475">
        <v>334000000000</v>
      </c>
      <c r="K475">
        <v>263080780</v>
      </c>
      <c r="L475">
        <f>(Table1[[#This Row],[CLOSE_PRICE]] - Table1[[#This Row],[PREV_CL_PR]]) / Table1[[#This Row],[PREV_CL_PR]] * 100</f>
        <v>-5.3894893775624269</v>
      </c>
      <c r="M475">
        <f>Table1[[#This Row],[HIGH_PRICE]]-Table1[[#This Row],[LOW_PRICE]]</f>
        <v>73.400000000000091</v>
      </c>
      <c r="N475" t="str">
        <f>IF(Table1[[#This Row],[CLOSE_PRICE]]&gt;Table1[[#This Row],[OPEN_PRICE]],"Gain","Loss")</f>
        <v>Loss</v>
      </c>
      <c r="O475" t="str">
        <f>IF(Table1[[#This Row],[MARKET_CAP]]&gt;200000000000,"Large Cap",
IF(Table1[[#This Row],[MARKET_CAP]]&gt;50000000000,"Mid Cap","Small Cap"))</f>
        <v>Large Cap</v>
      </c>
      <c r="P475" t="str">
        <f>IF(Table1[[#This Row],[NET_TRDQTY]]&gt;1000000,"High Volume","Low Volume")</f>
        <v>High Volume</v>
      </c>
    </row>
    <row r="476" spans="1:16" x14ac:dyDescent="0.3">
      <c r="A476" t="s">
        <v>958</v>
      </c>
      <c r="B476" t="s">
        <v>959</v>
      </c>
      <c r="C476">
        <v>24</v>
      </c>
      <c r="D476">
        <v>24.2</v>
      </c>
      <c r="E476">
        <v>22.14</v>
      </c>
      <c r="F476">
        <v>22.34</v>
      </c>
      <c r="G476">
        <v>23.83</v>
      </c>
      <c r="H476">
        <v>2185734</v>
      </c>
      <c r="I476">
        <v>4397</v>
      </c>
      <c r="J476">
        <v>4719363402</v>
      </c>
      <c r="K476">
        <v>211251719</v>
      </c>
      <c r="L476">
        <f>(Table1[[#This Row],[CLOSE_PRICE]] - Table1[[#This Row],[PREV_CL_PR]]) / Table1[[#This Row],[PREV_CL_PR]] * 100</f>
        <v>-6.2526227444397762</v>
      </c>
      <c r="M476">
        <f>Table1[[#This Row],[HIGH_PRICE]]-Table1[[#This Row],[LOW_PRICE]]</f>
        <v>2.0599999999999987</v>
      </c>
      <c r="N476" t="str">
        <f>IF(Table1[[#This Row],[CLOSE_PRICE]]&gt;Table1[[#This Row],[OPEN_PRICE]],"Gain","Loss")</f>
        <v>Loss</v>
      </c>
      <c r="O476" t="str">
        <f>IF(Table1[[#This Row],[MARKET_CAP]]&gt;200000000000,"Large Cap",
IF(Table1[[#This Row],[MARKET_CAP]]&gt;50000000000,"Mid Cap","Small Cap"))</f>
        <v>Small Cap</v>
      </c>
      <c r="P476" t="str">
        <f>IF(Table1[[#This Row],[NET_TRDQTY]]&gt;1000000,"High Volume","Low Volume")</f>
        <v>High Volume</v>
      </c>
    </row>
    <row r="477" spans="1:16" x14ac:dyDescent="0.3">
      <c r="A477" t="s">
        <v>960</v>
      </c>
      <c r="B477" t="s">
        <v>961</v>
      </c>
      <c r="C477">
        <v>1077</v>
      </c>
      <c r="D477">
        <v>1107.5</v>
      </c>
      <c r="E477">
        <v>1064.9000000000001</v>
      </c>
      <c r="F477">
        <v>1100.4000000000001</v>
      </c>
      <c r="G477">
        <v>1089.3</v>
      </c>
      <c r="H477">
        <v>3639224</v>
      </c>
      <c r="I477">
        <v>86787</v>
      </c>
      <c r="J477">
        <v>369000000000</v>
      </c>
      <c r="K477">
        <v>335041808</v>
      </c>
      <c r="L477">
        <f>(Table1[[#This Row],[CLOSE_PRICE]] - Table1[[#This Row],[PREV_CL_PR]]) / Table1[[#This Row],[PREV_CL_PR]] * 100</f>
        <v>1.0190030294684786</v>
      </c>
      <c r="M477">
        <f>Table1[[#This Row],[HIGH_PRICE]]-Table1[[#This Row],[LOW_PRICE]]</f>
        <v>42.599999999999909</v>
      </c>
      <c r="N477" t="str">
        <f>IF(Table1[[#This Row],[CLOSE_PRICE]]&gt;Table1[[#This Row],[OPEN_PRICE]],"Gain","Loss")</f>
        <v>Gain</v>
      </c>
      <c r="O477" t="str">
        <f>IF(Table1[[#This Row],[MARKET_CAP]]&gt;200000000000,"Large Cap",
IF(Table1[[#This Row],[MARKET_CAP]]&gt;50000000000,"Mid Cap","Small Cap"))</f>
        <v>Large Cap</v>
      </c>
      <c r="P477" t="str">
        <f>IF(Table1[[#This Row],[NET_TRDQTY]]&gt;1000000,"High Volume","Low Volume")</f>
        <v>High Volume</v>
      </c>
    </row>
    <row r="478" spans="1:16" x14ac:dyDescent="0.3">
      <c r="A478" t="s">
        <v>962</v>
      </c>
      <c r="B478" t="s">
        <v>963</v>
      </c>
      <c r="C478">
        <v>294.05</v>
      </c>
      <c r="D478">
        <v>302.39999999999998</v>
      </c>
      <c r="E478">
        <v>292.7</v>
      </c>
      <c r="F478">
        <v>300.45</v>
      </c>
      <c r="G478">
        <v>299.25</v>
      </c>
      <c r="H478">
        <v>683429</v>
      </c>
      <c r="I478">
        <v>25560</v>
      </c>
      <c r="J478">
        <v>115000000000</v>
      </c>
      <c r="K478">
        <v>382567140</v>
      </c>
      <c r="L478">
        <f>(Table1[[#This Row],[CLOSE_PRICE]] - Table1[[#This Row],[PREV_CL_PR]]) / Table1[[#This Row],[PREV_CL_PR]] * 100</f>
        <v>0.40100250626566036</v>
      </c>
      <c r="M478">
        <f>Table1[[#This Row],[HIGH_PRICE]]-Table1[[#This Row],[LOW_PRICE]]</f>
        <v>9.6999999999999886</v>
      </c>
      <c r="N478" t="str">
        <f>IF(Table1[[#This Row],[CLOSE_PRICE]]&gt;Table1[[#This Row],[OPEN_PRICE]],"Gain","Loss")</f>
        <v>Gain</v>
      </c>
      <c r="O478" t="str">
        <f>IF(Table1[[#This Row],[MARKET_CAP]]&gt;200000000000,"Large Cap",
IF(Table1[[#This Row],[MARKET_CAP]]&gt;50000000000,"Mid Cap","Small Cap"))</f>
        <v>Mid Cap</v>
      </c>
      <c r="P478" t="str">
        <f>IF(Table1[[#This Row],[NET_TRDQTY]]&gt;1000000,"High Volume","Low Volume")</f>
        <v>Low Volume</v>
      </c>
    </row>
    <row r="479" spans="1:16" x14ac:dyDescent="0.3">
      <c r="A479" t="s">
        <v>964</v>
      </c>
      <c r="B479" t="s">
        <v>965</v>
      </c>
      <c r="C479">
        <v>1894</v>
      </c>
      <c r="D479">
        <v>1894</v>
      </c>
      <c r="E479">
        <v>1838.1</v>
      </c>
      <c r="F479">
        <v>1849.2</v>
      </c>
      <c r="G479">
        <v>1896.1</v>
      </c>
      <c r="H479">
        <v>336417</v>
      </c>
      <c r="I479">
        <v>25173</v>
      </c>
      <c r="J479">
        <v>503000000000</v>
      </c>
      <c r="K479">
        <v>271985634</v>
      </c>
      <c r="L479">
        <f>(Table1[[#This Row],[CLOSE_PRICE]] - Table1[[#This Row],[PREV_CL_PR]]) / Table1[[#This Row],[PREV_CL_PR]] * 100</f>
        <v>-2.4734982332155409</v>
      </c>
      <c r="M479">
        <f>Table1[[#This Row],[HIGH_PRICE]]-Table1[[#This Row],[LOW_PRICE]]</f>
        <v>55.900000000000091</v>
      </c>
      <c r="N479" t="str">
        <f>IF(Table1[[#This Row],[CLOSE_PRICE]]&gt;Table1[[#This Row],[OPEN_PRICE]],"Gain","Loss")</f>
        <v>Loss</v>
      </c>
      <c r="O479" t="str">
        <f>IF(Table1[[#This Row],[MARKET_CAP]]&gt;200000000000,"Large Cap",
IF(Table1[[#This Row],[MARKET_CAP]]&gt;50000000000,"Mid Cap","Small Cap"))</f>
        <v>Large Cap</v>
      </c>
      <c r="P479" t="str">
        <f>IF(Table1[[#This Row],[NET_TRDQTY]]&gt;1000000,"High Volume","Low Volume")</f>
        <v>Low Volume</v>
      </c>
    </row>
    <row r="480" spans="1:16" x14ac:dyDescent="0.3">
      <c r="A480" t="s">
        <v>966</v>
      </c>
      <c r="B480" t="s">
        <v>967</v>
      </c>
      <c r="C480">
        <v>12.4</v>
      </c>
      <c r="D480">
        <v>12.68</v>
      </c>
      <c r="E480">
        <v>12.3</v>
      </c>
      <c r="F480">
        <v>12.37</v>
      </c>
      <c r="G480">
        <v>13.01</v>
      </c>
      <c r="H480">
        <v>91940</v>
      </c>
      <c r="I480">
        <v>392</v>
      </c>
      <c r="J480">
        <v>978778575.60000002</v>
      </c>
      <c r="K480">
        <v>79125188</v>
      </c>
      <c r="L480">
        <f>(Table1[[#This Row],[CLOSE_PRICE]] - Table1[[#This Row],[PREV_CL_PR]]) / Table1[[#This Row],[PREV_CL_PR]] * 100</f>
        <v>-4.9192928516525791</v>
      </c>
      <c r="M480">
        <f>Table1[[#This Row],[HIGH_PRICE]]-Table1[[#This Row],[LOW_PRICE]]</f>
        <v>0.37999999999999901</v>
      </c>
      <c r="N480" t="str">
        <f>IF(Table1[[#This Row],[CLOSE_PRICE]]&gt;Table1[[#This Row],[OPEN_PRICE]],"Gain","Loss")</f>
        <v>Loss</v>
      </c>
      <c r="O480" t="str">
        <f>IF(Table1[[#This Row],[MARKET_CAP]]&gt;200000000000,"Large Cap",
IF(Table1[[#This Row],[MARKET_CAP]]&gt;50000000000,"Mid Cap","Small Cap"))</f>
        <v>Small Cap</v>
      </c>
      <c r="P480" t="str">
        <f>IF(Table1[[#This Row],[NET_TRDQTY]]&gt;1000000,"High Volume","Low Volume")</f>
        <v>Low Volume</v>
      </c>
    </row>
    <row r="481" spans="1:16" x14ac:dyDescent="0.3">
      <c r="A481" t="s">
        <v>968</v>
      </c>
      <c r="B481" t="s">
        <v>969</v>
      </c>
      <c r="C481">
        <v>153.01</v>
      </c>
      <c r="D481">
        <v>153.80000000000001</v>
      </c>
      <c r="E481">
        <v>152.6</v>
      </c>
      <c r="F481">
        <v>153.27000000000001</v>
      </c>
      <c r="G481">
        <v>153.41</v>
      </c>
      <c r="H481">
        <v>206629</v>
      </c>
      <c r="I481">
        <v>638</v>
      </c>
      <c r="J481">
        <v>6123473694</v>
      </c>
      <c r="K481">
        <v>39952200</v>
      </c>
      <c r="L481">
        <f>(Table1[[#This Row],[CLOSE_PRICE]] - Table1[[#This Row],[PREV_CL_PR]]) / Table1[[#This Row],[PREV_CL_PR]] * 100</f>
        <v>-9.1258718466844635E-2</v>
      </c>
      <c r="M481">
        <f>Table1[[#This Row],[HIGH_PRICE]]-Table1[[#This Row],[LOW_PRICE]]</f>
        <v>1.2000000000000171</v>
      </c>
      <c r="N481" t="str">
        <f>IF(Table1[[#This Row],[CLOSE_PRICE]]&gt;Table1[[#This Row],[OPEN_PRICE]],"Gain","Loss")</f>
        <v>Gain</v>
      </c>
      <c r="O481" t="str">
        <f>IF(Table1[[#This Row],[MARKET_CAP]]&gt;200000000000,"Large Cap",
IF(Table1[[#This Row],[MARKET_CAP]]&gt;50000000000,"Mid Cap","Small Cap"))</f>
        <v>Small Cap</v>
      </c>
      <c r="P481" t="str">
        <f>IF(Table1[[#This Row],[NET_TRDQTY]]&gt;1000000,"High Volume","Low Volume")</f>
        <v>Low Volume</v>
      </c>
    </row>
    <row r="482" spans="1:16" x14ac:dyDescent="0.3">
      <c r="A482" t="s">
        <v>970</v>
      </c>
      <c r="B482" t="s">
        <v>971</v>
      </c>
      <c r="C482">
        <v>442.95</v>
      </c>
      <c r="D482">
        <v>442.95</v>
      </c>
      <c r="E482">
        <v>421.45</v>
      </c>
      <c r="F482">
        <v>423.75</v>
      </c>
      <c r="G482">
        <v>447.3</v>
      </c>
      <c r="H482">
        <v>2538797</v>
      </c>
      <c r="I482">
        <v>53473</v>
      </c>
      <c r="J482">
        <v>323000000000</v>
      </c>
      <c r="K482">
        <v>761617935</v>
      </c>
      <c r="L482">
        <f>(Table1[[#This Row],[CLOSE_PRICE]] - Table1[[#This Row],[PREV_CL_PR]]) / Table1[[#This Row],[PREV_CL_PR]] * 100</f>
        <v>-5.264922870556676</v>
      </c>
      <c r="M482">
        <f>Table1[[#This Row],[HIGH_PRICE]]-Table1[[#This Row],[LOW_PRICE]]</f>
        <v>21.5</v>
      </c>
      <c r="N482" t="str">
        <f>IF(Table1[[#This Row],[CLOSE_PRICE]]&gt;Table1[[#This Row],[OPEN_PRICE]],"Gain","Loss")</f>
        <v>Loss</v>
      </c>
      <c r="O482" t="str">
        <f>IF(Table1[[#This Row],[MARKET_CAP]]&gt;200000000000,"Large Cap",
IF(Table1[[#This Row],[MARKET_CAP]]&gt;50000000000,"Mid Cap","Small Cap"))</f>
        <v>Large Cap</v>
      </c>
      <c r="P482" t="str">
        <f>IF(Table1[[#This Row],[NET_TRDQTY]]&gt;1000000,"High Volume","Low Volume")</f>
        <v>High Volume</v>
      </c>
    </row>
    <row r="483" spans="1:16" x14ac:dyDescent="0.3">
      <c r="A483" t="s">
        <v>972</v>
      </c>
      <c r="B483" t="s">
        <v>973</v>
      </c>
      <c r="C483">
        <v>1092.3</v>
      </c>
      <c r="D483">
        <v>1093.5999999999999</v>
      </c>
      <c r="E483">
        <v>1020.1</v>
      </c>
      <c r="F483">
        <v>1032.5999999999999</v>
      </c>
      <c r="G483">
        <v>1092.3</v>
      </c>
      <c r="H483">
        <v>102825</v>
      </c>
      <c r="I483">
        <v>11405</v>
      </c>
      <c r="J483">
        <v>108000000000</v>
      </c>
      <c r="K483">
        <v>104616204</v>
      </c>
      <c r="L483">
        <f>(Table1[[#This Row],[CLOSE_PRICE]] - Table1[[#This Row],[PREV_CL_PR]]) / Table1[[#This Row],[PREV_CL_PR]] * 100</f>
        <v>-5.4655314474045635</v>
      </c>
      <c r="M483">
        <f>Table1[[#This Row],[HIGH_PRICE]]-Table1[[#This Row],[LOW_PRICE]]</f>
        <v>73.499999999999886</v>
      </c>
      <c r="N483" t="str">
        <f>IF(Table1[[#This Row],[CLOSE_PRICE]]&gt;Table1[[#This Row],[OPEN_PRICE]],"Gain","Loss")</f>
        <v>Loss</v>
      </c>
      <c r="O483" t="str">
        <f>IF(Table1[[#This Row],[MARKET_CAP]]&gt;200000000000,"Large Cap",
IF(Table1[[#This Row],[MARKET_CAP]]&gt;50000000000,"Mid Cap","Small Cap"))</f>
        <v>Mid Cap</v>
      </c>
      <c r="P483" t="str">
        <f>IF(Table1[[#This Row],[NET_TRDQTY]]&gt;1000000,"High Volume","Low Volume")</f>
        <v>Low Volume</v>
      </c>
    </row>
    <row r="484" spans="1:16" x14ac:dyDescent="0.3">
      <c r="A484" t="s">
        <v>974</v>
      </c>
      <c r="B484" t="s">
        <v>975</v>
      </c>
      <c r="C484">
        <v>37</v>
      </c>
      <c r="D484">
        <v>39.33</v>
      </c>
      <c r="E484">
        <v>33.75</v>
      </c>
      <c r="F484">
        <v>34.03</v>
      </c>
      <c r="G484">
        <v>36.28</v>
      </c>
      <c r="H484">
        <v>3782656</v>
      </c>
      <c r="I484">
        <v>19507</v>
      </c>
      <c r="J484">
        <v>11306162693</v>
      </c>
      <c r="K484">
        <v>332241043</v>
      </c>
      <c r="L484">
        <f>(Table1[[#This Row],[CLOSE_PRICE]] - Table1[[#This Row],[PREV_CL_PR]]) / Table1[[#This Row],[PREV_CL_PR]] * 100</f>
        <v>-6.2017640573318626</v>
      </c>
      <c r="M484">
        <f>Table1[[#This Row],[HIGH_PRICE]]-Table1[[#This Row],[LOW_PRICE]]</f>
        <v>5.5799999999999983</v>
      </c>
      <c r="N484" t="str">
        <f>IF(Table1[[#This Row],[CLOSE_PRICE]]&gt;Table1[[#This Row],[OPEN_PRICE]],"Gain","Loss")</f>
        <v>Loss</v>
      </c>
      <c r="O484" t="str">
        <f>IF(Table1[[#This Row],[MARKET_CAP]]&gt;200000000000,"Large Cap",
IF(Table1[[#This Row],[MARKET_CAP]]&gt;50000000000,"Mid Cap","Small Cap"))</f>
        <v>Small Cap</v>
      </c>
      <c r="P484" t="str">
        <f>IF(Table1[[#This Row],[NET_TRDQTY]]&gt;1000000,"High Volume","Low Volume")</f>
        <v>High Volume</v>
      </c>
    </row>
    <row r="485" spans="1:16" x14ac:dyDescent="0.3">
      <c r="A485" t="s">
        <v>976</v>
      </c>
      <c r="B485" t="s">
        <v>977</v>
      </c>
      <c r="C485">
        <v>613.6</v>
      </c>
      <c r="D485">
        <v>628</v>
      </c>
      <c r="E485">
        <v>604</v>
      </c>
      <c r="F485">
        <v>606</v>
      </c>
      <c r="G485">
        <v>622.54999999999995</v>
      </c>
      <c r="H485">
        <v>19176</v>
      </c>
      <c r="I485">
        <v>1514</v>
      </c>
      <c r="J485">
        <v>9692492472</v>
      </c>
      <c r="K485">
        <v>15994212</v>
      </c>
      <c r="L485">
        <f>(Table1[[#This Row],[CLOSE_PRICE]] - Table1[[#This Row],[PREV_CL_PR]]) / Table1[[#This Row],[PREV_CL_PR]] * 100</f>
        <v>-2.6584210103606063</v>
      </c>
      <c r="M485">
        <f>Table1[[#This Row],[HIGH_PRICE]]-Table1[[#This Row],[LOW_PRICE]]</f>
        <v>24</v>
      </c>
      <c r="N485" t="str">
        <f>IF(Table1[[#This Row],[CLOSE_PRICE]]&gt;Table1[[#This Row],[OPEN_PRICE]],"Gain","Loss")</f>
        <v>Loss</v>
      </c>
      <c r="O485" t="str">
        <f>IF(Table1[[#This Row],[MARKET_CAP]]&gt;200000000000,"Large Cap",
IF(Table1[[#This Row],[MARKET_CAP]]&gt;50000000000,"Mid Cap","Small Cap"))</f>
        <v>Small Cap</v>
      </c>
      <c r="P485" t="str">
        <f>IF(Table1[[#This Row],[NET_TRDQTY]]&gt;1000000,"High Volume","Low Volume")</f>
        <v>Low Volume</v>
      </c>
    </row>
    <row r="486" spans="1:16" x14ac:dyDescent="0.3">
      <c r="A486" t="s">
        <v>978</v>
      </c>
      <c r="B486" t="s">
        <v>979</v>
      </c>
      <c r="C486">
        <v>30.75</v>
      </c>
      <c r="D486">
        <v>30.75</v>
      </c>
      <c r="E486">
        <v>27.61</v>
      </c>
      <c r="F486">
        <v>28.67</v>
      </c>
      <c r="G486">
        <v>30.74</v>
      </c>
      <c r="H486">
        <v>15578</v>
      </c>
      <c r="I486">
        <v>240</v>
      </c>
      <c r="J486">
        <v>1155464791</v>
      </c>
      <c r="K486">
        <v>40302225</v>
      </c>
      <c r="L486">
        <f>(Table1[[#This Row],[CLOSE_PRICE]] - Table1[[#This Row],[PREV_CL_PR]]) / Table1[[#This Row],[PREV_CL_PR]] * 100</f>
        <v>-6.7338972023422148</v>
      </c>
      <c r="M486">
        <f>Table1[[#This Row],[HIGH_PRICE]]-Table1[[#This Row],[LOW_PRICE]]</f>
        <v>3.1400000000000006</v>
      </c>
      <c r="N486" t="str">
        <f>IF(Table1[[#This Row],[CLOSE_PRICE]]&gt;Table1[[#This Row],[OPEN_PRICE]],"Gain","Loss")</f>
        <v>Loss</v>
      </c>
      <c r="O486" t="str">
        <f>IF(Table1[[#This Row],[MARKET_CAP]]&gt;200000000000,"Large Cap",
IF(Table1[[#This Row],[MARKET_CAP]]&gt;50000000000,"Mid Cap","Small Cap"))</f>
        <v>Small Cap</v>
      </c>
      <c r="P486" t="str">
        <f>IF(Table1[[#This Row],[NET_TRDQTY]]&gt;1000000,"High Volume","Low Volume")</f>
        <v>Low Volume</v>
      </c>
    </row>
    <row r="487" spans="1:16" x14ac:dyDescent="0.3">
      <c r="A487" t="s">
        <v>980</v>
      </c>
      <c r="B487" t="s">
        <v>981</v>
      </c>
      <c r="C487">
        <v>145</v>
      </c>
      <c r="D487">
        <v>149.97</v>
      </c>
      <c r="E487">
        <v>137.19999999999999</v>
      </c>
      <c r="F487">
        <v>139.08000000000001</v>
      </c>
      <c r="G487">
        <v>148.37</v>
      </c>
      <c r="H487">
        <v>36796</v>
      </c>
      <c r="I487">
        <v>1668</v>
      </c>
      <c r="J487">
        <v>1797995642</v>
      </c>
      <c r="K487">
        <v>12927780</v>
      </c>
      <c r="L487">
        <f>(Table1[[#This Row],[CLOSE_PRICE]] - Table1[[#This Row],[PREV_CL_PR]]) / Table1[[#This Row],[PREV_CL_PR]] * 100</f>
        <v>-6.2613735930444099</v>
      </c>
      <c r="M487">
        <f>Table1[[#This Row],[HIGH_PRICE]]-Table1[[#This Row],[LOW_PRICE]]</f>
        <v>12.77000000000001</v>
      </c>
      <c r="N487" t="str">
        <f>IF(Table1[[#This Row],[CLOSE_PRICE]]&gt;Table1[[#This Row],[OPEN_PRICE]],"Gain","Loss")</f>
        <v>Loss</v>
      </c>
      <c r="O487" t="str">
        <f>IF(Table1[[#This Row],[MARKET_CAP]]&gt;200000000000,"Large Cap",
IF(Table1[[#This Row],[MARKET_CAP]]&gt;50000000000,"Mid Cap","Small Cap"))</f>
        <v>Small Cap</v>
      </c>
      <c r="P487" t="str">
        <f>IF(Table1[[#This Row],[NET_TRDQTY]]&gt;1000000,"High Volume","Low Volume")</f>
        <v>Low Volume</v>
      </c>
    </row>
    <row r="488" spans="1:16" x14ac:dyDescent="0.3">
      <c r="A488" t="s">
        <v>982</v>
      </c>
      <c r="B488" t="s">
        <v>983</v>
      </c>
      <c r="C488">
        <v>1901</v>
      </c>
      <c r="D488">
        <v>1904.5</v>
      </c>
      <c r="E488">
        <v>1818.1</v>
      </c>
      <c r="F488">
        <v>1846.5</v>
      </c>
      <c r="G488">
        <v>1911</v>
      </c>
      <c r="H488">
        <v>347151</v>
      </c>
      <c r="I488">
        <v>34074</v>
      </c>
      <c r="J488">
        <v>545000000000</v>
      </c>
      <c r="K488">
        <v>294995409</v>
      </c>
      <c r="L488">
        <f>(Table1[[#This Row],[CLOSE_PRICE]] - Table1[[#This Row],[PREV_CL_PR]]) / Table1[[#This Row],[PREV_CL_PR]] * 100</f>
        <v>-3.3751962323390892</v>
      </c>
      <c r="M488">
        <f>Table1[[#This Row],[HIGH_PRICE]]-Table1[[#This Row],[LOW_PRICE]]</f>
        <v>86.400000000000091</v>
      </c>
      <c r="N488" t="str">
        <f>IF(Table1[[#This Row],[CLOSE_PRICE]]&gt;Table1[[#This Row],[OPEN_PRICE]],"Gain","Loss")</f>
        <v>Loss</v>
      </c>
      <c r="O488" t="str">
        <f>IF(Table1[[#This Row],[MARKET_CAP]]&gt;200000000000,"Large Cap",
IF(Table1[[#This Row],[MARKET_CAP]]&gt;50000000000,"Mid Cap","Small Cap"))</f>
        <v>Large Cap</v>
      </c>
      <c r="P488" t="str">
        <f>IF(Table1[[#This Row],[NET_TRDQTY]]&gt;1000000,"High Volume","Low Volume")</f>
        <v>Low Volume</v>
      </c>
    </row>
    <row r="489" spans="1:16" x14ac:dyDescent="0.3">
      <c r="A489" t="s">
        <v>984</v>
      </c>
      <c r="B489" t="s">
        <v>985</v>
      </c>
      <c r="C489">
        <v>1632</v>
      </c>
      <c r="D489">
        <v>1637</v>
      </c>
      <c r="E489">
        <v>1579.1</v>
      </c>
      <c r="F489">
        <v>1591.4</v>
      </c>
      <c r="G489">
        <v>1650.5</v>
      </c>
      <c r="H489">
        <v>20204</v>
      </c>
      <c r="I489">
        <v>2387</v>
      </c>
      <c r="J489">
        <v>97330164043</v>
      </c>
      <c r="K489">
        <v>61160088</v>
      </c>
      <c r="L489">
        <f>(Table1[[#This Row],[CLOSE_PRICE]] - Table1[[#This Row],[PREV_CL_PR]]) / Table1[[#This Row],[PREV_CL_PR]] * 100</f>
        <v>-3.5807331111784255</v>
      </c>
      <c r="M489">
        <f>Table1[[#This Row],[HIGH_PRICE]]-Table1[[#This Row],[LOW_PRICE]]</f>
        <v>57.900000000000091</v>
      </c>
      <c r="N489" t="str">
        <f>IF(Table1[[#This Row],[CLOSE_PRICE]]&gt;Table1[[#This Row],[OPEN_PRICE]],"Gain","Loss")</f>
        <v>Loss</v>
      </c>
      <c r="O489" t="str">
        <f>IF(Table1[[#This Row],[MARKET_CAP]]&gt;200000000000,"Large Cap",
IF(Table1[[#This Row],[MARKET_CAP]]&gt;50000000000,"Mid Cap","Small Cap"))</f>
        <v>Mid Cap</v>
      </c>
      <c r="P489" t="str">
        <f>IF(Table1[[#This Row],[NET_TRDQTY]]&gt;1000000,"High Volume","Low Volume")</f>
        <v>Low Volume</v>
      </c>
    </row>
    <row r="490" spans="1:16" x14ac:dyDescent="0.3">
      <c r="A490" t="s">
        <v>986</v>
      </c>
      <c r="B490" t="s">
        <v>987</v>
      </c>
      <c r="C490">
        <v>623.15</v>
      </c>
      <c r="D490">
        <v>623.15</v>
      </c>
      <c r="E490">
        <v>586</v>
      </c>
      <c r="F490">
        <v>588.9</v>
      </c>
      <c r="G490">
        <v>624.54999999999995</v>
      </c>
      <c r="H490">
        <v>81615</v>
      </c>
      <c r="I490">
        <v>4267</v>
      </c>
      <c r="J490">
        <v>15458464230</v>
      </c>
      <c r="K490">
        <v>26249727</v>
      </c>
      <c r="L490">
        <f>(Table1[[#This Row],[CLOSE_PRICE]] - Table1[[#This Row],[PREV_CL_PR]]) / Table1[[#This Row],[PREV_CL_PR]] * 100</f>
        <v>-5.7081098390841376</v>
      </c>
      <c r="M490">
        <f>Table1[[#This Row],[HIGH_PRICE]]-Table1[[#This Row],[LOW_PRICE]]</f>
        <v>37.149999999999977</v>
      </c>
      <c r="N490" t="str">
        <f>IF(Table1[[#This Row],[CLOSE_PRICE]]&gt;Table1[[#This Row],[OPEN_PRICE]],"Gain","Loss")</f>
        <v>Loss</v>
      </c>
      <c r="O490" t="str">
        <f>IF(Table1[[#This Row],[MARKET_CAP]]&gt;200000000000,"Large Cap",
IF(Table1[[#This Row],[MARKET_CAP]]&gt;50000000000,"Mid Cap","Small Cap"))</f>
        <v>Small Cap</v>
      </c>
      <c r="P490" t="str">
        <f>IF(Table1[[#This Row],[NET_TRDQTY]]&gt;1000000,"High Volume","Low Volume")</f>
        <v>Low Volume</v>
      </c>
    </row>
    <row r="491" spans="1:16" x14ac:dyDescent="0.3">
      <c r="A491" t="s">
        <v>988</v>
      </c>
      <c r="B491" t="s">
        <v>989</v>
      </c>
      <c r="C491">
        <v>4.2</v>
      </c>
      <c r="D491">
        <v>4.28</v>
      </c>
      <c r="E491">
        <v>3.9</v>
      </c>
      <c r="F491">
        <v>3.94</v>
      </c>
      <c r="G491">
        <v>4.18</v>
      </c>
      <c r="H491">
        <v>91130</v>
      </c>
      <c r="I491">
        <v>342</v>
      </c>
      <c r="J491">
        <v>305733362</v>
      </c>
      <c r="K491">
        <v>77597300</v>
      </c>
      <c r="L491">
        <f>(Table1[[#This Row],[CLOSE_PRICE]] - Table1[[#This Row],[PREV_CL_PR]]) / Table1[[#This Row],[PREV_CL_PR]] * 100</f>
        <v>-5.7416267942583676</v>
      </c>
      <c r="M491">
        <f>Table1[[#This Row],[HIGH_PRICE]]-Table1[[#This Row],[LOW_PRICE]]</f>
        <v>0.38000000000000034</v>
      </c>
      <c r="N491" t="str">
        <f>IF(Table1[[#This Row],[CLOSE_PRICE]]&gt;Table1[[#This Row],[OPEN_PRICE]],"Gain","Loss")</f>
        <v>Loss</v>
      </c>
      <c r="O491" t="str">
        <f>IF(Table1[[#This Row],[MARKET_CAP]]&gt;200000000000,"Large Cap",
IF(Table1[[#This Row],[MARKET_CAP]]&gt;50000000000,"Mid Cap","Small Cap"))</f>
        <v>Small Cap</v>
      </c>
      <c r="P491" t="str">
        <f>IF(Table1[[#This Row],[NET_TRDQTY]]&gt;1000000,"High Volume","Low Volume")</f>
        <v>Low Volume</v>
      </c>
    </row>
    <row r="492" spans="1:16" x14ac:dyDescent="0.3">
      <c r="A492" t="s">
        <v>990</v>
      </c>
      <c r="B492" t="s">
        <v>991</v>
      </c>
      <c r="C492">
        <v>82</v>
      </c>
      <c r="D492">
        <v>84.9</v>
      </c>
      <c r="E492">
        <v>80.2</v>
      </c>
      <c r="F492">
        <v>83.29</v>
      </c>
      <c r="G492">
        <v>83.4</v>
      </c>
      <c r="H492">
        <v>45347</v>
      </c>
      <c r="I492">
        <v>303</v>
      </c>
      <c r="J492">
        <v>1515289889</v>
      </c>
      <c r="K492">
        <v>18192939</v>
      </c>
      <c r="L492">
        <f>(Table1[[#This Row],[CLOSE_PRICE]] - Table1[[#This Row],[PREV_CL_PR]]) / Table1[[#This Row],[PREV_CL_PR]] * 100</f>
        <v>-0.13189448441246934</v>
      </c>
      <c r="M492">
        <f>Table1[[#This Row],[HIGH_PRICE]]-Table1[[#This Row],[LOW_PRICE]]</f>
        <v>4.7000000000000028</v>
      </c>
      <c r="N492" t="str">
        <f>IF(Table1[[#This Row],[CLOSE_PRICE]]&gt;Table1[[#This Row],[OPEN_PRICE]],"Gain","Loss")</f>
        <v>Gain</v>
      </c>
      <c r="O492" t="str">
        <f>IF(Table1[[#This Row],[MARKET_CAP]]&gt;200000000000,"Large Cap",
IF(Table1[[#This Row],[MARKET_CAP]]&gt;50000000000,"Mid Cap","Small Cap"))</f>
        <v>Small Cap</v>
      </c>
      <c r="P492" t="str">
        <f>IF(Table1[[#This Row],[NET_TRDQTY]]&gt;1000000,"High Volume","Low Volume")</f>
        <v>Low Volume</v>
      </c>
    </row>
    <row r="493" spans="1:16" x14ac:dyDescent="0.3">
      <c r="A493" t="s">
        <v>992</v>
      </c>
      <c r="B493" t="s">
        <v>993</v>
      </c>
      <c r="C493">
        <v>164.33</v>
      </c>
      <c r="D493">
        <v>164.33</v>
      </c>
      <c r="E493">
        <v>154.02000000000001</v>
      </c>
      <c r="F493">
        <v>156.99</v>
      </c>
      <c r="G493">
        <v>164.33</v>
      </c>
      <c r="H493">
        <v>8504</v>
      </c>
      <c r="I493">
        <v>501</v>
      </c>
      <c r="J493">
        <v>2856109494</v>
      </c>
      <c r="K493">
        <v>18192939</v>
      </c>
      <c r="L493">
        <f>(Table1[[#This Row],[CLOSE_PRICE]] - Table1[[#This Row],[PREV_CL_PR]]) / Table1[[#This Row],[PREV_CL_PR]] * 100</f>
        <v>-4.4666220410150324</v>
      </c>
      <c r="M493">
        <f>Table1[[#This Row],[HIGH_PRICE]]-Table1[[#This Row],[LOW_PRICE]]</f>
        <v>10.310000000000002</v>
      </c>
      <c r="N493" t="str">
        <f>IF(Table1[[#This Row],[CLOSE_PRICE]]&gt;Table1[[#This Row],[OPEN_PRICE]],"Gain","Loss")</f>
        <v>Loss</v>
      </c>
      <c r="O493" t="str">
        <f>IF(Table1[[#This Row],[MARKET_CAP]]&gt;200000000000,"Large Cap",
IF(Table1[[#This Row],[MARKET_CAP]]&gt;50000000000,"Mid Cap","Small Cap"))</f>
        <v>Small Cap</v>
      </c>
      <c r="P493" t="str">
        <f>IF(Table1[[#This Row],[NET_TRDQTY]]&gt;1000000,"High Volume","Low Volume")</f>
        <v>Low Volume</v>
      </c>
    </row>
    <row r="494" spans="1:16" x14ac:dyDescent="0.3">
      <c r="A494" t="s">
        <v>994</v>
      </c>
      <c r="B494" t="s">
        <v>995</v>
      </c>
      <c r="C494">
        <v>1709.6</v>
      </c>
      <c r="D494">
        <v>1720.1</v>
      </c>
      <c r="E494">
        <v>1630.7</v>
      </c>
      <c r="F494">
        <v>1642.2</v>
      </c>
      <c r="G494">
        <v>1719.3</v>
      </c>
      <c r="H494">
        <v>246092</v>
      </c>
      <c r="I494">
        <v>27740</v>
      </c>
      <c r="J494">
        <v>193000000000</v>
      </c>
      <c r="K494">
        <v>117545019</v>
      </c>
      <c r="L494">
        <f>(Table1[[#This Row],[CLOSE_PRICE]] - Table1[[#This Row],[PREV_CL_PR]]) / Table1[[#This Row],[PREV_CL_PR]] * 100</f>
        <v>-4.4843831792008322</v>
      </c>
      <c r="M494">
        <f>Table1[[#This Row],[HIGH_PRICE]]-Table1[[#This Row],[LOW_PRICE]]</f>
        <v>89.399999999999864</v>
      </c>
      <c r="N494" t="str">
        <f>IF(Table1[[#This Row],[CLOSE_PRICE]]&gt;Table1[[#This Row],[OPEN_PRICE]],"Gain","Loss")</f>
        <v>Loss</v>
      </c>
      <c r="O494" t="str">
        <f>IF(Table1[[#This Row],[MARKET_CAP]]&gt;200000000000,"Large Cap",
IF(Table1[[#This Row],[MARKET_CAP]]&gt;50000000000,"Mid Cap","Small Cap"))</f>
        <v>Mid Cap</v>
      </c>
      <c r="P494" t="str">
        <f>IF(Table1[[#This Row],[NET_TRDQTY]]&gt;1000000,"High Volume","Low Volume")</f>
        <v>Low Volume</v>
      </c>
    </row>
    <row r="495" spans="1:16" x14ac:dyDescent="0.3">
      <c r="A495" t="s">
        <v>996</v>
      </c>
      <c r="B495" t="s">
        <v>997</v>
      </c>
      <c r="C495">
        <v>6822</v>
      </c>
      <c r="D495">
        <v>6828.5</v>
      </c>
      <c r="E495">
        <v>6451.5</v>
      </c>
      <c r="F495">
        <v>6546.5</v>
      </c>
      <c r="G495">
        <v>6912</v>
      </c>
      <c r="H495">
        <v>33079</v>
      </c>
      <c r="I495">
        <v>7793</v>
      </c>
      <c r="J495">
        <v>156000000000</v>
      </c>
      <c r="K495">
        <v>23855583</v>
      </c>
      <c r="L495">
        <f>(Table1[[#This Row],[CLOSE_PRICE]] - Table1[[#This Row],[PREV_CL_PR]]) / Table1[[#This Row],[PREV_CL_PR]] * 100</f>
        <v>-5.2879050925925926</v>
      </c>
      <c r="M495">
        <f>Table1[[#This Row],[HIGH_PRICE]]-Table1[[#This Row],[LOW_PRICE]]</f>
        <v>377</v>
      </c>
      <c r="N495" t="str">
        <f>IF(Table1[[#This Row],[CLOSE_PRICE]]&gt;Table1[[#This Row],[OPEN_PRICE]],"Gain","Loss")</f>
        <v>Loss</v>
      </c>
      <c r="O495" t="str">
        <f>IF(Table1[[#This Row],[MARKET_CAP]]&gt;200000000000,"Large Cap",
IF(Table1[[#This Row],[MARKET_CAP]]&gt;50000000000,"Mid Cap","Small Cap"))</f>
        <v>Mid Cap</v>
      </c>
      <c r="P495" t="str">
        <f>IF(Table1[[#This Row],[NET_TRDQTY]]&gt;1000000,"High Volume","Low Volume")</f>
        <v>Low Volume</v>
      </c>
    </row>
    <row r="496" spans="1:16" x14ac:dyDescent="0.3">
      <c r="A496" t="s">
        <v>998</v>
      </c>
      <c r="B496" t="s">
        <v>999</v>
      </c>
      <c r="C496">
        <v>237</v>
      </c>
      <c r="D496">
        <v>237</v>
      </c>
      <c r="E496">
        <v>226.95</v>
      </c>
      <c r="F496">
        <v>228.1</v>
      </c>
      <c r="G496">
        <v>237.3</v>
      </c>
      <c r="H496">
        <v>311200</v>
      </c>
      <c r="I496">
        <v>8018</v>
      </c>
      <c r="J496">
        <v>45487115327</v>
      </c>
      <c r="K496">
        <v>199417428</v>
      </c>
      <c r="L496">
        <f>(Table1[[#This Row],[CLOSE_PRICE]] - Table1[[#This Row],[PREV_CL_PR]]) / Table1[[#This Row],[PREV_CL_PR]] * 100</f>
        <v>-3.8769490096923791</v>
      </c>
      <c r="M496">
        <f>Table1[[#This Row],[HIGH_PRICE]]-Table1[[#This Row],[LOW_PRICE]]</f>
        <v>10.050000000000011</v>
      </c>
      <c r="N496" t="str">
        <f>IF(Table1[[#This Row],[CLOSE_PRICE]]&gt;Table1[[#This Row],[OPEN_PRICE]],"Gain","Loss")</f>
        <v>Loss</v>
      </c>
      <c r="O496" t="str">
        <f>IF(Table1[[#This Row],[MARKET_CAP]]&gt;200000000000,"Large Cap",
IF(Table1[[#This Row],[MARKET_CAP]]&gt;50000000000,"Mid Cap","Small Cap"))</f>
        <v>Small Cap</v>
      </c>
      <c r="P496" t="str">
        <f>IF(Table1[[#This Row],[NET_TRDQTY]]&gt;1000000,"High Volume","Low Volume")</f>
        <v>Low Volume</v>
      </c>
    </row>
    <row r="497" spans="1:16" x14ac:dyDescent="0.3">
      <c r="A497" t="s">
        <v>1000</v>
      </c>
      <c r="B497" t="s">
        <v>1001</v>
      </c>
      <c r="C497">
        <v>6.37</v>
      </c>
      <c r="D497">
        <v>6.58</v>
      </c>
      <c r="E497">
        <v>6.07</v>
      </c>
      <c r="F497">
        <v>6.19</v>
      </c>
      <c r="G497">
        <v>6.4</v>
      </c>
      <c r="H497">
        <v>14221</v>
      </c>
      <c r="I497">
        <v>186</v>
      </c>
      <c r="J497">
        <v>124160567.5</v>
      </c>
      <c r="K497">
        <v>20058250</v>
      </c>
      <c r="L497">
        <f>(Table1[[#This Row],[CLOSE_PRICE]] - Table1[[#This Row],[PREV_CL_PR]]) / Table1[[#This Row],[PREV_CL_PR]] * 100</f>
        <v>-3.2812499999999996</v>
      </c>
      <c r="M497">
        <f>Table1[[#This Row],[HIGH_PRICE]]-Table1[[#This Row],[LOW_PRICE]]</f>
        <v>0.50999999999999979</v>
      </c>
      <c r="N497" t="str">
        <f>IF(Table1[[#This Row],[CLOSE_PRICE]]&gt;Table1[[#This Row],[OPEN_PRICE]],"Gain","Loss")</f>
        <v>Loss</v>
      </c>
      <c r="O497" t="str">
        <f>IF(Table1[[#This Row],[MARKET_CAP]]&gt;200000000000,"Large Cap",
IF(Table1[[#This Row],[MARKET_CAP]]&gt;50000000000,"Mid Cap","Small Cap"))</f>
        <v>Small Cap</v>
      </c>
      <c r="P497" t="str">
        <f>IF(Table1[[#This Row],[NET_TRDQTY]]&gt;1000000,"High Volume","Low Volume")</f>
        <v>Low Volume</v>
      </c>
    </row>
    <row r="498" spans="1:16" x14ac:dyDescent="0.3">
      <c r="A498" t="s">
        <v>1002</v>
      </c>
      <c r="B498" t="s">
        <v>1003</v>
      </c>
      <c r="C498">
        <v>1159.5999999999999</v>
      </c>
      <c r="D498">
        <v>1164</v>
      </c>
      <c r="E498">
        <v>1113</v>
      </c>
      <c r="F498">
        <v>1134.9000000000001</v>
      </c>
      <c r="G498">
        <v>1156.9000000000001</v>
      </c>
      <c r="H498">
        <v>331410</v>
      </c>
      <c r="I498">
        <v>25913</v>
      </c>
      <c r="J498">
        <v>182000000000</v>
      </c>
      <c r="K498">
        <v>160013081</v>
      </c>
      <c r="L498">
        <f>(Table1[[#This Row],[CLOSE_PRICE]] - Table1[[#This Row],[PREV_CL_PR]]) / Table1[[#This Row],[PREV_CL_PR]] * 100</f>
        <v>-1.9016336762036474</v>
      </c>
      <c r="M498">
        <f>Table1[[#This Row],[HIGH_PRICE]]-Table1[[#This Row],[LOW_PRICE]]</f>
        <v>51</v>
      </c>
      <c r="N498" t="str">
        <f>IF(Table1[[#This Row],[CLOSE_PRICE]]&gt;Table1[[#This Row],[OPEN_PRICE]],"Gain","Loss")</f>
        <v>Loss</v>
      </c>
      <c r="O498" t="str">
        <f>IF(Table1[[#This Row],[MARKET_CAP]]&gt;200000000000,"Large Cap",
IF(Table1[[#This Row],[MARKET_CAP]]&gt;50000000000,"Mid Cap","Small Cap"))</f>
        <v>Mid Cap</v>
      </c>
      <c r="P498" t="str">
        <f>IF(Table1[[#This Row],[NET_TRDQTY]]&gt;1000000,"High Volume","Low Volume")</f>
        <v>Low Volume</v>
      </c>
    </row>
    <row r="499" spans="1:16" x14ac:dyDescent="0.3">
      <c r="A499" t="s">
        <v>1004</v>
      </c>
      <c r="B499" t="s">
        <v>1005</v>
      </c>
      <c r="C499">
        <v>323</v>
      </c>
      <c r="D499">
        <v>331.6</v>
      </c>
      <c r="E499">
        <v>316.55</v>
      </c>
      <c r="F499">
        <v>318.25</v>
      </c>
      <c r="G499">
        <v>330.25</v>
      </c>
      <c r="H499">
        <v>5174</v>
      </c>
      <c r="I499">
        <v>166</v>
      </c>
      <c r="J499">
        <v>9054212500</v>
      </c>
      <c r="K499">
        <v>28450000</v>
      </c>
      <c r="L499">
        <f>(Table1[[#This Row],[CLOSE_PRICE]] - Table1[[#This Row],[PREV_CL_PR]]) / Table1[[#This Row],[PREV_CL_PR]] * 100</f>
        <v>-3.6336109008327027</v>
      </c>
      <c r="M499">
        <f>Table1[[#This Row],[HIGH_PRICE]]-Table1[[#This Row],[LOW_PRICE]]</f>
        <v>15.050000000000011</v>
      </c>
      <c r="N499" t="str">
        <f>IF(Table1[[#This Row],[CLOSE_PRICE]]&gt;Table1[[#This Row],[OPEN_PRICE]],"Gain","Loss")</f>
        <v>Loss</v>
      </c>
      <c r="O499" t="str">
        <f>IF(Table1[[#This Row],[MARKET_CAP]]&gt;200000000000,"Large Cap",
IF(Table1[[#This Row],[MARKET_CAP]]&gt;50000000000,"Mid Cap","Small Cap"))</f>
        <v>Small Cap</v>
      </c>
      <c r="P499" t="str">
        <f>IF(Table1[[#This Row],[NET_TRDQTY]]&gt;1000000,"High Volume","Low Volume")</f>
        <v>Low Volume</v>
      </c>
    </row>
    <row r="500" spans="1:16" x14ac:dyDescent="0.3">
      <c r="A500" t="s">
        <v>1006</v>
      </c>
      <c r="B500" t="s">
        <v>1007</v>
      </c>
      <c r="C500">
        <v>3984.1</v>
      </c>
      <c r="D500">
        <v>4028</v>
      </c>
      <c r="E500">
        <v>3874.9</v>
      </c>
      <c r="F500">
        <v>3999.4</v>
      </c>
      <c r="G500">
        <v>4000.4</v>
      </c>
      <c r="H500">
        <v>61457</v>
      </c>
      <c r="I500">
        <v>14340</v>
      </c>
      <c r="J500">
        <v>292000000000</v>
      </c>
      <c r="K500">
        <v>73130017</v>
      </c>
      <c r="L500">
        <f>(Table1[[#This Row],[CLOSE_PRICE]] - Table1[[#This Row],[PREV_CL_PR]]) / Table1[[#This Row],[PREV_CL_PR]] * 100</f>
        <v>-2.4997500249975001E-2</v>
      </c>
      <c r="M500">
        <f>Table1[[#This Row],[HIGH_PRICE]]-Table1[[#This Row],[LOW_PRICE]]</f>
        <v>153.09999999999991</v>
      </c>
      <c r="N500" t="str">
        <f>IF(Table1[[#This Row],[CLOSE_PRICE]]&gt;Table1[[#This Row],[OPEN_PRICE]],"Gain","Loss")</f>
        <v>Gain</v>
      </c>
      <c r="O500" t="str">
        <f>IF(Table1[[#This Row],[MARKET_CAP]]&gt;200000000000,"Large Cap",
IF(Table1[[#This Row],[MARKET_CAP]]&gt;50000000000,"Mid Cap","Small Cap"))</f>
        <v>Large Cap</v>
      </c>
      <c r="P500" t="str">
        <f>IF(Table1[[#This Row],[NET_TRDQTY]]&gt;1000000,"High Volume","Low Volume")</f>
        <v>Low Volume</v>
      </c>
    </row>
    <row r="501" spans="1:16" x14ac:dyDescent="0.3">
      <c r="A501" t="s">
        <v>1008</v>
      </c>
      <c r="B501" t="s">
        <v>1009</v>
      </c>
      <c r="C501">
        <v>197.15</v>
      </c>
      <c r="D501">
        <v>199</v>
      </c>
      <c r="E501">
        <v>183.15</v>
      </c>
      <c r="F501">
        <v>185.77</v>
      </c>
      <c r="G501">
        <v>202.47</v>
      </c>
      <c r="H501">
        <v>745262</v>
      </c>
      <c r="I501">
        <v>12198</v>
      </c>
      <c r="J501">
        <v>32506499025</v>
      </c>
      <c r="K501">
        <v>174982500</v>
      </c>
      <c r="L501">
        <f>(Table1[[#This Row],[CLOSE_PRICE]] - Table1[[#This Row],[PREV_CL_PR]]) / Table1[[#This Row],[PREV_CL_PR]] * 100</f>
        <v>-8.2481355262507972</v>
      </c>
      <c r="M501">
        <f>Table1[[#This Row],[HIGH_PRICE]]-Table1[[#This Row],[LOW_PRICE]]</f>
        <v>15.849999999999994</v>
      </c>
      <c r="N501" t="str">
        <f>IF(Table1[[#This Row],[CLOSE_PRICE]]&gt;Table1[[#This Row],[OPEN_PRICE]],"Gain","Loss")</f>
        <v>Loss</v>
      </c>
      <c r="O501" t="str">
        <f>IF(Table1[[#This Row],[MARKET_CAP]]&gt;200000000000,"Large Cap",
IF(Table1[[#This Row],[MARKET_CAP]]&gt;50000000000,"Mid Cap","Small Cap"))</f>
        <v>Small Cap</v>
      </c>
      <c r="P501" t="str">
        <f>IF(Table1[[#This Row],[NET_TRDQTY]]&gt;1000000,"High Volume","Low Volume")</f>
        <v>Low Volume</v>
      </c>
    </row>
    <row r="502" spans="1:16" x14ac:dyDescent="0.3">
      <c r="A502" t="s">
        <v>1010</v>
      </c>
      <c r="B502" t="s">
        <v>1011</v>
      </c>
      <c r="C502">
        <v>241.8</v>
      </c>
      <c r="D502">
        <v>241.8</v>
      </c>
      <c r="E502">
        <v>230.35</v>
      </c>
      <c r="F502">
        <v>233.2</v>
      </c>
      <c r="G502">
        <v>243.15</v>
      </c>
      <c r="H502">
        <v>2243916</v>
      </c>
      <c r="I502">
        <v>46674</v>
      </c>
      <c r="J502">
        <v>150000000000</v>
      </c>
      <c r="K502">
        <v>643914875</v>
      </c>
      <c r="L502">
        <f>(Table1[[#This Row],[CLOSE_PRICE]] - Table1[[#This Row],[PREV_CL_PR]]) / Table1[[#This Row],[PREV_CL_PR]] * 100</f>
        <v>-4.0921242031667759</v>
      </c>
      <c r="M502">
        <f>Table1[[#This Row],[HIGH_PRICE]]-Table1[[#This Row],[LOW_PRICE]]</f>
        <v>11.450000000000017</v>
      </c>
      <c r="N502" t="str">
        <f>IF(Table1[[#This Row],[CLOSE_PRICE]]&gt;Table1[[#This Row],[OPEN_PRICE]],"Gain","Loss")</f>
        <v>Loss</v>
      </c>
      <c r="O502" t="str">
        <f>IF(Table1[[#This Row],[MARKET_CAP]]&gt;200000000000,"Large Cap",
IF(Table1[[#This Row],[MARKET_CAP]]&gt;50000000000,"Mid Cap","Small Cap"))</f>
        <v>Mid Cap</v>
      </c>
      <c r="P502" t="str">
        <f>IF(Table1[[#This Row],[NET_TRDQTY]]&gt;1000000,"High Volume","Low Volume")</f>
        <v>High Volume</v>
      </c>
    </row>
    <row r="503" spans="1:16" x14ac:dyDescent="0.3">
      <c r="A503" t="s">
        <v>1012</v>
      </c>
      <c r="B503" t="s">
        <v>1013</v>
      </c>
      <c r="C503">
        <v>114.3</v>
      </c>
      <c r="D503">
        <v>117.98</v>
      </c>
      <c r="E503">
        <v>110</v>
      </c>
      <c r="F503">
        <v>112.47</v>
      </c>
      <c r="G503">
        <v>116.63</v>
      </c>
      <c r="H503">
        <v>24084</v>
      </c>
      <c r="I503">
        <v>655</v>
      </c>
      <c r="J503">
        <v>1268194175</v>
      </c>
      <c r="K503">
        <v>11275844</v>
      </c>
      <c r="L503">
        <f>(Table1[[#This Row],[CLOSE_PRICE]] - Table1[[#This Row],[PREV_CL_PR]]) / Table1[[#This Row],[PREV_CL_PR]] * 100</f>
        <v>-3.5668352910914831</v>
      </c>
      <c r="M503">
        <f>Table1[[#This Row],[HIGH_PRICE]]-Table1[[#This Row],[LOW_PRICE]]</f>
        <v>7.980000000000004</v>
      </c>
      <c r="N503" t="str">
        <f>IF(Table1[[#This Row],[CLOSE_PRICE]]&gt;Table1[[#This Row],[OPEN_PRICE]],"Gain","Loss")</f>
        <v>Loss</v>
      </c>
      <c r="O503" t="str">
        <f>IF(Table1[[#This Row],[MARKET_CAP]]&gt;200000000000,"Large Cap",
IF(Table1[[#This Row],[MARKET_CAP]]&gt;50000000000,"Mid Cap","Small Cap"))</f>
        <v>Small Cap</v>
      </c>
      <c r="P503" t="str">
        <f>IF(Table1[[#This Row],[NET_TRDQTY]]&gt;1000000,"High Volume","Low Volume")</f>
        <v>Low Volume</v>
      </c>
    </row>
    <row r="504" spans="1:16" x14ac:dyDescent="0.3">
      <c r="A504" t="s">
        <v>1014</v>
      </c>
      <c r="B504" t="s">
        <v>1015</v>
      </c>
      <c r="C504">
        <v>357.5</v>
      </c>
      <c r="D504">
        <v>360</v>
      </c>
      <c r="E504">
        <v>340.2</v>
      </c>
      <c r="F504">
        <v>344.25</v>
      </c>
      <c r="G504">
        <v>361.3</v>
      </c>
      <c r="H504">
        <v>681936</v>
      </c>
      <c r="I504">
        <v>16983</v>
      </c>
      <c r="J504">
        <v>59722495945</v>
      </c>
      <c r="K504">
        <v>173485827</v>
      </c>
      <c r="L504">
        <f>(Table1[[#This Row],[CLOSE_PRICE]] - Table1[[#This Row],[PREV_CL_PR]]) / Table1[[#This Row],[PREV_CL_PR]] * 100</f>
        <v>-4.7190700249100503</v>
      </c>
      <c r="M504">
        <f>Table1[[#This Row],[HIGH_PRICE]]-Table1[[#This Row],[LOW_PRICE]]</f>
        <v>19.800000000000011</v>
      </c>
      <c r="N504" t="str">
        <f>IF(Table1[[#This Row],[CLOSE_PRICE]]&gt;Table1[[#This Row],[OPEN_PRICE]],"Gain","Loss")</f>
        <v>Loss</v>
      </c>
      <c r="O504" t="str">
        <f>IF(Table1[[#This Row],[MARKET_CAP]]&gt;200000000000,"Large Cap",
IF(Table1[[#This Row],[MARKET_CAP]]&gt;50000000000,"Mid Cap","Small Cap"))</f>
        <v>Mid Cap</v>
      </c>
      <c r="P504" t="str">
        <f>IF(Table1[[#This Row],[NET_TRDQTY]]&gt;1000000,"High Volume","Low Volume")</f>
        <v>Low Volume</v>
      </c>
    </row>
    <row r="505" spans="1:16" x14ac:dyDescent="0.3">
      <c r="A505" t="s">
        <v>1016</v>
      </c>
      <c r="B505" t="s">
        <v>1017</v>
      </c>
      <c r="C505">
        <v>245.95</v>
      </c>
      <c r="D505">
        <v>245.95</v>
      </c>
      <c r="E505">
        <v>242</v>
      </c>
      <c r="F505">
        <v>242.35</v>
      </c>
      <c r="G505">
        <v>246.95</v>
      </c>
      <c r="H505">
        <v>94844</v>
      </c>
      <c r="I505">
        <v>490</v>
      </c>
      <c r="J505">
        <v>5521368199</v>
      </c>
      <c r="K505">
        <v>22782621</v>
      </c>
      <c r="L505">
        <f>(Table1[[#This Row],[CLOSE_PRICE]] - Table1[[#This Row],[PREV_CL_PR]]) / Table1[[#This Row],[PREV_CL_PR]] * 100</f>
        <v>-1.8627252480259138</v>
      </c>
      <c r="M505">
        <f>Table1[[#This Row],[HIGH_PRICE]]-Table1[[#This Row],[LOW_PRICE]]</f>
        <v>3.9499999999999886</v>
      </c>
      <c r="N505" t="str">
        <f>IF(Table1[[#This Row],[CLOSE_PRICE]]&gt;Table1[[#This Row],[OPEN_PRICE]],"Gain","Loss")</f>
        <v>Loss</v>
      </c>
      <c r="O505" t="str">
        <f>IF(Table1[[#This Row],[MARKET_CAP]]&gt;200000000000,"Large Cap",
IF(Table1[[#This Row],[MARKET_CAP]]&gt;50000000000,"Mid Cap","Small Cap"))</f>
        <v>Small Cap</v>
      </c>
      <c r="P505" t="str">
        <f>IF(Table1[[#This Row],[NET_TRDQTY]]&gt;1000000,"High Volume","Low Volume")</f>
        <v>Low Volume</v>
      </c>
    </row>
    <row r="506" spans="1:16" x14ac:dyDescent="0.3">
      <c r="A506" t="s">
        <v>1018</v>
      </c>
      <c r="B506" t="s">
        <v>1019</v>
      </c>
      <c r="C506">
        <v>23.47</v>
      </c>
      <c r="D506">
        <v>23.96</v>
      </c>
      <c r="E506">
        <v>21.2</v>
      </c>
      <c r="F506">
        <v>21.42</v>
      </c>
      <c r="G506">
        <v>23.47</v>
      </c>
      <c r="H506">
        <v>45480</v>
      </c>
      <c r="I506">
        <v>562</v>
      </c>
      <c r="J506">
        <v>420496341.30000001</v>
      </c>
      <c r="K506">
        <v>19631015</v>
      </c>
      <c r="L506">
        <f>(Table1[[#This Row],[CLOSE_PRICE]] - Table1[[#This Row],[PREV_CL_PR]]) / Table1[[#This Row],[PREV_CL_PR]] * 100</f>
        <v>-8.7345547507456214</v>
      </c>
      <c r="M506">
        <f>Table1[[#This Row],[HIGH_PRICE]]-Table1[[#This Row],[LOW_PRICE]]</f>
        <v>2.7600000000000016</v>
      </c>
      <c r="N506" t="str">
        <f>IF(Table1[[#This Row],[CLOSE_PRICE]]&gt;Table1[[#This Row],[OPEN_PRICE]],"Gain","Loss")</f>
        <v>Loss</v>
      </c>
      <c r="O506" t="str">
        <f>IF(Table1[[#This Row],[MARKET_CAP]]&gt;200000000000,"Large Cap",
IF(Table1[[#This Row],[MARKET_CAP]]&gt;50000000000,"Mid Cap","Small Cap"))</f>
        <v>Small Cap</v>
      </c>
      <c r="P506" t="str">
        <f>IF(Table1[[#This Row],[NET_TRDQTY]]&gt;1000000,"High Volume","Low Volume")</f>
        <v>Low Volume</v>
      </c>
    </row>
    <row r="507" spans="1:16" x14ac:dyDescent="0.3">
      <c r="A507" t="s">
        <v>1020</v>
      </c>
      <c r="B507" t="s">
        <v>1021</v>
      </c>
      <c r="C507">
        <v>239.95</v>
      </c>
      <c r="D507">
        <v>239.95</v>
      </c>
      <c r="E507">
        <v>230.75</v>
      </c>
      <c r="F507">
        <v>234.3</v>
      </c>
      <c r="G507">
        <v>241.35</v>
      </c>
      <c r="H507">
        <v>1600262</v>
      </c>
      <c r="I507">
        <v>31714</v>
      </c>
      <c r="J507">
        <v>174000000000</v>
      </c>
      <c r="K507">
        <v>742098317</v>
      </c>
      <c r="L507">
        <f>(Table1[[#This Row],[CLOSE_PRICE]] - Table1[[#This Row],[PREV_CL_PR]]) / Table1[[#This Row],[PREV_CL_PR]] * 100</f>
        <v>-2.9210689869484079</v>
      </c>
      <c r="M507">
        <f>Table1[[#This Row],[HIGH_PRICE]]-Table1[[#This Row],[LOW_PRICE]]</f>
        <v>9.1999999999999886</v>
      </c>
      <c r="N507" t="str">
        <f>IF(Table1[[#This Row],[CLOSE_PRICE]]&gt;Table1[[#This Row],[OPEN_PRICE]],"Gain","Loss")</f>
        <v>Loss</v>
      </c>
      <c r="O507" t="str">
        <f>IF(Table1[[#This Row],[MARKET_CAP]]&gt;200000000000,"Large Cap",
IF(Table1[[#This Row],[MARKET_CAP]]&gt;50000000000,"Mid Cap","Small Cap"))</f>
        <v>Mid Cap</v>
      </c>
      <c r="P507" t="str">
        <f>IF(Table1[[#This Row],[NET_TRDQTY]]&gt;1000000,"High Volume","Low Volume")</f>
        <v>High Volume</v>
      </c>
    </row>
    <row r="508" spans="1:16" x14ac:dyDescent="0.3">
      <c r="A508" t="s">
        <v>1022</v>
      </c>
      <c r="B508" t="s">
        <v>1023</v>
      </c>
      <c r="C508">
        <v>87.71</v>
      </c>
      <c r="D508">
        <v>88.95</v>
      </c>
      <c r="E508">
        <v>81</v>
      </c>
      <c r="F508">
        <v>82.04</v>
      </c>
      <c r="G508">
        <v>89.05</v>
      </c>
      <c r="H508">
        <v>122580</v>
      </c>
      <c r="I508">
        <v>2295</v>
      </c>
      <c r="J508">
        <v>1174728709</v>
      </c>
      <c r="K508">
        <v>14318975</v>
      </c>
      <c r="L508">
        <f>(Table1[[#This Row],[CLOSE_PRICE]] - Table1[[#This Row],[PREV_CL_PR]]) / Table1[[#This Row],[PREV_CL_PR]] * 100</f>
        <v>-7.8719820325659651</v>
      </c>
      <c r="M508">
        <f>Table1[[#This Row],[HIGH_PRICE]]-Table1[[#This Row],[LOW_PRICE]]</f>
        <v>7.9500000000000028</v>
      </c>
      <c r="N508" t="str">
        <f>IF(Table1[[#This Row],[CLOSE_PRICE]]&gt;Table1[[#This Row],[OPEN_PRICE]],"Gain","Loss")</f>
        <v>Loss</v>
      </c>
      <c r="O508" t="str">
        <f>IF(Table1[[#This Row],[MARKET_CAP]]&gt;200000000000,"Large Cap",
IF(Table1[[#This Row],[MARKET_CAP]]&gt;50000000000,"Mid Cap","Small Cap"))</f>
        <v>Small Cap</v>
      </c>
      <c r="P508" t="str">
        <f>IF(Table1[[#This Row],[NET_TRDQTY]]&gt;1000000,"High Volume","Low Volume")</f>
        <v>Low Volume</v>
      </c>
    </row>
    <row r="509" spans="1:16" x14ac:dyDescent="0.3">
      <c r="A509" t="s">
        <v>1024</v>
      </c>
      <c r="B509" t="s">
        <v>1025</v>
      </c>
      <c r="C509">
        <v>4581</v>
      </c>
      <c r="D509">
        <v>4583.8999999999996</v>
      </c>
      <c r="E509">
        <v>4394</v>
      </c>
      <c r="F509">
        <v>4518</v>
      </c>
      <c r="G509">
        <v>4615.3</v>
      </c>
      <c r="H509">
        <v>972428</v>
      </c>
      <c r="I509">
        <v>100504</v>
      </c>
      <c r="J509">
        <v>1250000000000</v>
      </c>
      <c r="K509">
        <v>277200000</v>
      </c>
      <c r="L509">
        <f>(Table1[[#This Row],[CLOSE_PRICE]] - Table1[[#This Row],[PREV_CL_PR]]) / Table1[[#This Row],[PREV_CL_PR]] * 100</f>
        <v>-2.1082053170974837</v>
      </c>
      <c r="M509">
        <f>Table1[[#This Row],[HIGH_PRICE]]-Table1[[#This Row],[LOW_PRICE]]</f>
        <v>189.89999999999964</v>
      </c>
      <c r="N509" t="str">
        <f>IF(Table1[[#This Row],[CLOSE_PRICE]]&gt;Table1[[#This Row],[OPEN_PRICE]],"Gain","Loss")</f>
        <v>Loss</v>
      </c>
      <c r="O509" t="str">
        <f>IF(Table1[[#This Row],[MARKET_CAP]]&gt;200000000000,"Large Cap",
IF(Table1[[#This Row],[MARKET_CAP]]&gt;50000000000,"Mid Cap","Small Cap"))</f>
        <v>Large Cap</v>
      </c>
      <c r="P509" t="str">
        <f>IF(Table1[[#This Row],[NET_TRDQTY]]&gt;1000000,"High Volume","Low Volume")</f>
        <v>Low Volume</v>
      </c>
    </row>
    <row r="510" spans="1:16" x14ac:dyDescent="0.3">
      <c r="A510" t="s">
        <v>1026</v>
      </c>
      <c r="B510" t="s">
        <v>1027</v>
      </c>
      <c r="C510">
        <v>79.599999999999994</v>
      </c>
      <c r="D510">
        <v>81.2</v>
      </c>
      <c r="E510">
        <v>77</v>
      </c>
      <c r="F510">
        <v>80.099999999999994</v>
      </c>
      <c r="G510">
        <v>79.599999999999994</v>
      </c>
      <c r="H510">
        <v>10772919</v>
      </c>
      <c r="I510">
        <v>32809</v>
      </c>
      <c r="J510">
        <v>108000000000</v>
      </c>
      <c r="K510">
        <v>1342335700</v>
      </c>
      <c r="L510">
        <f>(Table1[[#This Row],[CLOSE_PRICE]] - Table1[[#This Row],[PREV_CL_PR]]) / Table1[[#This Row],[PREV_CL_PR]] * 100</f>
        <v>0.62814070351758799</v>
      </c>
      <c r="M510">
        <f>Table1[[#This Row],[HIGH_PRICE]]-Table1[[#This Row],[LOW_PRICE]]</f>
        <v>4.2000000000000028</v>
      </c>
      <c r="N510" t="str">
        <f>IF(Table1[[#This Row],[CLOSE_PRICE]]&gt;Table1[[#This Row],[OPEN_PRICE]],"Gain","Loss")</f>
        <v>Gain</v>
      </c>
      <c r="O510" t="str">
        <f>IF(Table1[[#This Row],[MARKET_CAP]]&gt;200000000000,"Large Cap",
IF(Table1[[#This Row],[MARKET_CAP]]&gt;50000000000,"Mid Cap","Small Cap"))</f>
        <v>Mid Cap</v>
      </c>
      <c r="P510" t="str">
        <f>IF(Table1[[#This Row],[NET_TRDQTY]]&gt;1000000,"High Volume","Low Volume")</f>
        <v>High Volume</v>
      </c>
    </row>
    <row r="511" spans="1:16" x14ac:dyDescent="0.3">
      <c r="A511" t="s">
        <v>1028</v>
      </c>
      <c r="B511" t="s">
        <v>1029</v>
      </c>
      <c r="C511">
        <v>14.07</v>
      </c>
      <c r="D511">
        <v>14.07</v>
      </c>
      <c r="E511">
        <v>12.5</v>
      </c>
      <c r="F511">
        <v>12.96</v>
      </c>
      <c r="G511">
        <v>13.12</v>
      </c>
      <c r="H511">
        <v>16906</v>
      </c>
      <c r="I511">
        <v>175</v>
      </c>
      <c r="J511">
        <v>203047456.30000001</v>
      </c>
      <c r="K511">
        <v>15667242</v>
      </c>
      <c r="L511">
        <f>(Table1[[#This Row],[CLOSE_PRICE]] - Table1[[#This Row],[PREV_CL_PR]]) / Table1[[#This Row],[PREV_CL_PR]] * 100</f>
        <v>-1.2195121951219388</v>
      </c>
      <c r="M511">
        <f>Table1[[#This Row],[HIGH_PRICE]]-Table1[[#This Row],[LOW_PRICE]]</f>
        <v>1.5700000000000003</v>
      </c>
      <c r="N511" t="str">
        <f>IF(Table1[[#This Row],[CLOSE_PRICE]]&gt;Table1[[#This Row],[OPEN_PRICE]],"Gain","Loss")</f>
        <v>Loss</v>
      </c>
      <c r="O511" t="str">
        <f>IF(Table1[[#This Row],[MARKET_CAP]]&gt;200000000000,"Large Cap",
IF(Table1[[#This Row],[MARKET_CAP]]&gt;50000000000,"Mid Cap","Small Cap"))</f>
        <v>Small Cap</v>
      </c>
      <c r="P511" t="str">
        <f>IF(Table1[[#This Row],[NET_TRDQTY]]&gt;1000000,"High Volume","Low Volume")</f>
        <v>Low Volume</v>
      </c>
    </row>
    <row r="512" spans="1:16" x14ac:dyDescent="0.3">
      <c r="A512" t="s">
        <v>1030</v>
      </c>
      <c r="B512" t="s">
        <v>1031</v>
      </c>
      <c r="C512">
        <v>105.7</v>
      </c>
      <c r="D512">
        <v>107.19</v>
      </c>
      <c r="E512">
        <v>99.5</v>
      </c>
      <c r="F512">
        <v>100.95</v>
      </c>
      <c r="G512">
        <v>110.12</v>
      </c>
      <c r="H512">
        <v>67873</v>
      </c>
      <c r="I512">
        <v>2493</v>
      </c>
      <c r="J512">
        <v>3142633363</v>
      </c>
      <c r="K512">
        <v>31130593</v>
      </c>
      <c r="L512">
        <f>(Table1[[#This Row],[CLOSE_PRICE]] - Table1[[#This Row],[PREV_CL_PR]]) / Table1[[#This Row],[PREV_CL_PR]] * 100</f>
        <v>-8.3272793316382145</v>
      </c>
      <c r="M512">
        <f>Table1[[#This Row],[HIGH_PRICE]]-Table1[[#This Row],[LOW_PRICE]]</f>
        <v>7.6899999999999977</v>
      </c>
      <c r="N512" t="str">
        <f>IF(Table1[[#This Row],[CLOSE_PRICE]]&gt;Table1[[#This Row],[OPEN_PRICE]],"Gain","Loss")</f>
        <v>Loss</v>
      </c>
      <c r="O512" t="str">
        <f>IF(Table1[[#This Row],[MARKET_CAP]]&gt;200000000000,"Large Cap",
IF(Table1[[#This Row],[MARKET_CAP]]&gt;50000000000,"Mid Cap","Small Cap"))</f>
        <v>Small Cap</v>
      </c>
      <c r="P512" t="str">
        <f>IF(Table1[[#This Row],[NET_TRDQTY]]&gt;1000000,"High Volume","Low Volume")</f>
        <v>Low Volume</v>
      </c>
    </row>
    <row r="513" spans="1:16" x14ac:dyDescent="0.3">
      <c r="A513" t="s">
        <v>1032</v>
      </c>
      <c r="B513" t="s">
        <v>1033</v>
      </c>
      <c r="C513">
        <v>820</v>
      </c>
      <c r="D513">
        <v>825.35</v>
      </c>
      <c r="E513">
        <v>788.25</v>
      </c>
      <c r="F513">
        <v>791.4</v>
      </c>
      <c r="G513">
        <v>825.35</v>
      </c>
      <c r="H513">
        <v>309297</v>
      </c>
      <c r="I513">
        <v>23686</v>
      </c>
      <c r="J513">
        <v>87926277123</v>
      </c>
      <c r="K513">
        <v>111102195</v>
      </c>
      <c r="L513">
        <f>(Table1[[#This Row],[CLOSE_PRICE]] - Table1[[#This Row],[PREV_CL_PR]]) / Table1[[#This Row],[PREV_CL_PR]] * 100</f>
        <v>-4.1134064336342213</v>
      </c>
      <c r="M513">
        <f>Table1[[#This Row],[HIGH_PRICE]]-Table1[[#This Row],[LOW_PRICE]]</f>
        <v>37.100000000000023</v>
      </c>
      <c r="N513" t="str">
        <f>IF(Table1[[#This Row],[CLOSE_PRICE]]&gt;Table1[[#This Row],[OPEN_PRICE]],"Gain","Loss")</f>
        <v>Loss</v>
      </c>
      <c r="O513" t="str">
        <f>IF(Table1[[#This Row],[MARKET_CAP]]&gt;200000000000,"Large Cap",
IF(Table1[[#This Row],[MARKET_CAP]]&gt;50000000000,"Mid Cap","Small Cap"))</f>
        <v>Mid Cap</v>
      </c>
      <c r="P513" t="str">
        <f>IF(Table1[[#This Row],[NET_TRDQTY]]&gt;1000000,"High Volume","Low Volume")</f>
        <v>Low Volume</v>
      </c>
    </row>
    <row r="514" spans="1:16" x14ac:dyDescent="0.3">
      <c r="A514" t="s">
        <v>1034</v>
      </c>
      <c r="B514" t="s">
        <v>1035</v>
      </c>
      <c r="C514">
        <v>300.05</v>
      </c>
      <c r="D514">
        <v>301.7</v>
      </c>
      <c r="E514">
        <v>276.14999999999998</v>
      </c>
      <c r="F514">
        <v>280.14999999999998</v>
      </c>
      <c r="G514">
        <v>303.8</v>
      </c>
      <c r="H514">
        <v>765989</v>
      </c>
      <c r="I514">
        <v>17617</v>
      </c>
      <c r="J514">
        <v>22233935539</v>
      </c>
      <c r="K514">
        <v>79364396</v>
      </c>
      <c r="L514">
        <f>(Table1[[#This Row],[CLOSE_PRICE]] - Table1[[#This Row],[PREV_CL_PR]]) / Table1[[#This Row],[PREV_CL_PR]] * 100</f>
        <v>-7.7847267939433946</v>
      </c>
      <c r="M514">
        <f>Table1[[#This Row],[HIGH_PRICE]]-Table1[[#This Row],[LOW_PRICE]]</f>
        <v>25.550000000000011</v>
      </c>
      <c r="N514" t="str">
        <f>IF(Table1[[#This Row],[CLOSE_PRICE]]&gt;Table1[[#This Row],[OPEN_PRICE]],"Gain","Loss")</f>
        <v>Loss</v>
      </c>
      <c r="O514" t="str">
        <f>IF(Table1[[#This Row],[MARKET_CAP]]&gt;200000000000,"Large Cap",
IF(Table1[[#This Row],[MARKET_CAP]]&gt;50000000000,"Mid Cap","Small Cap"))</f>
        <v>Small Cap</v>
      </c>
      <c r="P514" t="str">
        <f>IF(Table1[[#This Row],[NET_TRDQTY]]&gt;1000000,"High Volume","Low Volume")</f>
        <v>Low Volume</v>
      </c>
    </row>
    <row r="515" spans="1:16" x14ac:dyDescent="0.3">
      <c r="A515" t="s">
        <v>1036</v>
      </c>
      <c r="B515" t="s">
        <v>1037</v>
      </c>
      <c r="C515">
        <v>428.95</v>
      </c>
      <c r="D515">
        <v>428.95</v>
      </c>
      <c r="E515">
        <v>416.05</v>
      </c>
      <c r="F515">
        <v>417.35</v>
      </c>
      <c r="G515">
        <v>430.7</v>
      </c>
      <c r="H515">
        <v>3382496</v>
      </c>
      <c r="I515">
        <v>42285</v>
      </c>
      <c r="J515">
        <v>740000000000</v>
      </c>
      <c r="K515">
        <v>1773690172</v>
      </c>
      <c r="L515">
        <f>(Table1[[#This Row],[CLOSE_PRICE]] - Table1[[#This Row],[PREV_CL_PR]]) / Table1[[#This Row],[PREV_CL_PR]] * 100</f>
        <v>-3.0996052937079095</v>
      </c>
      <c r="M515">
        <f>Table1[[#This Row],[HIGH_PRICE]]-Table1[[#This Row],[LOW_PRICE]]</f>
        <v>12.899999999999977</v>
      </c>
      <c r="N515" t="str">
        <f>IF(Table1[[#This Row],[CLOSE_PRICE]]&gt;Table1[[#This Row],[OPEN_PRICE]],"Gain","Loss")</f>
        <v>Loss</v>
      </c>
      <c r="O515" t="str">
        <f>IF(Table1[[#This Row],[MARKET_CAP]]&gt;200000000000,"Large Cap",
IF(Table1[[#This Row],[MARKET_CAP]]&gt;50000000000,"Mid Cap","Small Cap"))</f>
        <v>Large Cap</v>
      </c>
      <c r="P515" t="str">
        <f>IF(Table1[[#This Row],[NET_TRDQTY]]&gt;1000000,"High Volume","Low Volume")</f>
        <v>High Volume</v>
      </c>
    </row>
    <row r="516" spans="1:16" x14ac:dyDescent="0.3">
      <c r="A516" t="s">
        <v>1038</v>
      </c>
      <c r="B516" t="s">
        <v>1039</v>
      </c>
      <c r="C516">
        <v>1821.3</v>
      </c>
      <c r="D516">
        <v>1831</v>
      </c>
      <c r="E516">
        <v>1717.3</v>
      </c>
      <c r="F516">
        <v>1746.1</v>
      </c>
      <c r="G516">
        <v>1841</v>
      </c>
      <c r="H516">
        <v>434989</v>
      </c>
      <c r="I516">
        <v>19017</v>
      </c>
      <c r="J516">
        <v>328000000000</v>
      </c>
      <c r="K516">
        <v>187565161</v>
      </c>
      <c r="L516">
        <f>(Table1[[#This Row],[CLOSE_PRICE]] - Table1[[#This Row],[PREV_CL_PR]]) / Table1[[#This Row],[PREV_CL_PR]] * 100</f>
        <v>-5.1548071700163005</v>
      </c>
      <c r="M516">
        <f>Table1[[#This Row],[HIGH_PRICE]]-Table1[[#This Row],[LOW_PRICE]]</f>
        <v>113.70000000000005</v>
      </c>
      <c r="N516" t="str">
        <f>IF(Table1[[#This Row],[CLOSE_PRICE]]&gt;Table1[[#This Row],[OPEN_PRICE]],"Gain","Loss")</f>
        <v>Loss</v>
      </c>
      <c r="O516" t="str">
        <f>IF(Table1[[#This Row],[MARKET_CAP]]&gt;200000000000,"Large Cap",
IF(Table1[[#This Row],[MARKET_CAP]]&gt;50000000000,"Mid Cap","Small Cap"))</f>
        <v>Large Cap</v>
      </c>
      <c r="P516" t="str">
        <f>IF(Table1[[#This Row],[NET_TRDQTY]]&gt;1000000,"High Volume","Low Volume")</f>
        <v>Low Volume</v>
      </c>
    </row>
    <row r="517" spans="1:16" x14ac:dyDescent="0.3">
      <c r="A517" t="s">
        <v>1040</v>
      </c>
      <c r="B517" t="s">
        <v>1041</v>
      </c>
      <c r="C517">
        <v>315</v>
      </c>
      <c r="D517">
        <v>320.55</v>
      </c>
      <c r="E517">
        <v>303</v>
      </c>
      <c r="F517">
        <v>304.8</v>
      </c>
      <c r="G517">
        <v>320.60000000000002</v>
      </c>
      <c r="H517">
        <v>182293</v>
      </c>
      <c r="I517">
        <v>4885</v>
      </c>
      <c r="J517">
        <v>24670299554</v>
      </c>
      <c r="K517">
        <v>80939303</v>
      </c>
      <c r="L517">
        <f>(Table1[[#This Row],[CLOSE_PRICE]] - Table1[[#This Row],[PREV_CL_PR]]) / Table1[[#This Row],[PREV_CL_PR]] * 100</f>
        <v>-4.928259513412355</v>
      </c>
      <c r="M517">
        <f>Table1[[#This Row],[HIGH_PRICE]]-Table1[[#This Row],[LOW_PRICE]]</f>
        <v>17.550000000000011</v>
      </c>
      <c r="N517" t="str">
        <f>IF(Table1[[#This Row],[CLOSE_PRICE]]&gt;Table1[[#This Row],[OPEN_PRICE]],"Gain","Loss")</f>
        <v>Loss</v>
      </c>
      <c r="O517" t="str">
        <f>IF(Table1[[#This Row],[MARKET_CAP]]&gt;200000000000,"Large Cap",
IF(Table1[[#This Row],[MARKET_CAP]]&gt;50000000000,"Mid Cap","Small Cap"))</f>
        <v>Small Cap</v>
      </c>
      <c r="P517" t="str">
        <f>IF(Table1[[#This Row],[NET_TRDQTY]]&gt;1000000,"High Volume","Low Volume")</f>
        <v>Low Volume</v>
      </c>
    </row>
    <row r="518" spans="1:16" x14ac:dyDescent="0.3">
      <c r="A518" t="s">
        <v>1042</v>
      </c>
      <c r="B518" t="s">
        <v>1043</v>
      </c>
      <c r="C518">
        <v>126</v>
      </c>
      <c r="D518">
        <v>128.15</v>
      </c>
      <c r="E518">
        <v>122</v>
      </c>
      <c r="F518">
        <v>122.84</v>
      </c>
      <c r="G518">
        <v>129.85</v>
      </c>
      <c r="H518">
        <v>530624</v>
      </c>
      <c r="I518">
        <v>7677</v>
      </c>
      <c r="J518">
        <v>8683068240</v>
      </c>
      <c r="K518">
        <v>70686000</v>
      </c>
      <c r="L518">
        <f>(Table1[[#This Row],[CLOSE_PRICE]] - Table1[[#This Row],[PREV_CL_PR]]) / Table1[[#This Row],[PREV_CL_PR]] * 100</f>
        <v>-5.3985367731998393</v>
      </c>
      <c r="M518">
        <f>Table1[[#This Row],[HIGH_PRICE]]-Table1[[#This Row],[LOW_PRICE]]</f>
        <v>6.1500000000000057</v>
      </c>
      <c r="N518" t="str">
        <f>IF(Table1[[#This Row],[CLOSE_PRICE]]&gt;Table1[[#This Row],[OPEN_PRICE]],"Gain","Loss")</f>
        <v>Loss</v>
      </c>
      <c r="O518" t="str">
        <f>IF(Table1[[#This Row],[MARKET_CAP]]&gt;200000000000,"Large Cap",
IF(Table1[[#This Row],[MARKET_CAP]]&gt;50000000000,"Mid Cap","Small Cap"))</f>
        <v>Small Cap</v>
      </c>
      <c r="P518" t="str">
        <f>IF(Table1[[#This Row],[NET_TRDQTY]]&gt;1000000,"High Volume","Low Volume")</f>
        <v>Low Volume</v>
      </c>
    </row>
    <row r="519" spans="1:16" x14ac:dyDescent="0.3">
      <c r="A519" t="s">
        <v>1044</v>
      </c>
      <c r="B519" t="s">
        <v>1045</v>
      </c>
      <c r="C519">
        <v>24</v>
      </c>
      <c r="D519">
        <v>24.11</v>
      </c>
      <c r="E519">
        <v>22.25</v>
      </c>
      <c r="F519">
        <v>22.34</v>
      </c>
      <c r="G519">
        <v>23.99</v>
      </c>
      <c r="H519">
        <v>6146</v>
      </c>
      <c r="I519">
        <v>128</v>
      </c>
      <c r="J519">
        <v>520522000</v>
      </c>
      <c r="K519">
        <v>23300000</v>
      </c>
      <c r="L519">
        <f>(Table1[[#This Row],[CLOSE_PRICE]] - Table1[[#This Row],[PREV_CL_PR]]) / Table1[[#This Row],[PREV_CL_PR]] * 100</f>
        <v>-6.8778657774072478</v>
      </c>
      <c r="M519">
        <f>Table1[[#This Row],[HIGH_PRICE]]-Table1[[#This Row],[LOW_PRICE]]</f>
        <v>1.8599999999999994</v>
      </c>
      <c r="N519" t="str">
        <f>IF(Table1[[#This Row],[CLOSE_PRICE]]&gt;Table1[[#This Row],[OPEN_PRICE]],"Gain","Loss")</f>
        <v>Loss</v>
      </c>
      <c r="O519" t="str">
        <f>IF(Table1[[#This Row],[MARKET_CAP]]&gt;200000000000,"Large Cap",
IF(Table1[[#This Row],[MARKET_CAP]]&gt;50000000000,"Mid Cap","Small Cap"))</f>
        <v>Small Cap</v>
      </c>
      <c r="P519" t="str">
        <f>IF(Table1[[#This Row],[NET_TRDQTY]]&gt;1000000,"High Volume","Low Volume")</f>
        <v>Low Volume</v>
      </c>
    </row>
    <row r="520" spans="1:16" x14ac:dyDescent="0.3">
      <c r="A520" t="s">
        <v>1046</v>
      </c>
      <c r="B520" t="s">
        <v>1047</v>
      </c>
      <c r="C520">
        <v>2.77</v>
      </c>
      <c r="D520">
        <v>2.84</v>
      </c>
      <c r="E520">
        <v>2.5499999999999998</v>
      </c>
      <c r="F520">
        <v>2.6</v>
      </c>
      <c r="G520">
        <v>2.77</v>
      </c>
      <c r="H520">
        <v>71392</v>
      </c>
      <c r="I520">
        <v>213</v>
      </c>
      <c r="J520">
        <v>400335000</v>
      </c>
      <c r="K520">
        <v>153975000</v>
      </c>
      <c r="L520">
        <f>(Table1[[#This Row],[CLOSE_PRICE]] - Table1[[#This Row],[PREV_CL_PR]]) / Table1[[#This Row],[PREV_CL_PR]] * 100</f>
        <v>-6.1371841155234632</v>
      </c>
      <c r="M520">
        <f>Table1[[#This Row],[HIGH_PRICE]]-Table1[[#This Row],[LOW_PRICE]]</f>
        <v>0.29000000000000004</v>
      </c>
      <c r="N520" t="str">
        <f>IF(Table1[[#This Row],[CLOSE_PRICE]]&gt;Table1[[#This Row],[OPEN_PRICE]],"Gain","Loss")</f>
        <v>Loss</v>
      </c>
      <c r="O520" t="str">
        <f>IF(Table1[[#This Row],[MARKET_CAP]]&gt;200000000000,"Large Cap",
IF(Table1[[#This Row],[MARKET_CAP]]&gt;50000000000,"Mid Cap","Small Cap"))</f>
        <v>Small Cap</v>
      </c>
      <c r="P520" t="str">
        <f>IF(Table1[[#This Row],[NET_TRDQTY]]&gt;1000000,"High Volume","Low Volume")</f>
        <v>Low Volume</v>
      </c>
    </row>
    <row r="521" spans="1:16" x14ac:dyDescent="0.3">
      <c r="A521" t="s">
        <v>1048</v>
      </c>
      <c r="B521" t="s">
        <v>1049</v>
      </c>
      <c r="C521">
        <v>676.05</v>
      </c>
      <c r="D521">
        <v>683.85</v>
      </c>
      <c r="E521">
        <v>658.1</v>
      </c>
      <c r="F521">
        <v>669.7</v>
      </c>
      <c r="G521">
        <v>686.35</v>
      </c>
      <c r="H521">
        <v>98843</v>
      </c>
      <c r="I521">
        <v>4674</v>
      </c>
      <c r="J521">
        <v>39583548713</v>
      </c>
      <c r="K521">
        <v>59106389</v>
      </c>
      <c r="L521">
        <f>(Table1[[#This Row],[CLOSE_PRICE]] - Table1[[#This Row],[PREV_CL_PR]]) / Table1[[#This Row],[PREV_CL_PR]] * 100</f>
        <v>-2.4258760107816677</v>
      </c>
      <c r="M521">
        <f>Table1[[#This Row],[HIGH_PRICE]]-Table1[[#This Row],[LOW_PRICE]]</f>
        <v>25.75</v>
      </c>
      <c r="N521" t="str">
        <f>IF(Table1[[#This Row],[CLOSE_PRICE]]&gt;Table1[[#This Row],[OPEN_PRICE]],"Gain","Loss")</f>
        <v>Loss</v>
      </c>
      <c r="O521" t="str">
        <f>IF(Table1[[#This Row],[MARKET_CAP]]&gt;200000000000,"Large Cap",
IF(Table1[[#This Row],[MARKET_CAP]]&gt;50000000000,"Mid Cap","Small Cap"))</f>
        <v>Small Cap</v>
      </c>
      <c r="P521" t="str">
        <f>IF(Table1[[#This Row],[NET_TRDQTY]]&gt;1000000,"High Volume","Low Volume")</f>
        <v>Low Volume</v>
      </c>
    </row>
    <row r="522" spans="1:16" x14ac:dyDescent="0.3">
      <c r="A522" t="s">
        <v>1050</v>
      </c>
      <c r="B522" t="s">
        <v>1051</v>
      </c>
      <c r="C522">
        <v>3206.3</v>
      </c>
      <c r="D522">
        <v>3241.9</v>
      </c>
      <c r="E522">
        <v>3012.6</v>
      </c>
      <c r="F522">
        <v>3072.6</v>
      </c>
      <c r="G522">
        <v>3230.8</v>
      </c>
      <c r="H522">
        <v>766107</v>
      </c>
      <c r="I522">
        <v>65723</v>
      </c>
      <c r="J522">
        <v>172000000000</v>
      </c>
      <c r="K522">
        <v>55983969</v>
      </c>
      <c r="L522">
        <f>(Table1[[#This Row],[CLOSE_PRICE]] - Table1[[#This Row],[PREV_CL_PR]]) / Table1[[#This Row],[PREV_CL_PR]] * 100</f>
        <v>-4.8966200321901781</v>
      </c>
      <c r="M522">
        <f>Table1[[#This Row],[HIGH_PRICE]]-Table1[[#This Row],[LOW_PRICE]]</f>
        <v>229.30000000000018</v>
      </c>
      <c r="N522" t="str">
        <f>IF(Table1[[#This Row],[CLOSE_PRICE]]&gt;Table1[[#This Row],[OPEN_PRICE]],"Gain","Loss")</f>
        <v>Loss</v>
      </c>
      <c r="O522" t="str">
        <f>IF(Table1[[#This Row],[MARKET_CAP]]&gt;200000000000,"Large Cap",
IF(Table1[[#This Row],[MARKET_CAP]]&gt;50000000000,"Mid Cap","Small Cap"))</f>
        <v>Mid Cap</v>
      </c>
      <c r="P522" t="str">
        <f>IF(Table1[[#This Row],[NET_TRDQTY]]&gt;1000000,"High Volume","Low Volume")</f>
        <v>Low Volume</v>
      </c>
    </row>
    <row r="523" spans="1:16" x14ac:dyDescent="0.3">
      <c r="A523" t="s">
        <v>1052</v>
      </c>
      <c r="B523" t="s">
        <v>1053</v>
      </c>
      <c r="C523">
        <v>4.1399999999999997</v>
      </c>
      <c r="D523">
        <v>4.1399999999999997</v>
      </c>
      <c r="E523">
        <v>3.67</v>
      </c>
      <c r="F523">
        <v>3.79</v>
      </c>
      <c r="G523">
        <v>4.05</v>
      </c>
      <c r="H523">
        <v>6583863</v>
      </c>
      <c r="I523">
        <v>3178</v>
      </c>
      <c r="J523">
        <v>5419665124</v>
      </c>
      <c r="K523">
        <v>1429990798</v>
      </c>
      <c r="L523">
        <f>(Table1[[#This Row],[CLOSE_PRICE]] - Table1[[#This Row],[PREV_CL_PR]]) / Table1[[#This Row],[PREV_CL_PR]] * 100</f>
        <v>-6.4197530864197478</v>
      </c>
      <c r="M523">
        <f>Table1[[#This Row],[HIGH_PRICE]]-Table1[[#This Row],[LOW_PRICE]]</f>
        <v>0.46999999999999975</v>
      </c>
      <c r="N523" t="str">
        <f>IF(Table1[[#This Row],[CLOSE_PRICE]]&gt;Table1[[#This Row],[OPEN_PRICE]],"Gain","Loss")</f>
        <v>Loss</v>
      </c>
      <c r="O523" t="str">
        <f>IF(Table1[[#This Row],[MARKET_CAP]]&gt;200000000000,"Large Cap",
IF(Table1[[#This Row],[MARKET_CAP]]&gt;50000000000,"Mid Cap","Small Cap"))</f>
        <v>Small Cap</v>
      </c>
      <c r="P523" t="str">
        <f>IF(Table1[[#This Row],[NET_TRDQTY]]&gt;1000000,"High Volume","Low Volume")</f>
        <v>High Volume</v>
      </c>
    </row>
    <row r="524" spans="1:16" x14ac:dyDescent="0.3">
      <c r="A524" t="s">
        <v>1054</v>
      </c>
      <c r="B524" t="s">
        <v>1055</v>
      </c>
      <c r="C524">
        <v>204</v>
      </c>
      <c r="D524">
        <v>204</v>
      </c>
      <c r="E524">
        <v>194.7</v>
      </c>
      <c r="F524">
        <v>200.15</v>
      </c>
      <c r="G524">
        <v>207.61</v>
      </c>
      <c r="H524">
        <v>99823</v>
      </c>
      <c r="I524">
        <v>3131</v>
      </c>
      <c r="J524">
        <v>35675207754</v>
      </c>
      <c r="K524">
        <v>178242357</v>
      </c>
      <c r="L524">
        <f>(Table1[[#This Row],[CLOSE_PRICE]] - Table1[[#This Row],[PREV_CL_PR]]) / Table1[[#This Row],[PREV_CL_PR]] * 100</f>
        <v>-3.5932758537642733</v>
      </c>
      <c r="M524">
        <f>Table1[[#This Row],[HIGH_PRICE]]-Table1[[#This Row],[LOW_PRICE]]</f>
        <v>9.3000000000000114</v>
      </c>
      <c r="N524" t="str">
        <f>IF(Table1[[#This Row],[CLOSE_PRICE]]&gt;Table1[[#This Row],[OPEN_PRICE]],"Gain","Loss")</f>
        <v>Loss</v>
      </c>
      <c r="O524" t="str">
        <f>IF(Table1[[#This Row],[MARKET_CAP]]&gt;200000000000,"Large Cap",
IF(Table1[[#This Row],[MARKET_CAP]]&gt;50000000000,"Mid Cap","Small Cap"))</f>
        <v>Small Cap</v>
      </c>
      <c r="P524" t="str">
        <f>IF(Table1[[#This Row],[NET_TRDQTY]]&gt;1000000,"High Volume","Low Volume")</f>
        <v>Low Volume</v>
      </c>
    </row>
    <row r="525" spans="1:16" x14ac:dyDescent="0.3">
      <c r="A525" t="s">
        <v>1056</v>
      </c>
      <c r="B525" t="s">
        <v>1057</v>
      </c>
      <c r="C525">
        <v>71.06</v>
      </c>
      <c r="D525">
        <v>71.069999999999993</v>
      </c>
      <c r="E525">
        <v>66</v>
      </c>
      <c r="F525">
        <v>66.56</v>
      </c>
      <c r="G525">
        <v>73.08</v>
      </c>
      <c r="H525">
        <v>124930</v>
      </c>
      <c r="I525">
        <v>2161</v>
      </c>
      <c r="J525">
        <v>3100422042</v>
      </c>
      <c r="K525">
        <v>46580860</v>
      </c>
      <c r="L525">
        <f>(Table1[[#This Row],[CLOSE_PRICE]] - Table1[[#This Row],[PREV_CL_PR]]) / Table1[[#This Row],[PREV_CL_PR]] * 100</f>
        <v>-8.9217296113847784</v>
      </c>
      <c r="M525">
        <f>Table1[[#This Row],[HIGH_PRICE]]-Table1[[#This Row],[LOW_PRICE]]</f>
        <v>5.0699999999999932</v>
      </c>
      <c r="N525" t="str">
        <f>IF(Table1[[#This Row],[CLOSE_PRICE]]&gt;Table1[[#This Row],[OPEN_PRICE]],"Gain","Loss")</f>
        <v>Loss</v>
      </c>
      <c r="O525" t="str">
        <f>IF(Table1[[#This Row],[MARKET_CAP]]&gt;200000000000,"Large Cap",
IF(Table1[[#This Row],[MARKET_CAP]]&gt;50000000000,"Mid Cap","Small Cap"))</f>
        <v>Small Cap</v>
      </c>
      <c r="P525" t="str">
        <f>IF(Table1[[#This Row],[NET_TRDQTY]]&gt;1000000,"High Volume","Low Volume")</f>
        <v>Low Volume</v>
      </c>
    </row>
    <row r="526" spans="1:16" x14ac:dyDescent="0.3">
      <c r="A526" t="s">
        <v>1058</v>
      </c>
      <c r="B526" t="s">
        <v>1059</v>
      </c>
      <c r="C526">
        <v>405</v>
      </c>
      <c r="D526">
        <v>407.9</v>
      </c>
      <c r="E526">
        <v>387.3</v>
      </c>
      <c r="F526">
        <v>390.2</v>
      </c>
      <c r="G526">
        <v>411.4</v>
      </c>
      <c r="H526">
        <v>311119</v>
      </c>
      <c r="I526">
        <v>8151</v>
      </c>
      <c r="J526">
        <v>63385973837</v>
      </c>
      <c r="K526">
        <v>162444833</v>
      </c>
      <c r="L526">
        <f>(Table1[[#This Row],[CLOSE_PRICE]] - Table1[[#This Row],[PREV_CL_PR]]) / Table1[[#This Row],[PREV_CL_PR]] * 100</f>
        <v>-5.1531356344190549</v>
      </c>
      <c r="M526">
        <f>Table1[[#This Row],[HIGH_PRICE]]-Table1[[#This Row],[LOW_PRICE]]</f>
        <v>20.599999999999966</v>
      </c>
      <c r="N526" t="str">
        <f>IF(Table1[[#This Row],[CLOSE_PRICE]]&gt;Table1[[#This Row],[OPEN_PRICE]],"Gain","Loss")</f>
        <v>Loss</v>
      </c>
      <c r="O526" t="str">
        <f>IF(Table1[[#This Row],[MARKET_CAP]]&gt;200000000000,"Large Cap",
IF(Table1[[#This Row],[MARKET_CAP]]&gt;50000000000,"Mid Cap","Small Cap"))</f>
        <v>Mid Cap</v>
      </c>
      <c r="P526" t="str">
        <f>IF(Table1[[#This Row],[NET_TRDQTY]]&gt;1000000,"High Volume","Low Volume")</f>
        <v>Low Volume</v>
      </c>
    </row>
    <row r="527" spans="1:16" x14ac:dyDescent="0.3">
      <c r="A527" t="s">
        <v>1060</v>
      </c>
      <c r="B527" t="s">
        <v>1061</v>
      </c>
      <c r="C527">
        <v>98</v>
      </c>
      <c r="D527">
        <v>100.94</v>
      </c>
      <c r="E527">
        <v>95</v>
      </c>
      <c r="F527">
        <v>95.75</v>
      </c>
      <c r="G527">
        <v>98.9</v>
      </c>
      <c r="H527">
        <v>85888</v>
      </c>
      <c r="I527">
        <v>1170</v>
      </c>
      <c r="J527">
        <v>6356611743</v>
      </c>
      <c r="K527">
        <v>66387590</v>
      </c>
      <c r="L527">
        <f>(Table1[[#This Row],[CLOSE_PRICE]] - Table1[[#This Row],[PREV_CL_PR]]) / Table1[[#This Row],[PREV_CL_PR]] * 100</f>
        <v>-3.1850353892821084</v>
      </c>
      <c r="M527">
        <f>Table1[[#This Row],[HIGH_PRICE]]-Table1[[#This Row],[LOW_PRICE]]</f>
        <v>5.9399999999999977</v>
      </c>
      <c r="N527" t="str">
        <f>IF(Table1[[#This Row],[CLOSE_PRICE]]&gt;Table1[[#This Row],[OPEN_PRICE]],"Gain","Loss")</f>
        <v>Loss</v>
      </c>
      <c r="O527" t="str">
        <f>IF(Table1[[#This Row],[MARKET_CAP]]&gt;200000000000,"Large Cap",
IF(Table1[[#This Row],[MARKET_CAP]]&gt;50000000000,"Mid Cap","Small Cap"))</f>
        <v>Small Cap</v>
      </c>
      <c r="P527" t="str">
        <f>IF(Table1[[#This Row],[NET_TRDQTY]]&gt;1000000,"High Volume","Low Volume")</f>
        <v>Low Volume</v>
      </c>
    </row>
    <row r="528" spans="1:16" x14ac:dyDescent="0.3">
      <c r="A528" t="s">
        <v>1062</v>
      </c>
      <c r="B528" t="s">
        <v>1063</v>
      </c>
      <c r="C528">
        <v>96.5</v>
      </c>
      <c r="D528">
        <v>97.14</v>
      </c>
      <c r="E528">
        <v>90.11</v>
      </c>
      <c r="F528">
        <v>91.03</v>
      </c>
      <c r="G528">
        <v>98.07</v>
      </c>
      <c r="H528">
        <v>2199976</v>
      </c>
      <c r="I528">
        <v>16361</v>
      </c>
      <c r="J528">
        <v>49083779354</v>
      </c>
      <c r="K528">
        <v>539204431</v>
      </c>
      <c r="L528">
        <f>(Table1[[#This Row],[CLOSE_PRICE]] - Table1[[#This Row],[PREV_CL_PR]]) / Table1[[#This Row],[PREV_CL_PR]] * 100</f>
        <v>-7.1785459365759072</v>
      </c>
      <c r="M528">
        <f>Table1[[#This Row],[HIGH_PRICE]]-Table1[[#This Row],[LOW_PRICE]]</f>
        <v>7.0300000000000011</v>
      </c>
      <c r="N528" t="str">
        <f>IF(Table1[[#This Row],[CLOSE_PRICE]]&gt;Table1[[#This Row],[OPEN_PRICE]],"Gain","Loss")</f>
        <v>Loss</v>
      </c>
      <c r="O528" t="str">
        <f>IF(Table1[[#This Row],[MARKET_CAP]]&gt;200000000000,"Large Cap",
IF(Table1[[#This Row],[MARKET_CAP]]&gt;50000000000,"Mid Cap","Small Cap"))</f>
        <v>Small Cap</v>
      </c>
      <c r="P528" t="str">
        <f>IF(Table1[[#This Row],[NET_TRDQTY]]&gt;1000000,"High Volume","Low Volume")</f>
        <v>High Volume</v>
      </c>
    </row>
    <row r="529" spans="1:16" x14ac:dyDescent="0.3">
      <c r="A529" t="s">
        <v>1064</v>
      </c>
      <c r="B529" t="s">
        <v>1065</v>
      </c>
      <c r="C529">
        <v>25</v>
      </c>
      <c r="D529">
        <v>25.66</v>
      </c>
      <c r="E529">
        <v>24.81</v>
      </c>
      <c r="F529">
        <v>24.87</v>
      </c>
      <c r="G529">
        <v>25.04</v>
      </c>
      <c r="H529">
        <v>8156</v>
      </c>
      <c r="I529">
        <v>77</v>
      </c>
      <c r="J529">
        <v>870450000</v>
      </c>
      <c r="K529">
        <v>35000000</v>
      </c>
      <c r="L529">
        <f>(Table1[[#This Row],[CLOSE_PRICE]] - Table1[[#This Row],[PREV_CL_PR]]) / Table1[[#This Row],[PREV_CL_PR]] * 100</f>
        <v>-0.67891373801916199</v>
      </c>
      <c r="M529">
        <f>Table1[[#This Row],[HIGH_PRICE]]-Table1[[#This Row],[LOW_PRICE]]</f>
        <v>0.85000000000000142</v>
      </c>
      <c r="N529" t="str">
        <f>IF(Table1[[#This Row],[CLOSE_PRICE]]&gt;Table1[[#This Row],[OPEN_PRICE]],"Gain","Loss")</f>
        <v>Loss</v>
      </c>
      <c r="O529" t="str">
        <f>IF(Table1[[#This Row],[MARKET_CAP]]&gt;200000000000,"Large Cap",
IF(Table1[[#This Row],[MARKET_CAP]]&gt;50000000000,"Mid Cap","Small Cap"))</f>
        <v>Small Cap</v>
      </c>
      <c r="P529" t="str">
        <f>IF(Table1[[#This Row],[NET_TRDQTY]]&gt;1000000,"High Volume","Low Volume")</f>
        <v>Low Volume</v>
      </c>
    </row>
    <row r="530" spans="1:16" x14ac:dyDescent="0.3">
      <c r="A530" t="s">
        <v>1066</v>
      </c>
      <c r="B530" t="s">
        <v>1067</v>
      </c>
      <c r="C530">
        <v>155.9</v>
      </c>
      <c r="D530">
        <v>158</v>
      </c>
      <c r="E530">
        <v>141.1</v>
      </c>
      <c r="F530">
        <v>142.78</v>
      </c>
      <c r="G530">
        <v>158.05000000000001</v>
      </c>
      <c r="H530">
        <v>819770</v>
      </c>
      <c r="I530">
        <v>10721</v>
      </c>
      <c r="J530">
        <v>22385490304</v>
      </c>
      <c r="K530">
        <v>156783095</v>
      </c>
      <c r="L530">
        <f>(Table1[[#This Row],[CLOSE_PRICE]] - Table1[[#This Row],[PREV_CL_PR]]) / Table1[[#This Row],[PREV_CL_PR]] * 100</f>
        <v>-9.6614995254666294</v>
      </c>
      <c r="M530">
        <f>Table1[[#This Row],[HIGH_PRICE]]-Table1[[#This Row],[LOW_PRICE]]</f>
        <v>16.900000000000006</v>
      </c>
      <c r="N530" t="str">
        <f>IF(Table1[[#This Row],[CLOSE_PRICE]]&gt;Table1[[#This Row],[OPEN_PRICE]],"Gain","Loss")</f>
        <v>Loss</v>
      </c>
      <c r="O530" t="str">
        <f>IF(Table1[[#This Row],[MARKET_CAP]]&gt;200000000000,"Large Cap",
IF(Table1[[#This Row],[MARKET_CAP]]&gt;50000000000,"Mid Cap","Small Cap"))</f>
        <v>Small Cap</v>
      </c>
      <c r="P530" t="str">
        <f>IF(Table1[[#This Row],[NET_TRDQTY]]&gt;1000000,"High Volume","Low Volume")</f>
        <v>Low Volume</v>
      </c>
    </row>
    <row r="531" spans="1:16" x14ac:dyDescent="0.3">
      <c r="A531" t="s">
        <v>1068</v>
      </c>
      <c r="B531" t="s">
        <v>1069</v>
      </c>
      <c r="C531">
        <v>168</v>
      </c>
      <c r="D531">
        <v>168</v>
      </c>
      <c r="E531">
        <v>162</v>
      </c>
      <c r="F531">
        <v>164.02</v>
      </c>
      <c r="G531">
        <v>169.82</v>
      </c>
      <c r="H531">
        <v>1842015</v>
      </c>
      <c r="I531">
        <v>18675</v>
      </c>
      <c r="J531">
        <v>52767250954</v>
      </c>
      <c r="K531">
        <v>321712297</v>
      </c>
      <c r="L531">
        <f>(Table1[[#This Row],[CLOSE_PRICE]] - Table1[[#This Row],[PREV_CL_PR]]) / Table1[[#This Row],[PREV_CL_PR]] * 100</f>
        <v>-3.415380991638195</v>
      </c>
      <c r="M531">
        <f>Table1[[#This Row],[HIGH_PRICE]]-Table1[[#This Row],[LOW_PRICE]]</f>
        <v>6</v>
      </c>
      <c r="N531" t="str">
        <f>IF(Table1[[#This Row],[CLOSE_PRICE]]&gt;Table1[[#This Row],[OPEN_PRICE]],"Gain","Loss")</f>
        <v>Loss</v>
      </c>
      <c r="O531" t="str">
        <f>IF(Table1[[#This Row],[MARKET_CAP]]&gt;200000000000,"Large Cap",
IF(Table1[[#This Row],[MARKET_CAP]]&gt;50000000000,"Mid Cap","Small Cap"))</f>
        <v>Mid Cap</v>
      </c>
      <c r="P531" t="str">
        <f>IF(Table1[[#This Row],[NET_TRDQTY]]&gt;1000000,"High Volume","Low Volume")</f>
        <v>High Volume</v>
      </c>
    </row>
    <row r="532" spans="1:16" x14ac:dyDescent="0.3">
      <c r="A532" t="s">
        <v>1070</v>
      </c>
      <c r="B532" t="s">
        <v>1071</v>
      </c>
      <c r="C532">
        <v>284</v>
      </c>
      <c r="D532">
        <v>292</v>
      </c>
      <c r="E532">
        <v>282.89999999999998</v>
      </c>
      <c r="F532">
        <v>284.25</v>
      </c>
      <c r="G532">
        <v>282.5</v>
      </c>
      <c r="H532">
        <v>25936</v>
      </c>
      <c r="I532">
        <v>1055</v>
      </c>
      <c r="J532">
        <v>4548000000</v>
      </c>
      <c r="K532">
        <v>16000000</v>
      </c>
      <c r="L532">
        <f>(Table1[[#This Row],[CLOSE_PRICE]] - Table1[[#This Row],[PREV_CL_PR]]) / Table1[[#This Row],[PREV_CL_PR]] * 100</f>
        <v>0.61946902654867253</v>
      </c>
      <c r="M532">
        <f>Table1[[#This Row],[HIGH_PRICE]]-Table1[[#This Row],[LOW_PRICE]]</f>
        <v>9.1000000000000227</v>
      </c>
      <c r="N532" t="str">
        <f>IF(Table1[[#This Row],[CLOSE_PRICE]]&gt;Table1[[#This Row],[OPEN_PRICE]],"Gain","Loss")</f>
        <v>Gain</v>
      </c>
      <c r="O532" t="str">
        <f>IF(Table1[[#This Row],[MARKET_CAP]]&gt;200000000000,"Large Cap",
IF(Table1[[#This Row],[MARKET_CAP]]&gt;50000000000,"Mid Cap","Small Cap"))</f>
        <v>Small Cap</v>
      </c>
      <c r="P532" t="str">
        <f>IF(Table1[[#This Row],[NET_TRDQTY]]&gt;1000000,"High Volume","Low Volume")</f>
        <v>Low Volume</v>
      </c>
    </row>
    <row r="533" spans="1:16" x14ac:dyDescent="0.3">
      <c r="A533" t="s">
        <v>1072</v>
      </c>
      <c r="B533" t="s">
        <v>1073</v>
      </c>
      <c r="C533">
        <v>62.4</v>
      </c>
      <c r="D533">
        <v>62.4</v>
      </c>
      <c r="E533">
        <v>55.12</v>
      </c>
      <c r="F533">
        <v>58.52</v>
      </c>
      <c r="G533">
        <v>61.24</v>
      </c>
      <c r="H533">
        <v>11818</v>
      </c>
      <c r="I533">
        <v>248</v>
      </c>
      <c r="J533">
        <v>1093021872</v>
      </c>
      <c r="K533">
        <v>18677749</v>
      </c>
      <c r="L533">
        <f>(Table1[[#This Row],[CLOSE_PRICE]] - Table1[[#This Row],[PREV_CL_PR]]) / Table1[[#This Row],[PREV_CL_PR]] * 100</f>
        <v>-4.4415414761593714</v>
      </c>
      <c r="M533">
        <f>Table1[[#This Row],[HIGH_PRICE]]-Table1[[#This Row],[LOW_PRICE]]</f>
        <v>7.2800000000000011</v>
      </c>
      <c r="N533" t="str">
        <f>IF(Table1[[#This Row],[CLOSE_PRICE]]&gt;Table1[[#This Row],[OPEN_PRICE]],"Gain","Loss")</f>
        <v>Loss</v>
      </c>
      <c r="O533" t="str">
        <f>IF(Table1[[#This Row],[MARKET_CAP]]&gt;200000000000,"Large Cap",
IF(Table1[[#This Row],[MARKET_CAP]]&gt;50000000000,"Mid Cap","Small Cap"))</f>
        <v>Small Cap</v>
      </c>
      <c r="P533" t="str">
        <f>IF(Table1[[#This Row],[NET_TRDQTY]]&gt;1000000,"High Volume","Low Volume")</f>
        <v>Low Volume</v>
      </c>
    </row>
    <row r="534" spans="1:16" x14ac:dyDescent="0.3">
      <c r="A534" t="s">
        <v>1074</v>
      </c>
      <c r="B534" t="s">
        <v>1075</v>
      </c>
      <c r="C534">
        <v>110.05</v>
      </c>
      <c r="D534">
        <v>114.99</v>
      </c>
      <c r="E534">
        <v>105.25</v>
      </c>
      <c r="F534">
        <v>107.27</v>
      </c>
      <c r="G534">
        <v>111.55</v>
      </c>
      <c r="H534">
        <v>9287</v>
      </c>
      <c r="I534">
        <v>329</v>
      </c>
      <c r="J534">
        <v>2003562135</v>
      </c>
      <c r="K534">
        <v>18677749</v>
      </c>
      <c r="L534">
        <f>(Table1[[#This Row],[CLOSE_PRICE]] - Table1[[#This Row],[PREV_CL_PR]]) / Table1[[#This Row],[PREV_CL_PR]] * 100</f>
        <v>-3.8368444643657567</v>
      </c>
      <c r="M534">
        <f>Table1[[#This Row],[HIGH_PRICE]]-Table1[[#This Row],[LOW_PRICE]]</f>
        <v>9.7399999999999949</v>
      </c>
      <c r="N534" t="str">
        <f>IF(Table1[[#This Row],[CLOSE_PRICE]]&gt;Table1[[#This Row],[OPEN_PRICE]],"Gain","Loss")</f>
        <v>Loss</v>
      </c>
      <c r="O534" t="str">
        <f>IF(Table1[[#This Row],[MARKET_CAP]]&gt;200000000000,"Large Cap",
IF(Table1[[#This Row],[MARKET_CAP]]&gt;50000000000,"Mid Cap","Small Cap"))</f>
        <v>Small Cap</v>
      </c>
      <c r="P534" t="str">
        <f>IF(Table1[[#This Row],[NET_TRDQTY]]&gt;1000000,"High Volume","Low Volume")</f>
        <v>Low Volume</v>
      </c>
    </row>
    <row r="535" spans="1:16" x14ac:dyDescent="0.3">
      <c r="A535" t="s">
        <v>1076</v>
      </c>
      <c r="B535" t="s">
        <v>1077</v>
      </c>
      <c r="C535">
        <v>1031.5</v>
      </c>
      <c r="D535">
        <v>1042.7</v>
      </c>
      <c r="E535">
        <v>1000</v>
      </c>
      <c r="F535">
        <v>1026.5999999999999</v>
      </c>
      <c r="G535">
        <v>1041</v>
      </c>
      <c r="H535">
        <v>105018</v>
      </c>
      <c r="I535">
        <v>17817</v>
      </c>
      <c r="J535">
        <v>160000000000</v>
      </c>
      <c r="K535">
        <v>155942296</v>
      </c>
      <c r="L535">
        <f>(Table1[[#This Row],[CLOSE_PRICE]] - Table1[[#This Row],[PREV_CL_PR]]) / Table1[[#This Row],[PREV_CL_PR]] * 100</f>
        <v>-1.3832853025936687</v>
      </c>
      <c r="M535">
        <f>Table1[[#This Row],[HIGH_PRICE]]-Table1[[#This Row],[LOW_PRICE]]</f>
        <v>42.700000000000045</v>
      </c>
      <c r="N535" t="str">
        <f>IF(Table1[[#This Row],[CLOSE_PRICE]]&gt;Table1[[#This Row],[OPEN_PRICE]],"Gain","Loss")</f>
        <v>Loss</v>
      </c>
      <c r="O535" t="str">
        <f>IF(Table1[[#This Row],[MARKET_CAP]]&gt;200000000000,"Large Cap",
IF(Table1[[#This Row],[MARKET_CAP]]&gt;50000000000,"Mid Cap","Small Cap"))</f>
        <v>Mid Cap</v>
      </c>
      <c r="P535" t="str">
        <f>IF(Table1[[#This Row],[NET_TRDQTY]]&gt;1000000,"High Volume","Low Volume")</f>
        <v>Low Volume</v>
      </c>
    </row>
    <row r="536" spans="1:16" x14ac:dyDescent="0.3">
      <c r="A536" t="s">
        <v>1078</v>
      </c>
      <c r="B536" t="s">
        <v>1079</v>
      </c>
      <c r="C536">
        <v>36</v>
      </c>
      <c r="D536">
        <v>36.74</v>
      </c>
      <c r="E536">
        <v>32.869999999999997</v>
      </c>
      <c r="F536">
        <v>33.22</v>
      </c>
      <c r="G536">
        <v>35.32</v>
      </c>
      <c r="H536">
        <v>221108</v>
      </c>
      <c r="I536">
        <v>1537</v>
      </c>
      <c r="J536">
        <v>2889880386</v>
      </c>
      <c r="K536">
        <v>86992185</v>
      </c>
      <c r="L536">
        <f>(Table1[[#This Row],[CLOSE_PRICE]] - Table1[[#This Row],[PREV_CL_PR]]) / Table1[[#This Row],[PREV_CL_PR]] * 100</f>
        <v>-5.9456398640996646</v>
      </c>
      <c r="M536">
        <f>Table1[[#This Row],[HIGH_PRICE]]-Table1[[#This Row],[LOW_PRICE]]</f>
        <v>3.8700000000000045</v>
      </c>
      <c r="N536" t="str">
        <f>IF(Table1[[#This Row],[CLOSE_PRICE]]&gt;Table1[[#This Row],[OPEN_PRICE]],"Gain","Loss")</f>
        <v>Loss</v>
      </c>
      <c r="O536" t="str">
        <f>IF(Table1[[#This Row],[MARKET_CAP]]&gt;200000000000,"Large Cap",
IF(Table1[[#This Row],[MARKET_CAP]]&gt;50000000000,"Mid Cap","Small Cap"))</f>
        <v>Small Cap</v>
      </c>
      <c r="P536" t="str">
        <f>IF(Table1[[#This Row],[NET_TRDQTY]]&gt;1000000,"High Volume","Low Volume")</f>
        <v>Low Volume</v>
      </c>
    </row>
    <row r="537" spans="1:16" x14ac:dyDescent="0.3">
      <c r="A537" t="s">
        <v>1080</v>
      </c>
      <c r="B537" t="s">
        <v>1081</v>
      </c>
      <c r="C537">
        <v>39.96</v>
      </c>
      <c r="D537">
        <v>39.96</v>
      </c>
      <c r="E537">
        <v>37.26</v>
      </c>
      <c r="F537">
        <v>37.49</v>
      </c>
      <c r="G537">
        <v>40.17</v>
      </c>
      <c r="H537">
        <v>2049783</v>
      </c>
      <c r="I537">
        <v>8136</v>
      </c>
      <c r="J537">
        <v>11065361587</v>
      </c>
      <c r="K537">
        <v>295155017</v>
      </c>
      <c r="L537">
        <f>(Table1[[#This Row],[CLOSE_PRICE]] - Table1[[#This Row],[PREV_CL_PR]]) / Table1[[#This Row],[PREV_CL_PR]] * 100</f>
        <v>-6.6716455065969615</v>
      </c>
      <c r="M537">
        <f>Table1[[#This Row],[HIGH_PRICE]]-Table1[[#This Row],[LOW_PRICE]]</f>
        <v>2.7000000000000028</v>
      </c>
      <c r="N537" t="str">
        <f>IF(Table1[[#This Row],[CLOSE_PRICE]]&gt;Table1[[#This Row],[OPEN_PRICE]],"Gain","Loss")</f>
        <v>Loss</v>
      </c>
      <c r="O537" t="str">
        <f>IF(Table1[[#This Row],[MARKET_CAP]]&gt;200000000000,"Large Cap",
IF(Table1[[#This Row],[MARKET_CAP]]&gt;50000000000,"Mid Cap","Small Cap"))</f>
        <v>Small Cap</v>
      </c>
      <c r="P537" t="str">
        <f>IF(Table1[[#This Row],[NET_TRDQTY]]&gt;1000000,"High Volume","Low Volume")</f>
        <v>High Volume</v>
      </c>
    </row>
    <row r="538" spans="1:16" x14ac:dyDescent="0.3">
      <c r="A538" t="s">
        <v>1082</v>
      </c>
      <c r="B538" t="s">
        <v>1083</v>
      </c>
      <c r="C538">
        <v>173</v>
      </c>
      <c r="D538">
        <v>187</v>
      </c>
      <c r="E538">
        <v>170.6</v>
      </c>
      <c r="F538">
        <v>175.19</v>
      </c>
      <c r="G538">
        <v>163.72</v>
      </c>
      <c r="H538">
        <v>86911179</v>
      </c>
      <c r="I538">
        <v>477110</v>
      </c>
      <c r="J538">
        <v>19513788146</v>
      </c>
      <c r="K538">
        <v>111386427</v>
      </c>
      <c r="L538">
        <f>(Table1[[#This Row],[CLOSE_PRICE]] - Table1[[#This Row],[PREV_CL_PR]]) / Table1[[#This Row],[PREV_CL_PR]] * 100</f>
        <v>7.0058636696799406</v>
      </c>
      <c r="M538">
        <f>Table1[[#This Row],[HIGH_PRICE]]-Table1[[#This Row],[LOW_PRICE]]</f>
        <v>16.400000000000006</v>
      </c>
      <c r="N538" t="str">
        <f>IF(Table1[[#This Row],[CLOSE_PRICE]]&gt;Table1[[#This Row],[OPEN_PRICE]],"Gain","Loss")</f>
        <v>Gain</v>
      </c>
      <c r="O538" t="str">
        <f>IF(Table1[[#This Row],[MARKET_CAP]]&gt;200000000000,"Large Cap",
IF(Table1[[#This Row],[MARKET_CAP]]&gt;50000000000,"Mid Cap","Small Cap"))</f>
        <v>Small Cap</v>
      </c>
      <c r="P538" t="str">
        <f>IF(Table1[[#This Row],[NET_TRDQTY]]&gt;1000000,"High Volume","Low Volume")</f>
        <v>High Volume</v>
      </c>
    </row>
    <row r="539" spans="1:16" x14ac:dyDescent="0.3">
      <c r="A539" t="s">
        <v>1084</v>
      </c>
      <c r="B539" t="s">
        <v>1085</v>
      </c>
      <c r="C539">
        <v>228</v>
      </c>
      <c r="D539">
        <v>228</v>
      </c>
      <c r="E539">
        <v>214.65</v>
      </c>
      <c r="F539">
        <v>215.5</v>
      </c>
      <c r="G539">
        <v>229.5</v>
      </c>
      <c r="H539">
        <v>182061</v>
      </c>
      <c r="I539">
        <v>3751</v>
      </c>
      <c r="J539">
        <v>22299221092</v>
      </c>
      <c r="K539">
        <v>103476664</v>
      </c>
      <c r="L539">
        <f>(Table1[[#This Row],[CLOSE_PRICE]] - Table1[[#This Row],[PREV_CL_PR]]) / Table1[[#This Row],[PREV_CL_PR]] * 100</f>
        <v>-6.1002178649237475</v>
      </c>
      <c r="M539">
        <f>Table1[[#This Row],[HIGH_PRICE]]-Table1[[#This Row],[LOW_PRICE]]</f>
        <v>13.349999999999994</v>
      </c>
      <c r="N539" t="str">
        <f>IF(Table1[[#This Row],[CLOSE_PRICE]]&gt;Table1[[#This Row],[OPEN_PRICE]],"Gain","Loss")</f>
        <v>Loss</v>
      </c>
      <c r="O539" t="str">
        <f>IF(Table1[[#This Row],[MARKET_CAP]]&gt;200000000000,"Large Cap",
IF(Table1[[#This Row],[MARKET_CAP]]&gt;50000000000,"Mid Cap","Small Cap"))</f>
        <v>Small Cap</v>
      </c>
      <c r="P539" t="str">
        <f>IF(Table1[[#This Row],[NET_TRDQTY]]&gt;1000000,"High Volume","Low Volume")</f>
        <v>Low Volume</v>
      </c>
    </row>
    <row r="540" spans="1:16" x14ac:dyDescent="0.3">
      <c r="A540" t="s">
        <v>1086</v>
      </c>
      <c r="B540" t="s">
        <v>1087</v>
      </c>
      <c r="C540">
        <v>635.29999999999995</v>
      </c>
      <c r="D540">
        <v>640.29999999999995</v>
      </c>
      <c r="E540">
        <v>603</v>
      </c>
      <c r="F540">
        <v>605.20000000000005</v>
      </c>
      <c r="G540">
        <v>651.75</v>
      </c>
      <c r="H540">
        <v>32635</v>
      </c>
      <c r="I540">
        <v>1467</v>
      </c>
      <c r="J540">
        <v>8477339000</v>
      </c>
      <c r="K540">
        <v>14007500</v>
      </c>
      <c r="L540">
        <f>(Table1[[#This Row],[CLOSE_PRICE]] - Table1[[#This Row],[PREV_CL_PR]]) / Table1[[#This Row],[PREV_CL_PR]] * 100</f>
        <v>-7.1423091676256174</v>
      </c>
      <c r="M540">
        <f>Table1[[#This Row],[HIGH_PRICE]]-Table1[[#This Row],[LOW_PRICE]]</f>
        <v>37.299999999999955</v>
      </c>
      <c r="N540" t="str">
        <f>IF(Table1[[#This Row],[CLOSE_PRICE]]&gt;Table1[[#This Row],[OPEN_PRICE]],"Gain","Loss")</f>
        <v>Loss</v>
      </c>
      <c r="O540" t="str">
        <f>IF(Table1[[#This Row],[MARKET_CAP]]&gt;200000000000,"Large Cap",
IF(Table1[[#This Row],[MARKET_CAP]]&gt;50000000000,"Mid Cap","Small Cap"))</f>
        <v>Small Cap</v>
      </c>
      <c r="P540" t="str">
        <f>IF(Table1[[#This Row],[NET_TRDQTY]]&gt;1000000,"High Volume","Low Volume")</f>
        <v>Low Volume</v>
      </c>
    </row>
    <row r="541" spans="1:16" x14ac:dyDescent="0.3">
      <c r="A541" t="s">
        <v>1088</v>
      </c>
      <c r="B541" t="s">
        <v>1089</v>
      </c>
      <c r="C541">
        <v>265</v>
      </c>
      <c r="D541">
        <v>265</v>
      </c>
      <c r="E541">
        <v>241.35</v>
      </c>
      <c r="F541">
        <v>249.8</v>
      </c>
      <c r="G541">
        <v>267.45</v>
      </c>
      <c r="H541">
        <v>1675945</v>
      </c>
      <c r="I541">
        <v>16494</v>
      </c>
      <c r="J541">
        <v>17301982832</v>
      </c>
      <c r="K541">
        <v>69263342</v>
      </c>
      <c r="L541">
        <f>(Table1[[#This Row],[CLOSE_PRICE]] - Table1[[#This Row],[PREV_CL_PR]]) / Table1[[#This Row],[PREV_CL_PR]] * 100</f>
        <v>-6.5993643671714262</v>
      </c>
      <c r="M541">
        <f>Table1[[#This Row],[HIGH_PRICE]]-Table1[[#This Row],[LOW_PRICE]]</f>
        <v>23.650000000000006</v>
      </c>
      <c r="N541" t="str">
        <f>IF(Table1[[#This Row],[CLOSE_PRICE]]&gt;Table1[[#This Row],[OPEN_PRICE]],"Gain","Loss")</f>
        <v>Loss</v>
      </c>
      <c r="O541" t="str">
        <f>IF(Table1[[#This Row],[MARKET_CAP]]&gt;200000000000,"Large Cap",
IF(Table1[[#This Row],[MARKET_CAP]]&gt;50000000000,"Mid Cap","Small Cap"))</f>
        <v>Small Cap</v>
      </c>
      <c r="P541" t="str">
        <f>IF(Table1[[#This Row],[NET_TRDQTY]]&gt;1000000,"High Volume","Low Volume")</f>
        <v>High Volume</v>
      </c>
    </row>
    <row r="542" spans="1:16" x14ac:dyDescent="0.3">
      <c r="A542" t="s">
        <v>1090</v>
      </c>
      <c r="B542" t="s">
        <v>1091</v>
      </c>
      <c r="C542">
        <v>903</v>
      </c>
      <c r="D542">
        <v>905</v>
      </c>
      <c r="E542">
        <v>866.4</v>
      </c>
      <c r="F542">
        <v>872.1</v>
      </c>
      <c r="G542">
        <v>908.55</v>
      </c>
      <c r="H542">
        <v>290930</v>
      </c>
      <c r="I542">
        <v>20397</v>
      </c>
      <c r="J542">
        <v>110000000000</v>
      </c>
      <c r="K542">
        <v>126237825</v>
      </c>
      <c r="L542">
        <f>(Table1[[#This Row],[CLOSE_PRICE]] - Table1[[#This Row],[PREV_CL_PR]]) / Table1[[#This Row],[PREV_CL_PR]] * 100</f>
        <v>-4.0118870728083138</v>
      </c>
      <c r="M542">
        <f>Table1[[#This Row],[HIGH_PRICE]]-Table1[[#This Row],[LOW_PRICE]]</f>
        <v>38.600000000000023</v>
      </c>
      <c r="N542" t="str">
        <f>IF(Table1[[#This Row],[CLOSE_PRICE]]&gt;Table1[[#This Row],[OPEN_PRICE]],"Gain","Loss")</f>
        <v>Loss</v>
      </c>
      <c r="O542" t="str">
        <f>IF(Table1[[#This Row],[MARKET_CAP]]&gt;200000000000,"Large Cap",
IF(Table1[[#This Row],[MARKET_CAP]]&gt;50000000000,"Mid Cap","Small Cap"))</f>
        <v>Mid Cap</v>
      </c>
      <c r="P542" t="str">
        <f>IF(Table1[[#This Row],[NET_TRDQTY]]&gt;1000000,"High Volume","Low Volume")</f>
        <v>Low Volume</v>
      </c>
    </row>
    <row r="543" spans="1:16" x14ac:dyDescent="0.3">
      <c r="A543" t="s">
        <v>1092</v>
      </c>
      <c r="B543" t="s">
        <v>1093</v>
      </c>
      <c r="C543">
        <v>1380</v>
      </c>
      <c r="D543">
        <v>1382.8</v>
      </c>
      <c r="E543">
        <v>1312</v>
      </c>
      <c r="F543">
        <v>1317.5</v>
      </c>
      <c r="G543">
        <v>1390.3</v>
      </c>
      <c r="H543">
        <v>195886</v>
      </c>
      <c r="I543">
        <v>24620</v>
      </c>
      <c r="J543">
        <v>180000000000</v>
      </c>
      <c r="K543">
        <v>136393041</v>
      </c>
      <c r="L543">
        <f>(Table1[[#This Row],[CLOSE_PRICE]] - Table1[[#This Row],[PREV_CL_PR]]) / Table1[[#This Row],[PREV_CL_PR]] * 100</f>
        <v>-5.2362799395813822</v>
      </c>
      <c r="M543">
        <f>Table1[[#This Row],[HIGH_PRICE]]-Table1[[#This Row],[LOW_PRICE]]</f>
        <v>70.799999999999955</v>
      </c>
      <c r="N543" t="str">
        <f>IF(Table1[[#This Row],[CLOSE_PRICE]]&gt;Table1[[#This Row],[OPEN_PRICE]],"Gain","Loss")</f>
        <v>Loss</v>
      </c>
      <c r="O543" t="str">
        <f>IF(Table1[[#This Row],[MARKET_CAP]]&gt;200000000000,"Large Cap",
IF(Table1[[#This Row],[MARKET_CAP]]&gt;50000000000,"Mid Cap","Small Cap"))</f>
        <v>Mid Cap</v>
      </c>
      <c r="P543" t="str">
        <f>IF(Table1[[#This Row],[NET_TRDQTY]]&gt;1000000,"High Volume","Low Volume")</f>
        <v>Low Volume</v>
      </c>
    </row>
    <row r="544" spans="1:16" x14ac:dyDescent="0.3">
      <c r="A544" t="s">
        <v>1094</v>
      </c>
      <c r="B544" t="s">
        <v>1095</v>
      </c>
      <c r="C544">
        <v>397.15</v>
      </c>
      <c r="D544">
        <v>403</v>
      </c>
      <c r="E544">
        <v>376.1</v>
      </c>
      <c r="F544">
        <v>395.55</v>
      </c>
      <c r="G544">
        <v>409.75</v>
      </c>
      <c r="H544">
        <v>1200072</v>
      </c>
      <c r="I544">
        <v>30706</v>
      </c>
      <c r="J544">
        <v>25315200000</v>
      </c>
      <c r="K544">
        <v>64000000</v>
      </c>
      <c r="L544">
        <f>(Table1[[#This Row],[CLOSE_PRICE]] - Table1[[#This Row],[PREV_CL_PR]]) / Table1[[#This Row],[PREV_CL_PR]] * 100</f>
        <v>-3.4655277608297714</v>
      </c>
      <c r="M544">
        <f>Table1[[#This Row],[HIGH_PRICE]]-Table1[[#This Row],[LOW_PRICE]]</f>
        <v>26.899999999999977</v>
      </c>
      <c r="N544" t="str">
        <f>IF(Table1[[#This Row],[CLOSE_PRICE]]&gt;Table1[[#This Row],[OPEN_PRICE]],"Gain","Loss")</f>
        <v>Loss</v>
      </c>
      <c r="O544" t="str">
        <f>IF(Table1[[#This Row],[MARKET_CAP]]&gt;200000000000,"Large Cap",
IF(Table1[[#This Row],[MARKET_CAP]]&gt;50000000000,"Mid Cap","Small Cap"))</f>
        <v>Small Cap</v>
      </c>
      <c r="P544" t="str">
        <f>IF(Table1[[#This Row],[NET_TRDQTY]]&gt;1000000,"High Volume","Low Volume")</f>
        <v>High Volume</v>
      </c>
    </row>
    <row r="545" spans="1:16" x14ac:dyDescent="0.3">
      <c r="A545" t="s">
        <v>1096</v>
      </c>
      <c r="B545" t="s">
        <v>1097</v>
      </c>
      <c r="C545">
        <v>418.75</v>
      </c>
      <c r="D545">
        <v>418.95</v>
      </c>
      <c r="E545">
        <v>402</v>
      </c>
      <c r="F545">
        <v>411.4</v>
      </c>
      <c r="G545">
        <v>422.85</v>
      </c>
      <c r="H545">
        <v>1377471</v>
      </c>
      <c r="I545">
        <v>35033</v>
      </c>
      <c r="J545">
        <v>308000000000</v>
      </c>
      <c r="K545">
        <v>748095781</v>
      </c>
      <c r="L545">
        <f>(Table1[[#This Row],[CLOSE_PRICE]] - Table1[[#This Row],[PREV_CL_PR]]) / Table1[[#This Row],[PREV_CL_PR]] * 100</f>
        <v>-2.7078160104055917</v>
      </c>
      <c r="M545">
        <f>Table1[[#This Row],[HIGH_PRICE]]-Table1[[#This Row],[LOW_PRICE]]</f>
        <v>16.949999999999989</v>
      </c>
      <c r="N545" t="str">
        <f>IF(Table1[[#This Row],[CLOSE_PRICE]]&gt;Table1[[#This Row],[OPEN_PRICE]],"Gain","Loss")</f>
        <v>Loss</v>
      </c>
      <c r="O545" t="str">
        <f>IF(Table1[[#This Row],[MARKET_CAP]]&gt;200000000000,"Large Cap",
IF(Table1[[#This Row],[MARKET_CAP]]&gt;50000000000,"Mid Cap","Small Cap"))</f>
        <v>Large Cap</v>
      </c>
      <c r="P545" t="str">
        <f>IF(Table1[[#This Row],[NET_TRDQTY]]&gt;1000000,"High Volume","Low Volume")</f>
        <v>High Volume</v>
      </c>
    </row>
    <row r="546" spans="1:16" x14ac:dyDescent="0.3">
      <c r="A546" t="s">
        <v>1098</v>
      </c>
      <c r="B546" t="s">
        <v>1099</v>
      </c>
      <c r="C546">
        <v>9.6999999999999993</v>
      </c>
      <c r="D546">
        <v>9.98</v>
      </c>
      <c r="E546">
        <v>8.8000000000000007</v>
      </c>
      <c r="F546">
        <v>8.9</v>
      </c>
      <c r="G546">
        <v>9.8800000000000008</v>
      </c>
      <c r="H546">
        <v>1146304</v>
      </c>
      <c r="I546">
        <v>2529</v>
      </c>
      <c r="J546">
        <v>2182883198</v>
      </c>
      <c r="K546">
        <v>245267775</v>
      </c>
      <c r="L546">
        <f>(Table1[[#This Row],[CLOSE_PRICE]] - Table1[[#This Row],[PREV_CL_PR]]) / Table1[[#This Row],[PREV_CL_PR]] * 100</f>
        <v>-9.9190283400809758</v>
      </c>
      <c r="M546">
        <f>Table1[[#This Row],[HIGH_PRICE]]-Table1[[#This Row],[LOW_PRICE]]</f>
        <v>1.1799999999999997</v>
      </c>
      <c r="N546" t="str">
        <f>IF(Table1[[#This Row],[CLOSE_PRICE]]&gt;Table1[[#This Row],[OPEN_PRICE]],"Gain","Loss")</f>
        <v>Loss</v>
      </c>
      <c r="O546" t="str">
        <f>IF(Table1[[#This Row],[MARKET_CAP]]&gt;200000000000,"Large Cap",
IF(Table1[[#This Row],[MARKET_CAP]]&gt;50000000000,"Mid Cap","Small Cap"))</f>
        <v>Small Cap</v>
      </c>
      <c r="P546" t="str">
        <f>IF(Table1[[#This Row],[NET_TRDQTY]]&gt;1000000,"High Volume","Low Volume")</f>
        <v>High Volume</v>
      </c>
    </row>
    <row r="547" spans="1:16" x14ac:dyDescent="0.3">
      <c r="A547" t="s">
        <v>1100</v>
      </c>
      <c r="B547" t="s">
        <v>1101</v>
      </c>
      <c r="C547">
        <v>52.5</v>
      </c>
      <c r="D547">
        <v>53.09</v>
      </c>
      <c r="E547">
        <v>50.1</v>
      </c>
      <c r="F547">
        <v>50.49</v>
      </c>
      <c r="G547">
        <v>53.89</v>
      </c>
      <c r="H547">
        <v>2344608</v>
      </c>
      <c r="I547">
        <v>19465</v>
      </c>
      <c r="J547">
        <v>13519762688</v>
      </c>
      <c r="K547">
        <v>267771097</v>
      </c>
      <c r="L547">
        <f>(Table1[[#This Row],[CLOSE_PRICE]] - Table1[[#This Row],[PREV_CL_PR]]) / Table1[[#This Row],[PREV_CL_PR]] * 100</f>
        <v>-6.3091482649842243</v>
      </c>
      <c r="M547">
        <f>Table1[[#This Row],[HIGH_PRICE]]-Table1[[#This Row],[LOW_PRICE]]</f>
        <v>2.990000000000002</v>
      </c>
      <c r="N547" t="str">
        <f>IF(Table1[[#This Row],[CLOSE_PRICE]]&gt;Table1[[#This Row],[OPEN_PRICE]],"Gain","Loss")</f>
        <v>Loss</v>
      </c>
      <c r="O547" t="str">
        <f>IF(Table1[[#This Row],[MARKET_CAP]]&gt;200000000000,"Large Cap",
IF(Table1[[#This Row],[MARKET_CAP]]&gt;50000000000,"Mid Cap","Small Cap"))</f>
        <v>Small Cap</v>
      </c>
      <c r="P547" t="str">
        <f>IF(Table1[[#This Row],[NET_TRDQTY]]&gt;1000000,"High Volume","Low Volume")</f>
        <v>High Volume</v>
      </c>
    </row>
    <row r="548" spans="1:16" x14ac:dyDescent="0.3">
      <c r="A548" t="s">
        <v>1102</v>
      </c>
      <c r="B548" t="s">
        <v>1103</v>
      </c>
      <c r="C548">
        <v>53.1</v>
      </c>
      <c r="D548">
        <v>53.99</v>
      </c>
      <c r="E548">
        <v>50</v>
      </c>
      <c r="F548">
        <v>52.54</v>
      </c>
      <c r="G548">
        <v>53.43</v>
      </c>
      <c r="H548">
        <v>13549</v>
      </c>
      <c r="I548">
        <v>169</v>
      </c>
      <c r="J548">
        <v>570117844.79999995</v>
      </c>
      <c r="K548">
        <v>10851120</v>
      </c>
      <c r="L548">
        <f>(Table1[[#This Row],[CLOSE_PRICE]] - Table1[[#This Row],[PREV_CL_PR]]) / Table1[[#This Row],[PREV_CL_PR]] * 100</f>
        <v>-1.6657308628111558</v>
      </c>
      <c r="M548">
        <f>Table1[[#This Row],[HIGH_PRICE]]-Table1[[#This Row],[LOW_PRICE]]</f>
        <v>3.990000000000002</v>
      </c>
      <c r="N548" t="str">
        <f>IF(Table1[[#This Row],[CLOSE_PRICE]]&gt;Table1[[#This Row],[OPEN_PRICE]],"Gain","Loss")</f>
        <v>Loss</v>
      </c>
      <c r="O548" t="str">
        <f>IF(Table1[[#This Row],[MARKET_CAP]]&gt;200000000000,"Large Cap",
IF(Table1[[#This Row],[MARKET_CAP]]&gt;50000000000,"Mid Cap","Small Cap"))</f>
        <v>Small Cap</v>
      </c>
      <c r="P548" t="str">
        <f>IF(Table1[[#This Row],[NET_TRDQTY]]&gt;1000000,"High Volume","Low Volume")</f>
        <v>Low Volume</v>
      </c>
    </row>
    <row r="549" spans="1:16" x14ac:dyDescent="0.3">
      <c r="A549" t="s">
        <v>1104</v>
      </c>
      <c r="B549" t="s">
        <v>1105</v>
      </c>
      <c r="C549">
        <v>25.75</v>
      </c>
      <c r="D549">
        <v>25.78</v>
      </c>
      <c r="E549">
        <v>25.07</v>
      </c>
      <c r="F549">
        <v>25.15</v>
      </c>
      <c r="G549">
        <v>25.95</v>
      </c>
      <c r="H549">
        <v>606357</v>
      </c>
      <c r="I549">
        <v>2566</v>
      </c>
      <c r="J549">
        <v>12002179702</v>
      </c>
      <c r="K549">
        <v>477223845</v>
      </c>
      <c r="L549">
        <f>(Table1[[#This Row],[CLOSE_PRICE]] - Table1[[#This Row],[PREV_CL_PR]]) / Table1[[#This Row],[PREV_CL_PR]] * 100</f>
        <v>-3.0828516377649353</v>
      </c>
      <c r="M549">
        <f>Table1[[#This Row],[HIGH_PRICE]]-Table1[[#This Row],[LOW_PRICE]]</f>
        <v>0.71000000000000085</v>
      </c>
      <c r="N549" t="str">
        <f>IF(Table1[[#This Row],[CLOSE_PRICE]]&gt;Table1[[#This Row],[OPEN_PRICE]],"Gain","Loss")</f>
        <v>Loss</v>
      </c>
      <c r="O549" t="str">
        <f>IF(Table1[[#This Row],[MARKET_CAP]]&gt;200000000000,"Large Cap",
IF(Table1[[#This Row],[MARKET_CAP]]&gt;50000000000,"Mid Cap","Small Cap"))</f>
        <v>Small Cap</v>
      </c>
      <c r="P549" t="str">
        <f>IF(Table1[[#This Row],[NET_TRDQTY]]&gt;1000000,"High Volume","Low Volume")</f>
        <v>Low Volume</v>
      </c>
    </row>
    <row r="550" spans="1:16" x14ac:dyDescent="0.3">
      <c r="A550" t="s">
        <v>1106</v>
      </c>
      <c r="B550" t="s">
        <v>1107</v>
      </c>
      <c r="C550">
        <v>675</v>
      </c>
      <c r="D550">
        <v>700</v>
      </c>
      <c r="E550">
        <v>663</v>
      </c>
      <c r="F550">
        <v>679.25</v>
      </c>
      <c r="G550">
        <v>698.25</v>
      </c>
      <c r="H550">
        <v>15585</v>
      </c>
      <c r="I550">
        <v>1485</v>
      </c>
      <c r="J550">
        <v>3605889645</v>
      </c>
      <c r="K550">
        <v>5308634</v>
      </c>
      <c r="L550">
        <f>(Table1[[#This Row],[CLOSE_PRICE]] - Table1[[#This Row],[PREV_CL_PR]]) / Table1[[#This Row],[PREV_CL_PR]] * 100</f>
        <v>-2.7210884353741496</v>
      </c>
      <c r="M550">
        <f>Table1[[#This Row],[HIGH_PRICE]]-Table1[[#This Row],[LOW_PRICE]]</f>
        <v>37</v>
      </c>
      <c r="N550" t="str">
        <f>IF(Table1[[#This Row],[CLOSE_PRICE]]&gt;Table1[[#This Row],[OPEN_PRICE]],"Gain","Loss")</f>
        <v>Gain</v>
      </c>
      <c r="O550" t="str">
        <f>IF(Table1[[#This Row],[MARKET_CAP]]&gt;200000000000,"Large Cap",
IF(Table1[[#This Row],[MARKET_CAP]]&gt;50000000000,"Mid Cap","Small Cap"))</f>
        <v>Small Cap</v>
      </c>
      <c r="P550" t="str">
        <f>IF(Table1[[#This Row],[NET_TRDQTY]]&gt;1000000,"High Volume","Low Volume")</f>
        <v>Low Volume</v>
      </c>
    </row>
    <row r="551" spans="1:16" x14ac:dyDescent="0.3">
      <c r="A551" t="s">
        <v>1108</v>
      </c>
      <c r="B551" t="s">
        <v>1109</v>
      </c>
      <c r="C551">
        <v>238</v>
      </c>
      <c r="D551">
        <v>239.55</v>
      </c>
      <c r="E551">
        <v>224.5</v>
      </c>
      <c r="F551">
        <v>226.3</v>
      </c>
      <c r="G551">
        <v>241.6</v>
      </c>
      <c r="H551">
        <v>137247</v>
      </c>
      <c r="I551">
        <v>3937</v>
      </c>
      <c r="J551">
        <v>6042210000</v>
      </c>
      <c r="K551">
        <v>26700000</v>
      </c>
      <c r="L551">
        <f>(Table1[[#This Row],[CLOSE_PRICE]] - Table1[[#This Row],[PREV_CL_PR]]) / Table1[[#This Row],[PREV_CL_PR]] * 100</f>
        <v>-6.3327814569536356</v>
      </c>
      <c r="M551">
        <f>Table1[[#This Row],[HIGH_PRICE]]-Table1[[#This Row],[LOW_PRICE]]</f>
        <v>15.050000000000011</v>
      </c>
      <c r="N551" t="str">
        <f>IF(Table1[[#This Row],[CLOSE_PRICE]]&gt;Table1[[#This Row],[OPEN_PRICE]],"Gain","Loss")</f>
        <v>Loss</v>
      </c>
      <c r="O551" t="str">
        <f>IF(Table1[[#This Row],[MARKET_CAP]]&gt;200000000000,"Large Cap",
IF(Table1[[#This Row],[MARKET_CAP]]&gt;50000000000,"Mid Cap","Small Cap"))</f>
        <v>Small Cap</v>
      </c>
      <c r="P551" t="str">
        <f>IF(Table1[[#This Row],[NET_TRDQTY]]&gt;1000000,"High Volume","Low Volume")</f>
        <v>Low Volume</v>
      </c>
    </row>
    <row r="552" spans="1:16" x14ac:dyDescent="0.3">
      <c r="A552" t="s">
        <v>1110</v>
      </c>
      <c r="B552" t="s">
        <v>1111</v>
      </c>
      <c r="C552">
        <v>27.58</v>
      </c>
      <c r="D552">
        <v>27.58</v>
      </c>
      <c r="E552">
        <v>25</v>
      </c>
      <c r="F552">
        <v>25.26</v>
      </c>
      <c r="G552">
        <v>27.58</v>
      </c>
      <c r="H552">
        <v>147633</v>
      </c>
      <c r="I552">
        <v>1562</v>
      </c>
      <c r="J552">
        <v>1423027986</v>
      </c>
      <c r="K552">
        <v>56335233</v>
      </c>
      <c r="L552">
        <f>(Table1[[#This Row],[CLOSE_PRICE]] - Table1[[#This Row],[PREV_CL_PR]]) / Table1[[#This Row],[PREV_CL_PR]] * 100</f>
        <v>-8.4118926758520551</v>
      </c>
      <c r="M552">
        <f>Table1[[#This Row],[HIGH_PRICE]]-Table1[[#This Row],[LOW_PRICE]]</f>
        <v>2.5799999999999983</v>
      </c>
      <c r="N552" t="str">
        <f>IF(Table1[[#This Row],[CLOSE_PRICE]]&gt;Table1[[#This Row],[OPEN_PRICE]],"Gain","Loss")</f>
        <v>Loss</v>
      </c>
      <c r="O552" t="str">
        <f>IF(Table1[[#This Row],[MARKET_CAP]]&gt;200000000000,"Large Cap",
IF(Table1[[#This Row],[MARKET_CAP]]&gt;50000000000,"Mid Cap","Small Cap"))</f>
        <v>Small Cap</v>
      </c>
      <c r="P552" t="str">
        <f>IF(Table1[[#This Row],[NET_TRDQTY]]&gt;1000000,"High Volume","Low Volume")</f>
        <v>Low Volume</v>
      </c>
    </row>
    <row r="553" spans="1:16" x14ac:dyDescent="0.3">
      <c r="A553" t="s">
        <v>1112</v>
      </c>
      <c r="B553" t="s">
        <v>1113</v>
      </c>
      <c r="C553">
        <v>37.76</v>
      </c>
      <c r="D553">
        <v>37.76</v>
      </c>
      <c r="E553">
        <v>35.5</v>
      </c>
      <c r="F553">
        <v>36.35</v>
      </c>
      <c r="G553">
        <v>37.770000000000003</v>
      </c>
      <c r="H553">
        <v>118364</v>
      </c>
      <c r="I553">
        <v>815</v>
      </c>
      <c r="J553">
        <v>3278316170</v>
      </c>
      <c r="K553">
        <v>90187515</v>
      </c>
      <c r="L553">
        <f>(Table1[[#This Row],[CLOSE_PRICE]] - Table1[[#This Row],[PREV_CL_PR]]) / Table1[[#This Row],[PREV_CL_PR]] * 100</f>
        <v>-3.7595975642043991</v>
      </c>
      <c r="M553">
        <f>Table1[[#This Row],[HIGH_PRICE]]-Table1[[#This Row],[LOW_PRICE]]</f>
        <v>2.259999999999998</v>
      </c>
      <c r="N553" t="str">
        <f>IF(Table1[[#This Row],[CLOSE_PRICE]]&gt;Table1[[#This Row],[OPEN_PRICE]],"Gain","Loss")</f>
        <v>Loss</v>
      </c>
      <c r="O553" t="str">
        <f>IF(Table1[[#This Row],[MARKET_CAP]]&gt;200000000000,"Large Cap",
IF(Table1[[#This Row],[MARKET_CAP]]&gt;50000000000,"Mid Cap","Small Cap"))</f>
        <v>Small Cap</v>
      </c>
      <c r="P553" t="str">
        <f>IF(Table1[[#This Row],[NET_TRDQTY]]&gt;1000000,"High Volume","Low Volume")</f>
        <v>Low Volume</v>
      </c>
    </row>
    <row r="554" spans="1:16" x14ac:dyDescent="0.3">
      <c r="A554" t="s">
        <v>1114</v>
      </c>
      <c r="B554" t="s">
        <v>1115</v>
      </c>
      <c r="C554">
        <v>103</v>
      </c>
      <c r="D554">
        <v>103.98</v>
      </c>
      <c r="E554">
        <v>98.31</v>
      </c>
      <c r="F554">
        <v>101.16</v>
      </c>
      <c r="G554">
        <v>104.17</v>
      </c>
      <c r="H554">
        <v>2919189</v>
      </c>
      <c r="I554">
        <v>45171</v>
      </c>
      <c r="J554">
        <v>125000000000</v>
      </c>
      <c r="K554">
        <v>1232872291</v>
      </c>
      <c r="L554">
        <f>(Table1[[#This Row],[CLOSE_PRICE]] - Table1[[#This Row],[PREV_CL_PR]]) / Table1[[#This Row],[PREV_CL_PR]] * 100</f>
        <v>-2.8895075357588609</v>
      </c>
      <c r="M554">
        <f>Table1[[#This Row],[HIGH_PRICE]]-Table1[[#This Row],[LOW_PRICE]]</f>
        <v>5.6700000000000017</v>
      </c>
      <c r="N554" t="str">
        <f>IF(Table1[[#This Row],[CLOSE_PRICE]]&gt;Table1[[#This Row],[OPEN_PRICE]],"Gain","Loss")</f>
        <v>Loss</v>
      </c>
      <c r="O554" t="str">
        <f>IF(Table1[[#This Row],[MARKET_CAP]]&gt;200000000000,"Large Cap",
IF(Table1[[#This Row],[MARKET_CAP]]&gt;50000000000,"Mid Cap","Small Cap"))</f>
        <v>Mid Cap</v>
      </c>
      <c r="P554" t="str">
        <f>IF(Table1[[#This Row],[NET_TRDQTY]]&gt;1000000,"High Volume","Low Volume")</f>
        <v>High Volume</v>
      </c>
    </row>
    <row r="555" spans="1:16" x14ac:dyDescent="0.3">
      <c r="A555" t="s">
        <v>1116</v>
      </c>
      <c r="B555" t="s">
        <v>1117</v>
      </c>
      <c r="C555">
        <v>23.99</v>
      </c>
      <c r="D555">
        <v>23.99</v>
      </c>
      <c r="E555">
        <v>22.4</v>
      </c>
      <c r="F555">
        <v>22.7</v>
      </c>
      <c r="G555">
        <v>23.97</v>
      </c>
      <c r="H555">
        <v>14346</v>
      </c>
      <c r="I555">
        <v>121</v>
      </c>
      <c r="J555">
        <v>1320846671</v>
      </c>
      <c r="K555">
        <v>58187078</v>
      </c>
      <c r="L555">
        <f>(Table1[[#This Row],[CLOSE_PRICE]] - Table1[[#This Row],[PREV_CL_PR]]) / Table1[[#This Row],[PREV_CL_PR]] * 100</f>
        <v>-5.2982895285773868</v>
      </c>
      <c r="M555">
        <f>Table1[[#This Row],[HIGH_PRICE]]-Table1[[#This Row],[LOW_PRICE]]</f>
        <v>1.5899999999999999</v>
      </c>
      <c r="N555" t="str">
        <f>IF(Table1[[#This Row],[CLOSE_PRICE]]&gt;Table1[[#This Row],[OPEN_PRICE]],"Gain","Loss")</f>
        <v>Loss</v>
      </c>
      <c r="O555" t="str">
        <f>IF(Table1[[#This Row],[MARKET_CAP]]&gt;200000000000,"Large Cap",
IF(Table1[[#This Row],[MARKET_CAP]]&gt;50000000000,"Mid Cap","Small Cap"))</f>
        <v>Small Cap</v>
      </c>
      <c r="P555" t="str">
        <f>IF(Table1[[#This Row],[NET_TRDQTY]]&gt;1000000,"High Volume","Low Volume")</f>
        <v>Low Volume</v>
      </c>
    </row>
    <row r="556" spans="1:16" x14ac:dyDescent="0.3">
      <c r="A556" t="s">
        <v>1118</v>
      </c>
      <c r="B556" t="s">
        <v>1119</v>
      </c>
      <c r="C556">
        <v>125.05</v>
      </c>
      <c r="D556">
        <v>127.68</v>
      </c>
      <c r="E556">
        <v>120.45</v>
      </c>
      <c r="F556">
        <v>121.99</v>
      </c>
      <c r="G556">
        <v>126.66</v>
      </c>
      <c r="H556">
        <v>495659</v>
      </c>
      <c r="I556">
        <v>6902</v>
      </c>
      <c r="J556">
        <v>7844751033</v>
      </c>
      <c r="K556">
        <v>64306509</v>
      </c>
      <c r="L556">
        <f>(Table1[[#This Row],[CLOSE_PRICE]] - Table1[[#This Row],[PREV_CL_PR]]) / Table1[[#This Row],[PREV_CL_PR]] * 100</f>
        <v>-3.687036159797886</v>
      </c>
      <c r="M556">
        <f>Table1[[#This Row],[HIGH_PRICE]]-Table1[[#This Row],[LOW_PRICE]]</f>
        <v>7.230000000000004</v>
      </c>
      <c r="N556" t="str">
        <f>IF(Table1[[#This Row],[CLOSE_PRICE]]&gt;Table1[[#This Row],[OPEN_PRICE]],"Gain","Loss")</f>
        <v>Loss</v>
      </c>
      <c r="O556" t="str">
        <f>IF(Table1[[#This Row],[MARKET_CAP]]&gt;200000000000,"Large Cap",
IF(Table1[[#This Row],[MARKET_CAP]]&gt;50000000000,"Mid Cap","Small Cap"))</f>
        <v>Small Cap</v>
      </c>
      <c r="P556" t="str">
        <f>IF(Table1[[#This Row],[NET_TRDQTY]]&gt;1000000,"High Volume","Low Volume")</f>
        <v>Low Volume</v>
      </c>
    </row>
    <row r="557" spans="1:16" x14ac:dyDescent="0.3">
      <c r="A557" t="s">
        <v>1120</v>
      </c>
      <c r="B557" t="s">
        <v>1121</v>
      </c>
      <c r="C557">
        <v>22.33</v>
      </c>
      <c r="D557">
        <v>22.33</v>
      </c>
      <c r="E557">
        <v>20.8</v>
      </c>
      <c r="F557">
        <v>21.02</v>
      </c>
      <c r="G557">
        <v>22.33</v>
      </c>
      <c r="H557">
        <v>798812</v>
      </c>
      <c r="I557">
        <v>3058</v>
      </c>
      <c r="J557">
        <v>8296569848</v>
      </c>
      <c r="K557">
        <v>394698851</v>
      </c>
      <c r="L557">
        <f>(Table1[[#This Row],[CLOSE_PRICE]] - Table1[[#This Row],[PREV_CL_PR]]) / Table1[[#This Row],[PREV_CL_PR]] * 100</f>
        <v>-5.8665472458575856</v>
      </c>
      <c r="M557">
        <f>Table1[[#This Row],[HIGH_PRICE]]-Table1[[#This Row],[LOW_PRICE]]</f>
        <v>1.5299999999999976</v>
      </c>
      <c r="N557" t="str">
        <f>IF(Table1[[#This Row],[CLOSE_PRICE]]&gt;Table1[[#This Row],[OPEN_PRICE]],"Gain","Loss")</f>
        <v>Loss</v>
      </c>
      <c r="O557" t="str">
        <f>IF(Table1[[#This Row],[MARKET_CAP]]&gt;200000000000,"Large Cap",
IF(Table1[[#This Row],[MARKET_CAP]]&gt;50000000000,"Mid Cap","Small Cap"))</f>
        <v>Small Cap</v>
      </c>
      <c r="P557" t="str">
        <f>IF(Table1[[#This Row],[NET_TRDQTY]]&gt;1000000,"High Volume","Low Volume")</f>
        <v>Low Volume</v>
      </c>
    </row>
    <row r="558" spans="1:16" x14ac:dyDescent="0.3">
      <c r="A558" t="s">
        <v>1122</v>
      </c>
      <c r="B558" t="s">
        <v>1123</v>
      </c>
      <c r="C558">
        <v>955</v>
      </c>
      <c r="D558">
        <v>957.3</v>
      </c>
      <c r="E558">
        <v>927</v>
      </c>
      <c r="F558">
        <v>931.8</v>
      </c>
      <c r="G558">
        <v>962.1</v>
      </c>
      <c r="H558">
        <v>45800</v>
      </c>
      <c r="I558">
        <v>4166</v>
      </c>
      <c r="J558">
        <v>42003982303</v>
      </c>
      <c r="K558">
        <v>45078324</v>
      </c>
      <c r="L558">
        <f>(Table1[[#This Row],[CLOSE_PRICE]] - Table1[[#This Row],[PREV_CL_PR]]) / Table1[[#This Row],[PREV_CL_PR]] * 100</f>
        <v>-3.1493607733083948</v>
      </c>
      <c r="M558">
        <f>Table1[[#This Row],[HIGH_PRICE]]-Table1[[#This Row],[LOW_PRICE]]</f>
        <v>30.299999999999955</v>
      </c>
      <c r="N558" t="str">
        <f>IF(Table1[[#This Row],[CLOSE_PRICE]]&gt;Table1[[#This Row],[OPEN_PRICE]],"Gain","Loss")</f>
        <v>Loss</v>
      </c>
      <c r="O558" t="str">
        <f>IF(Table1[[#This Row],[MARKET_CAP]]&gt;200000000000,"Large Cap",
IF(Table1[[#This Row],[MARKET_CAP]]&gt;50000000000,"Mid Cap","Small Cap"))</f>
        <v>Small Cap</v>
      </c>
      <c r="P558" t="str">
        <f>IF(Table1[[#This Row],[NET_TRDQTY]]&gt;1000000,"High Volume","Low Volume")</f>
        <v>Low Volume</v>
      </c>
    </row>
    <row r="559" spans="1:16" x14ac:dyDescent="0.3">
      <c r="A559" t="s">
        <v>1124</v>
      </c>
      <c r="B559" t="s">
        <v>1125</v>
      </c>
      <c r="C559">
        <v>236</v>
      </c>
      <c r="D559">
        <v>236.58</v>
      </c>
      <c r="E559">
        <v>228</v>
      </c>
      <c r="F559">
        <v>230.01</v>
      </c>
      <c r="G559">
        <v>240.31</v>
      </c>
      <c r="H559">
        <v>94838</v>
      </c>
      <c r="I559">
        <v>1765</v>
      </c>
      <c r="J559">
        <v>7773716053</v>
      </c>
      <c r="K559">
        <v>33797296</v>
      </c>
      <c r="L559">
        <f>(Table1[[#This Row],[CLOSE_PRICE]] - Table1[[#This Row],[PREV_CL_PR]]) / Table1[[#This Row],[PREV_CL_PR]] * 100</f>
        <v>-4.2861304148807839</v>
      </c>
      <c r="M559">
        <f>Table1[[#This Row],[HIGH_PRICE]]-Table1[[#This Row],[LOW_PRICE]]</f>
        <v>8.5800000000000125</v>
      </c>
      <c r="N559" t="str">
        <f>IF(Table1[[#This Row],[CLOSE_PRICE]]&gt;Table1[[#This Row],[OPEN_PRICE]],"Gain","Loss")</f>
        <v>Loss</v>
      </c>
      <c r="O559" t="str">
        <f>IF(Table1[[#This Row],[MARKET_CAP]]&gt;200000000000,"Large Cap",
IF(Table1[[#This Row],[MARKET_CAP]]&gt;50000000000,"Mid Cap","Small Cap"))</f>
        <v>Small Cap</v>
      </c>
      <c r="P559" t="str">
        <f>IF(Table1[[#This Row],[NET_TRDQTY]]&gt;1000000,"High Volume","Low Volume")</f>
        <v>Low Volume</v>
      </c>
    </row>
    <row r="560" spans="1:16" x14ac:dyDescent="0.3">
      <c r="A560" t="s">
        <v>1126</v>
      </c>
      <c r="B560" t="s">
        <v>1127</v>
      </c>
      <c r="C560">
        <v>30.04</v>
      </c>
      <c r="D560">
        <v>30.98</v>
      </c>
      <c r="E560">
        <v>28.28</v>
      </c>
      <c r="F560">
        <v>29.33</v>
      </c>
      <c r="G560">
        <v>30.04</v>
      </c>
      <c r="H560">
        <v>18076</v>
      </c>
      <c r="I560">
        <v>392</v>
      </c>
      <c r="J560">
        <v>556289468.79999995</v>
      </c>
      <c r="K560">
        <v>18966569</v>
      </c>
      <c r="L560">
        <f>(Table1[[#This Row],[CLOSE_PRICE]] - Table1[[#This Row],[PREV_CL_PR]]) / Table1[[#This Row],[PREV_CL_PR]] * 100</f>
        <v>-2.3635153129161148</v>
      </c>
      <c r="M560">
        <f>Table1[[#This Row],[HIGH_PRICE]]-Table1[[#This Row],[LOW_PRICE]]</f>
        <v>2.6999999999999993</v>
      </c>
      <c r="N560" t="str">
        <f>IF(Table1[[#This Row],[CLOSE_PRICE]]&gt;Table1[[#This Row],[OPEN_PRICE]],"Gain","Loss")</f>
        <v>Loss</v>
      </c>
      <c r="O560" t="str">
        <f>IF(Table1[[#This Row],[MARKET_CAP]]&gt;200000000000,"Large Cap",
IF(Table1[[#This Row],[MARKET_CAP]]&gt;50000000000,"Mid Cap","Small Cap"))</f>
        <v>Small Cap</v>
      </c>
      <c r="P560" t="str">
        <f>IF(Table1[[#This Row],[NET_TRDQTY]]&gt;1000000,"High Volume","Low Volume")</f>
        <v>Low Volume</v>
      </c>
    </row>
    <row r="561" spans="1:16" x14ac:dyDescent="0.3">
      <c r="A561" t="s">
        <v>1128</v>
      </c>
      <c r="B561" t="s">
        <v>1129</v>
      </c>
      <c r="C561">
        <v>769</v>
      </c>
      <c r="D561">
        <v>769</v>
      </c>
      <c r="E561">
        <v>737</v>
      </c>
      <c r="F561">
        <v>746.25</v>
      </c>
      <c r="G561">
        <v>766.95</v>
      </c>
      <c r="H561">
        <v>2968</v>
      </c>
      <c r="I561">
        <v>241</v>
      </c>
      <c r="J561">
        <v>4550019083</v>
      </c>
      <c r="K561">
        <v>6097178</v>
      </c>
      <c r="L561">
        <f>(Table1[[#This Row],[CLOSE_PRICE]] - Table1[[#This Row],[PREV_CL_PR]]) / Table1[[#This Row],[PREV_CL_PR]] * 100</f>
        <v>-2.6990025425386328</v>
      </c>
      <c r="M561">
        <f>Table1[[#This Row],[HIGH_PRICE]]-Table1[[#This Row],[LOW_PRICE]]</f>
        <v>32</v>
      </c>
      <c r="N561" t="str">
        <f>IF(Table1[[#This Row],[CLOSE_PRICE]]&gt;Table1[[#This Row],[OPEN_PRICE]],"Gain","Loss")</f>
        <v>Loss</v>
      </c>
      <c r="O561" t="str">
        <f>IF(Table1[[#This Row],[MARKET_CAP]]&gt;200000000000,"Large Cap",
IF(Table1[[#This Row],[MARKET_CAP]]&gt;50000000000,"Mid Cap","Small Cap"))</f>
        <v>Small Cap</v>
      </c>
      <c r="P561" t="str">
        <f>IF(Table1[[#This Row],[NET_TRDQTY]]&gt;1000000,"High Volume","Low Volume")</f>
        <v>Low Volume</v>
      </c>
    </row>
    <row r="562" spans="1:16" x14ac:dyDescent="0.3">
      <c r="A562" t="s">
        <v>1130</v>
      </c>
      <c r="B562" t="s">
        <v>1131</v>
      </c>
      <c r="C562">
        <v>123.84</v>
      </c>
      <c r="D562">
        <v>125.28</v>
      </c>
      <c r="E562">
        <v>117.1</v>
      </c>
      <c r="F562">
        <v>117.94</v>
      </c>
      <c r="G562">
        <v>127.15</v>
      </c>
      <c r="H562">
        <v>1650476</v>
      </c>
      <c r="I562">
        <v>10037</v>
      </c>
      <c r="J562">
        <v>62150966816</v>
      </c>
      <c r="K562">
        <v>526971060</v>
      </c>
      <c r="L562">
        <f>(Table1[[#This Row],[CLOSE_PRICE]] - Table1[[#This Row],[PREV_CL_PR]]) / Table1[[#This Row],[PREV_CL_PR]] * 100</f>
        <v>-7.2434132913881299</v>
      </c>
      <c r="M562">
        <f>Table1[[#This Row],[HIGH_PRICE]]-Table1[[#This Row],[LOW_PRICE]]</f>
        <v>8.1800000000000068</v>
      </c>
      <c r="N562" t="str">
        <f>IF(Table1[[#This Row],[CLOSE_PRICE]]&gt;Table1[[#This Row],[OPEN_PRICE]],"Gain","Loss")</f>
        <v>Loss</v>
      </c>
      <c r="O562" t="str">
        <f>IF(Table1[[#This Row],[MARKET_CAP]]&gt;200000000000,"Large Cap",
IF(Table1[[#This Row],[MARKET_CAP]]&gt;50000000000,"Mid Cap","Small Cap"))</f>
        <v>Mid Cap</v>
      </c>
      <c r="P562" t="str">
        <f>IF(Table1[[#This Row],[NET_TRDQTY]]&gt;1000000,"High Volume","Low Volume")</f>
        <v>High Volume</v>
      </c>
    </row>
    <row r="563" spans="1:16" x14ac:dyDescent="0.3">
      <c r="A563" t="s">
        <v>1132</v>
      </c>
      <c r="B563" t="s">
        <v>1133</v>
      </c>
      <c r="C563">
        <v>216.78</v>
      </c>
      <c r="D563">
        <v>219.98</v>
      </c>
      <c r="E563">
        <v>213</v>
      </c>
      <c r="F563">
        <v>215.46</v>
      </c>
      <c r="G563">
        <v>222.08</v>
      </c>
      <c r="H563">
        <v>20292</v>
      </c>
      <c r="I563">
        <v>1129</v>
      </c>
      <c r="J563">
        <v>2108058485</v>
      </c>
      <c r="K563">
        <v>9783990</v>
      </c>
      <c r="L563">
        <f>(Table1[[#This Row],[CLOSE_PRICE]] - Table1[[#This Row],[PREV_CL_PR]]) / Table1[[#This Row],[PREV_CL_PR]] * 100</f>
        <v>-2.980907780979829</v>
      </c>
      <c r="M563">
        <f>Table1[[#This Row],[HIGH_PRICE]]-Table1[[#This Row],[LOW_PRICE]]</f>
        <v>6.9799999999999898</v>
      </c>
      <c r="N563" t="str">
        <f>IF(Table1[[#This Row],[CLOSE_PRICE]]&gt;Table1[[#This Row],[OPEN_PRICE]],"Gain","Loss")</f>
        <v>Loss</v>
      </c>
      <c r="O563" t="str">
        <f>IF(Table1[[#This Row],[MARKET_CAP]]&gt;200000000000,"Large Cap",
IF(Table1[[#This Row],[MARKET_CAP]]&gt;50000000000,"Mid Cap","Small Cap"))</f>
        <v>Small Cap</v>
      </c>
      <c r="P563" t="str">
        <f>IF(Table1[[#This Row],[NET_TRDQTY]]&gt;1000000,"High Volume","Low Volume")</f>
        <v>Low Volume</v>
      </c>
    </row>
    <row r="564" spans="1:16" x14ac:dyDescent="0.3">
      <c r="A564" t="s">
        <v>1134</v>
      </c>
      <c r="B564" t="s">
        <v>1135</v>
      </c>
      <c r="C564">
        <v>889.9</v>
      </c>
      <c r="D564">
        <v>906</v>
      </c>
      <c r="E564">
        <v>860.7</v>
      </c>
      <c r="F564">
        <v>879.2</v>
      </c>
      <c r="G564">
        <v>908</v>
      </c>
      <c r="H564">
        <v>63592</v>
      </c>
      <c r="I564">
        <v>1970</v>
      </c>
      <c r="J564">
        <v>21013696777</v>
      </c>
      <c r="K564">
        <v>23900929</v>
      </c>
      <c r="L564">
        <f>(Table1[[#This Row],[CLOSE_PRICE]] - Table1[[#This Row],[PREV_CL_PR]]) / Table1[[#This Row],[PREV_CL_PR]] * 100</f>
        <v>-3.1718061674008755</v>
      </c>
      <c r="M564">
        <f>Table1[[#This Row],[HIGH_PRICE]]-Table1[[#This Row],[LOW_PRICE]]</f>
        <v>45.299999999999955</v>
      </c>
      <c r="N564" t="str">
        <f>IF(Table1[[#This Row],[CLOSE_PRICE]]&gt;Table1[[#This Row],[OPEN_PRICE]],"Gain","Loss")</f>
        <v>Loss</v>
      </c>
      <c r="O564" t="str">
        <f>IF(Table1[[#This Row],[MARKET_CAP]]&gt;200000000000,"Large Cap",
IF(Table1[[#This Row],[MARKET_CAP]]&gt;50000000000,"Mid Cap","Small Cap"))</f>
        <v>Small Cap</v>
      </c>
      <c r="P564" t="str">
        <f>IF(Table1[[#This Row],[NET_TRDQTY]]&gt;1000000,"High Volume","Low Volume")</f>
        <v>Low Volume</v>
      </c>
    </row>
    <row r="565" spans="1:16" x14ac:dyDescent="0.3">
      <c r="A565" t="s">
        <v>1136</v>
      </c>
      <c r="B565" t="s">
        <v>1137</v>
      </c>
      <c r="C565">
        <v>496</v>
      </c>
      <c r="D565">
        <v>538</v>
      </c>
      <c r="E565">
        <v>488.5</v>
      </c>
      <c r="F565">
        <v>492.05</v>
      </c>
      <c r="G565">
        <v>497.75</v>
      </c>
      <c r="H565">
        <v>1081</v>
      </c>
      <c r="I565">
        <v>136</v>
      </c>
      <c r="J565">
        <v>4516515633</v>
      </c>
      <c r="K565">
        <v>9178977</v>
      </c>
      <c r="L565">
        <f>(Table1[[#This Row],[CLOSE_PRICE]] - Table1[[#This Row],[PREV_CL_PR]]) / Table1[[#This Row],[PREV_CL_PR]] * 100</f>
        <v>-1.1451531893520821</v>
      </c>
      <c r="M565">
        <f>Table1[[#This Row],[HIGH_PRICE]]-Table1[[#This Row],[LOW_PRICE]]</f>
        <v>49.5</v>
      </c>
      <c r="N565" t="str">
        <f>IF(Table1[[#This Row],[CLOSE_PRICE]]&gt;Table1[[#This Row],[OPEN_PRICE]],"Gain","Loss")</f>
        <v>Loss</v>
      </c>
      <c r="O565" t="str">
        <f>IF(Table1[[#This Row],[MARKET_CAP]]&gt;200000000000,"Large Cap",
IF(Table1[[#This Row],[MARKET_CAP]]&gt;50000000000,"Mid Cap","Small Cap"))</f>
        <v>Small Cap</v>
      </c>
      <c r="P565" t="str">
        <f>IF(Table1[[#This Row],[NET_TRDQTY]]&gt;1000000,"High Volume","Low Volume")</f>
        <v>Low Volume</v>
      </c>
    </row>
    <row r="566" spans="1:16" x14ac:dyDescent="0.3">
      <c r="A566" t="s">
        <v>1138</v>
      </c>
      <c r="B566" t="s">
        <v>1139</v>
      </c>
      <c r="C566">
        <v>254.7</v>
      </c>
      <c r="D566">
        <v>262</v>
      </c>
      <c r="E566">
        <v>245.55</v>
      </c>
      <c r="F566">
        <v>259.89999999999998</v>
      </c>
      <c r="G566">
        <v>254.9</v>
      </c>
      <c r="H566">
        <v>232729</v>
      </c>
      <c r="I566">
        <v>4772</v>
      </c>
      <c r="J566">
        <v>9727084714</v>
      </c>
      <c r="K566">
        <v>37426259</v>
      </c>
      <c r="L566">
        <f>(Table1[[#This Row],[CLOSE_PRICE]] - Table1[[#This Row],[PREV_CL_PR]]) / Table1[[#This Row],[PREV_CL_PR]] * 100</f>
        <v>1.9615535504119148</v>
      </c>
      <c r="M566">
        <f>Table1[[#This Row],[HIGH_PRICE]]-Table1[[#This Row],[LOW_PRICE]]</f>
        <v>16.449999999999989</v>
      </c>
      <c r="N566" t="str">
        <f>IF(Table1[[#This Row],[CLOSE_PRICE]]&gt;Table1[[#This Row],[OPEN_PRICE]],"Gain","Loss")</f>
        <v>Gain</v>
      </c>
      <c r="O566" t="str">
        <f>IF(Table1[[#This Row],[MARKET_CAP]]&gt;200000000000,"Large Cap",
IF(Table1[[#This Row],[MARKET_CAP]]&gt;50000000000,"Mid Cap","Small Cap"))</f>
        <v>Small Cap</v>
      </c>
      <c r="P566" t="str">
        <f>IF(Table1[[#This Row],[NET_TRDQTY]]&gt;1000000,"High Volume","Low Volume")</f>
        <v>Low Volume</v>
      </c>
    </row>
    <row r="567" spans="1:16" x14ac:dyDescent="0.3">
      <c r="A567" t="s">
        <v>1140</v>
      </c>
      <c r="B567" t="s">
        <v>1141</v>
      </c>
      <c r="C567">
        <v>20</v>
      </c>
      <c r="D567">
        <v>20.2</v>
      </c>
      <c r="E567">
        <v>19.010000000000002</v>
      </c>
      <c r="F567">
        <v>19.670000000000002</v>
      </c>
      <c r="G567">
        <v>20.079999999999998</v>
      </c>
      <c r="H567">
        <v>60846</v>
      </c>
      <c r="I567">
        <v>280</v>
      </c>
      <c r="J567">
        <v>758512533.70000005</v>
      </c>
      <c r="K567">
        <v>38561898</v>
      </c>
      <c r="L567">
        <f>(Table1[[#This Row],[CLOSE_PRICE]] - Table1[[#This Row],[PREV_CL_PR]]) / Table1[[#This Row],[PREV_CL_PR]] * 100</f>
        <v>-2.0418326693226923</v>
      </c>
      <c r="M567">
        <f>Table1[[#This Row],[HIGH_PRICE]]-Table1[[#This Row],[LOW_PRICE]]</f>
        <v>1.1899999999999977</v>
      </c>
      <c r="N567" t="str">
        <f>IF(Table1[[#This Row],[CLOSE_PRICE]]&gt;Table1[[#This Row],[OPEN_PRICE]],"Gain","Loss")</f>
        <v>Loss</v>
      </c>
      <c r="O567" t="str">
        <f>IF(Table1[[#This Row],[MARKET_CAP]]&gt;200000000000,"Large Cap",
IF(Table1[[#This Row],[MARKET_CAP]]&gt;50000000000,"Mid Cap","Small Cap"))</f>
        <v>Small Cap</v>
      </c>
      <c r="P567" t="str">
        <f>IF(Table1[[#This Row],[NET_TRDQTY]]&gt;1000000,"High Volume","Low Volume")</f>
        <v>Low Volume</v>
      </c>
    </row>
    <row r="568" spans="1:16" x14ac:dyDescent="0.3">
      <c r="A568" t="s">
        <v>1142</v>
      </c>
      <c r="B568" t="s">
        <v>1143</v>
      </c>
      <c r="C568">
        <v>16.920000000000002</v>
      </c>
      <c r="D568">
        <v>17.100000000000001</v>
      </c>
      <c r="E568">
        <v>16.5</v>
      </c>
      <c r="F568">
        <v>16.91</v>
      </c>
      <c r="G568">
        <v>16.920000000000002</v>
      </c>
      <c r="H568">
        <v>160958</v>
      </c>
      <c r="I568">
        <v>443</v>
      </c>
      <c r="J568">
        <v>3964906402</v>
      </c>
      <c r="K568">
        <v>234471106</v>
      </c>
      <c r="L568">
        <f>(Table1[[#This Row],[CLOSE_PRICE]] - Table1[[#This Row],[PREV_CL_PR]]) / Table1[[#This Row],[PREV_CL_PR]] * 100</f>
        <v>-5.9101654846344935E-2</v>
      </c>
      <c r="M568">
        <f>Table1[[#This Row],[HIGH_PRICE]]-Table1[[#This Row],[LOW_PRICE]]</f>
        <v>0.60000000000000142</v>
      </c>
      <c r="N568" t="str">
        <f>IF(Table1[[#This Row],[CLOSE_PRICE]]&gt;Table1[[#This Row],[OPEN_PRICE]],"Gain","Loss")</f>
        <v>Loss</v>
      </c>
      <c r="O568" t="str">
        <f>IF(Table1[[#This Row],[MARKET_CAP]]&gt;200000000000,"Large Cap",
IF(Table1[[#This Row],[MARKET_CAP]]&gt;50000000000,"Mid Cap","Small Cap"))</f>
        <v>Small Cap</v>
      </c>
      <c r="P568" t="str">
        <f>IF(Table1[[#This Row],[NET_TRDQTY]]&gt;1000000,"High Volume","Low Volume")</f>
        <v>Low Volume</v>
      </c>
    </row>
    <row r="569" spans="1:16" x14ac:dyDescent="0.3">
      <c r="A569" t="s">
        <v>1144</v>
      </c>
      <c r="B569" t="s">
        <v>1145</v>
      </c>
      <c r="C569">
        <v>72.099999999999994</v>
      </c>
      <c r="D569">
        <v>76.98</v>
      </c>
      <c r="E569">
        <v>69.900000000000006</v>
      </c>
      <c r="F569">
        <v>73.02</v>
      </c>
      <c r="G569">
        <v>72.86</v>
      </c>
      <c r="H569">
        <v>1548560</v>
      </c>
      <c r="I569">
        <v>11421</v>
      </c>
      <c r="J569">
        <v>10876286137</v>
      </c>
      <c r="K569">
        <v>148949413</v>
      </c>
      <c r="L569">
        <f>(Table1[[#This Row],[CLOSE_PRICE]] - Table1[[#This Row],[PREV_CL_PR]]) / Table1[[#This Row],[PREV_CL_PR]] * 100</f>
        <v>0.21959923140268539</v>
      </c>
      <c r="M569">
        <f>Table1[[#This Row],[HIGH_PRICE]]-Table1[[#This Row],[LOW_PRICE]]</f>
        <v>7.0799999999999983</v>
      </c>
      <c r="N569" t="str">
        <f>IF(Table1[[#This Row],[CLOSE_PRICE]]&gt;Table1[[#This Row],[OPEN_PRICE]],"Gain","Loss")</f>
        <v>Gain</v>
      </c>
      <c r="O569" t="str">
        <f>IF(Table1[[#This Row],[MARKET_CAP]]&gt;200000000000,"Large Cap",
IF(Table1[[#This Row],[MARKET_CAP]]&gt;50000000000,"Mid Cap","Small Cap"))</f>
        <v>Small Cap</v>
      </c>
      <c r="P569" t="str">
        <f>IF(Table1[[#This Row],[NET_TRDQTY]]&gt;1000000,"High Volume","Low Volume")</f>
        <v>High Volume</v>
      </c>
    </row>
    <row r="570" spans="1:16" x14ac:dyDescent="0.3">
      <c r="A570" t="s">
        <v>1146</v>
      </c>
      <c r="B570" t="s">
        <v>1147</v>
      </c>
      <c r="C570">
        <v>38.44</v>
      </c>
      <c r="D570">
        <v>39.71</v>
      </c>
      <c r="E570">
        <v>38.049999999999997</v>
      </c>
      <c r="F570">
        <v>38.96</v>
      </c>
      <c r="G570">
        <v>38.630000000000003</v>
      </c>
      <c r="H570">
        <v>5569</v>
      </c>
      <c r="I570">
        <v>73</v>
      </c>
      <c r="J570">
        <v>779200000</v>
      </c>
      <c r="K570">
        <v>20000000</v>
      </c>
      <c r="L570">
        <f>(Table1[[#This Row],[CLOSE_PRICE]] - Table1[[#This Row],[PREV_CL_PR]]) / Table1[[#This Row],[PREV_CL_PR]] * 100</f>
        <v>0.85425834843385529</v>
      </c>
      <c r="M570">
        <f>Table1[[#This Row],[HIGH_PRICE]]-Table1[[#This Row],[LOW_PRICE]]</f>
        <v>1.6600000000000037</v>
      </c>
      <c r="N570" t="str">
        <f>IF(Table1[[#This Row],[CLOSE_PRICE]]&gt;Table1[[#This Row],[OPEN_PRICE]],"Gain","Loss")</f>
        <v>Gain</v>
      </c>
      <c r="O570" t="str">
        <f>IF(Table1[[#This Row],[MARKET_CAP]]&gt;200000000000,"Large Cap",
IF(Table1[[#This Row],[MARKET_CAP]]&gt;50000000000,"Mid Cap","Small Cap"))</f>
        <v>Small Cap</v>
      </c>
      <c r="P570" t="str">
        <f>IF(Table1[[#This Row],[NET_TRDQTY]]&gt;1000000,"High Volume","Low Volume")</f>
        <v>Low Volume</v>
      </c>
    </row>
    <row r="571" spans="1:16" x14ac:dyDescent="0.3">
      <c r="A571" t="s">
        <v>1148</v>
      </c>
      <c r="B571" t="s">
        <v>1149</v>
      </c>
      <c r="C571">
        <v>2.2400000000000002</v>
      </c>
      <c r="D571">
        <v>2.2599999999999998</v>
      </c>
      <c r="E571">
        <v>2.09</v>
      </c>
      <c r="F571">
        <v>2.1</v>
      </c>
      <c r="G571">
        <v>2.2400000000000002</v>
      </c>
      <c r="H571">
        <v>13213730</v>
      </c>
      <c r="I571">
        <v>3495</v>
      </c>
      <c r="J571">
        <v>3866637713</v>
      </c>
      <c r="K571">
        <v>1841256054</v>
      </c>
      <c r="L571">
        <f>(Table1[[#This Row],[CLOSE_PRICE]] - Table1[[#This Row],[PREV_CL_PR]]) / Table1[[#This Row],[PREV_CL_PR]] * 100</f>
        <v>-6.2500000000000053</v>
      </c>
      <c r="M571">
        <f>Table1[[#This Row],[HIGH_PRICE]]-Table1[[#This Row],[LOW_PRICE]]</f>
        <v>0.16999999999999993</v>
      </c>
      <c r="N571" t="str">
        <f>IF(Table1[[#This Row],[CLOSE_PRICE]]&gt;Table1[[#This Row],[OPEN_PRICE]],"Gain","Loss")</f>
        <v>Loss</v>
      </c>
      <c r="O571" t="str">
        <f>IF(Table1[[#This Row],[MARKET_CAP]]&gt;200000000000,"Large Cap",
IF(Table1[[#This Row],[MARKET_CAP]]&gt;50000000000,"Mid Cap","Small Cap"))</f>
        <v>Small Cap</v>
      </c>
      <c r="P571" t="str">
        <f>IF(Table1[[#This Row],[NET_TRDQTY]]&gt;1000000,"High Volume","Low Volume")</f>
        <v>High Volume</v>
      </c>
    </row>
    <row r="572" spans="1:16" x14ac:dyDescent="0.3">
      <c r="A572" t="s">
        <v>1150</v>
      </c>
      <c r="B572" t="s">
        <v>1151</v>
      </c>
      <c r="C572">
        <v>701.5</v>
      </c>
      <c r="D572">
        <v>704</v>
      </c>
      <c r="E572">
        <v>647.4</v>
      </c>
      <c r="F572">
        <v>658.55</v>
      </c>
      <c r="G572">
        <v>705</v>
      </c>
      <c r="H572">
        <v>21719</v>
      </c>
      <c r="I572">
        <v>1926</v>
      </c>
      <c r="J572">
        <v>20140386576</v>
      </c>
      <c r="K572">
        <v>30582927</v>
      </c>
      <c r="L572">
        <f>(Table1[[#This Row],[CLOSE_PRICE]] - Table1[[#This Row],[PREV_CL_PR]]) / Table1[[#This Row],[PREV_CL_PR]] * 100</f>
        <v>-6.5886524822695094</v>
      </c>
      <c r="M572">
        <f>Table1[[#This Row],[HIGH_PRICE]]-Table1[[#This Row],[LOW_PRICE]]</f>
        <v>56.600000000000023</v>
      </c>
      <c r="N572" t="str">
        <f>IF(Table1[[#This Row],[CLOSE_PRICE]]&gt;Table1[[#This Row],[OPEN_PRICE]],"Gain","Loss")</f>
        <v>Loss</v>
      </c>
      <c r="O572" t="str">
        <f>IF(Table1[[#This Row],[MARKET_CAP]]&gt;200000000000,"Large Cap",
IF(Table1[[#This Row],[MARKET_CAP]]&gt;50000000000,"Mid Cap","Small Cap"))</f>
        <v>Small Cap</v>
      </c>
      <c r="P572" t="str">
        <f>IF(Table1[[#This Row],[NET_TRDQTY]]&gt;1000000,"High Volume","Low Volume")</f>
        <v>Low Volume</v>
      </c>
    </row>
    <row r="573" spans="1:16" x14ac:dyDescent="0.3">
      <c r="A573" t="s">
        <v>1152</v>
      </c>
      <c r="B573" t="s">
        <v>1153</v>
      </c>
      <c r="C573">
        <v>10200</v>
      </c>
      <c r="D573">
        <v>10200</v>
      </c>
      <c r="E573">
        <v>9800</v>
      </c>
      <c r="F573">
        <v>9894</v>
      </c>
      <c r="G573">
        <v>10342</v>
      </c>
      <c r="H573">
        <v>685766</v>
      </c>
      <c r="I573">
        <v>108041</v>
      </c>
      <c r="J573">
        <v>600000000000</v>
      </c>
      <c r="K573">
        <v>60685743</v>
      </c>
      <c r="L573">
        <f>(Table1[[#This Row],[CLOSE_PRICE]] - Table1[[#This Row],[PREV_CL_PR]]) / Table1[[#This Row],[PREV_CL_PR]] * 100</f>
        <v>-4.3318507058596012</v>
      </c>
      <c r="M573">
        <f>Table1[[#This Row],[HIGH_PRICE]]-Table1[[#This Row],[LOW_PRICE]]</f>
        <v>400</v>
      </c>
      <c r="N573" t="str">
        <f>IF(Table1[[#This Row],[CLOSE_PRICE]]&gt;Table1[[#This Row],[OPEN_PRICE]],"Gain","Loss")</f>
        <v>Loss</v>
      </c>
      <c r="O573" t="str">
        <f>IF(Table1[[#This Row],[MARKET_CAP]]&gt;200000000000,"Large Cap",
IF(Table1[[#This Row],[MARKET_CAP]]&gt;50000000000,"Mid Cap","Small Cap"))</f>
        <v>Large Cap</v>
      </c>
      <c r="P573" t="str">
        <f>IF(Table1[[#This Row],[NET_TRDQTY]]&gt;1000000,"High Volume","Low Volume")</f>
        <v>Low Volume</v>
      </c>
    </row>
    <row r="574" spans="1:16" x14ac:dyDescent="0.3">
      <c r="A574" t="s">
        <v>1154</v>
      </c>
      <c r="B574" t="s">
        <v>1155</v>
      </c>
      <c r="C574">
        <v>389</v>
      </c>
      <c r="D574">
        <v>393.9</v>
      </c>
      <c r="E574">
        <v>378</v>
      </c>
      <c r="F574">
        <v>381.95</v>
      </c>
      <c r="G574">
        <v>394.1</v>
      </c>
      <c r="H574">
        <v>69723</v>
      </c>
      <c r="I574">
        <v>3482</v>
      </c>
      <c r="J574">
        <v>13561077458</v>
      </c>
      <c r="K574">
        <v>35504850</v>
      </c>
      <c r="L574">
        <f>(Table1[[#This Row],[CLOSE_PRICE]] - Table1[[#This Row],[PREV_CL_PR]]) / Table1[[#This Row],[PREV_CL_PR]] * 100</f>
        <v>-3.0829738645014042</v>
      </c>
      <c r="M574">
        <f>Table1[[#This Row],[HIGH_PRICE]]-Table1[[#This Row],[LOW_PRICE]]</f>
        <v>15.899999999999977</v>
      </c>
      <c r="N574" t="str">
        <f>IF(Table1[[#This Row],[CLOSE_PRICE]]&gt;Table1[[#This Row],[OPEN_PRICE]],"Gain","Loss")</f>
        <v>Loss</v>
      </c>
      <c r="O574" t="str">
        <f>IF(Table1[[#This Row],[MARKET_CAP]]&gt;200000000000,"Large Cap",
IF(Table1[[#This Row],[MARKET_CAP]]&gt;50000000000,"Mid Cap","Small Cap"))</f>
        <v>Small Cap</v>
      </c>
      <c r="P574" t="str">
        <f>IF(Table1[[#This Row],[NET_TRDQTY]]&gt;1000000,"High Volume","Low Volume")</f>
        <v>Low Volume</v>
      </c>
    </row>
    <row r="575" spans="1:16" x14ac:dyDescent="0.3">
      <c r="A575" t="s">
        <v>1156</v>
      </c>
      <c r="B575" t="s">
        <v>1157</v>
      </c>
      <c r="C575">
        <v>220</v>
      </c>
      <c r="D575">
        <v>220</v>
      </c>
      <c r="E575">
        <v>197</v>
      </c>
      <c r="F575">
        <v>200.21</v>
      </c>
      <c r="G575">
        <v>219.2</v>
      </c>
      <c r="H575">
        <v>56038</v>
      </c>
      <c r="I575">
        <v>2223</v>
      </c>
      <c r="J575">
        <v>4993223986</v>
      </c>
      <c r="K575">
        <v>24939933</v>
      </c>
      <c r="L575">
        <f>(Table1[[#This Row],[CLOSE_PRICE]] - Table1[[#This Row],[PREV_CL_PR]]) / Table1[[#This Row],[PREV_CL_PR]] * 100</f>
        <v>-8.6633211678832041</v>
      </c>
      <c r="M575">
        <f>Table1[[#This Row],[HIGH_PRICE]]-Table1[[#This Row],[LOW_PRICE]]</f>
        <v>23</v>
      </c>
      <c r="N575" t="str">
        <f>IF(Table1[[#This Row],[CLOSE_PRICE]]&gt;Table1[[#This Row],[OPEN_PRICE]],"Gain","Loss")</f>
        <v>Loss</v>
      </c>
      <c r="O575" t="str">
        <f>IF(Table1[[#This Row],[MARKET_CAP]]&gt;200000000000,"Large Cap",
IF(Table1[[#This Row],[MARKET_CAP]]&gt;50000000000,"Mid Cap","Small Cap"))</f>
        <v>Small Cap</v>
      </c>
      <c r="P575" t="str">
        <f>IF(Table1[[#This Row],[NET_TRDQTY]]&gt;1000000,"High Volume","Low Volume")</f>
        <v>Low Volume</v>
      </c>
    </row>
    <row r="576" spans="1:16" x14ac:dyDescent="0.3">
      <c r="A576" t="s">
        <v>1158</v>
      </c>
      <c r="B576" t="s">
        <v>1159</v>
      </c>
      <c r="C576">
        <v>3.25</v>
      </c>
      <c r="D576">
        <v>3.34</v>
      </c>
      <c r="E576">
        <v>2.97</v>
      </c>
      <c r="F576">
        <v>2.99</v>
      </c>
      <c r="G576">
        <v>3.29</v>
      </c>
      <c r="H576">
        <v>134897</v>
      </c>
      <c r="I576">
        <v>723</v>
      </c>
      <c r="J576">
        <v>351946973.80000001</v>
      </c>
      <c r="K576">
        <v>117708018</v>
      </c>
      <c r="L576">
        <f>(Table1[[#This Row],[CLOSE_PRICE]] - Table1[[#This Row],[PREV_CL_PR]]) / Table1[[#This Row],[PREV_CL_PR]] * 100</f>
        <v>-9.1185410334346439</v>
      </c>
      <c r="M576">
        <f>Table1[[#This Row],[HIGH_PRICE]]-Table1[[#This Row],[LOW_PRICE]]</f>
        <v>0.36999999999999966</v>
      </c>
      <c r="N576" t="str">
        <f>IF(Table1[[#This Row],[CLOSE_PRICE]]&gt;Table1[[#This Row],[OPEN_PRICE]],"Gain","Loss")</f>
        <v>Loss</v>
      </c>
      <c r="O576" t="str">
        <f>IF(Table1[[#This Row],[MARKET_CAP]]&gt;200000000000,"Large Cap",
IF(Table1[[#This Row],[MARKET_CAP]]&gt;50000000000,"Mid Cap","Small Cap"))</f>
        <v>Small Cap</v>
      </c>
      <c r="P576" t="str">
        <f>IF(Table1[[#This Row],[NET_TRDQTY]]&gt;1000000,"High Volume","Low Volume")</f>
        <v>Low Volume</v>
      </c>
    </row>
    <row r="577" spans="1:16" x14ac:dyDescent="0.3">
      <c r="A577" t="s">
        <v>1160</v>
      </c>
      <c r="B577" t="s">
        <v>1161</v>
      </c>
      <c r="C577">
        <v>1009</v>
      </c>
      <c r="D577">
        <v>1010</v>
      </c>
      <c r="E577">
        <v>981</v>
      </c>
      <c r="F577">
        <v>985.2</v>
      </c>
      <c r="G577">
        <v>1014.3</v>
      </c>
      <c r="H577">
        <v>21267</v>
      </c>
      <c r="I577">
        <v>2407</v>
      </c>
      <c r="J577">
        <v>59434957427</v>
      </c>
      <c r="K577">
        <v>60327809</v>
      </c>
      <c r="L577">
        <f>(Table1[[#This Row],[CLOSE_PRICE]] - Table1[[#This Row],[PREV_CL_PR]]) / Table1[[#This Row],[PREV_CL_PR]] * 100</f>
        <v>-2.8689736764270837</v>
      </c>
      <c r="M577">
        <f>Table1[[#This Row],[HIGH_PRICE]]-Table1[[#This Row],[LOW_PRICE]]</f>
        <v>29</v>
      </c>
      <c r="N577" t="str">
        <f>IF(Table1[[#This Row],[CLOSE_PRICE]]&gt;Table1[[#This Row],[OPEN_PRICE]],"Gain","Loss")</f>
        <v>Loss</v>
      </c>
      <c r="O577" t="str">
        <f>IF(Table1[[#This Row],[MARKET_CAP]]&gt;200000000000,"Large Cap",
IF(Table1[[#This Row],[MARKET_CAP]]&gt;50000000000,"Mid Cap","Small Cap"))</f>
        <v>Mid Cap</v>
      </c>
      <c r="P577" t="str">
        <f>IF(Table1[[#This Row],[NET_TRDQTY]]&gt;1000000,"High Volume","Low Volume")</f>
        <v>Low Volume</v>
      </c>
    </row>
    <row r="578" spans="1:16" x14ac:dyDescent="0.3">
      <c r="A578" t="s">
        <v>1162</v>
      </c>
      <c r="B578" t="s">
        <v>1163</v>
      </c>
      <c r="C578">
        <v>71.989999999999995</v>
      </c>
      <c r="D578">
        <v>71.989999999999995</v>
      </c>
      <c r="E578">
        <v>69.45</v>
      </c>
      <c r="F578">
        <v>69.760000000000005</v>
      </c>
      <c r="G578">
        <v>71.319999999999993</v>
      </c>
      <c r="H578">
        <v>208203</v>
      </c>
      <c r="I578">
        <v>1960</v>
      </c>
      <c r="J578">
        <v>12277760000</v>
      </c>
      <c r="K578">
        <v>176000000</v>
      </c>
      <c r="L578">
        <f>(Table1[[#This Row],[CLOSE_PRICE]] - Table1[[#This Row],[PREV_CL_PR]]) / Table1[[#This Row],[PREV_CL_PR]] * 100</f>
        <v>-2.1873247335950481</v>
      </c>
      <c r="M578">
        <f>Table1[[#This Row],[HIGH_PRICE]]-Table1[[#This Row],[LOW_PRICE]]</f>
        <v>2.539999999999992</v>
      </c>
      <c r="N578" t="str">
        <f>IF(Table1[[#This Row],[CLOSE_PRICE]]&gt;Table1[[#This Row],[OPEN_PRICE]],"Gain","Loss")</f>
        <v>Loss</v>
      </c>
      <c r="O578" t="str">
        <f>IF(Table1[[#This Row],[MARKET_CAP]]&gt;200000000000,"Large Cap",
IF(Table1[[#This Row],[MARKET_CAP]]&gt;50000000000,"Mid Cap","Small Cap"))</f>
        <v>Small Cap</v>
      </c>
      <c r="P578" t="str">
        <f>IF(Table1[[#This Row],[NET_TRDQTY]]&gt;1000000,"High Volume","Low Volume")</f>
        <v>Low Volume</v>
      </c>
    </row>
    <row r="579" spans="1:16" x14ac:dyDescent="0.3">
      <c r="A579" t="s">
        <v>1164</v>
      </c>
      <c r="B579" t="s">
        <v>1165</v>
      </c>
      <c r="C579">
        <v>256</v>
      </c>
      <c r="D579">
        <v>256.14999999999998</v>
      </c>
      <c r="E579">
        <v>240.1</v>
      </c>
      <c r="F579">
        <v>243.7</v>
      </c>
      <c r="G579">
        <v>260.05</v>
      </c>
      <c r="H579">
        <v>73283</v>
      </c>
      <c r="I579">
        <v>2582</v>
      </c>
      <c r="J579">
        <v>13821718444</v>
      </c>
      <c r="K579">
        <v>56716120</v>
      </c>
      <c r="L579">
        <f>(Table1[[#This Row],[CLOSE_PRICE]] - Table1[[#This Row],[PREV_CL_PR]]) / Table1[[#This Row],[PREV_CL_PR]] * 100</f>
        <v>-6.2872524514516526</v>
      </c>
      <c r="M579">
        <f>Table1[[#This Row],[HIGH_PRICE]]-Table1[[#This Row],[LOW_PRICE]]</f>
        <v>16.049999999999983</v>
      </c>
      <c r="N579" t="str">
        <f>IF(Table1[[#This Row],[CLOSE_PRICE]]&gt;Table1[[#This Row],[OPEN_PRICE]],"Gain","Loss")</f>
        <v>Loss</v>
      </c>
      <c r="O579" t="str">
        <f>IF(Table1[[#This Row],[MARKET_CAP]]&gt;200000000000,"Large Cap",
IF(Table1[[#This Row],[MARKET_CAP]]&gt;50000000000,"Mid Cap","Small Cap"))</f>
        <v>Small Cap</v>
      </c>
      <c r="P579" t="str">
        <f>IF(Table1[[#This Row],[NET_TRDQTY]]&gt;1000000,"High Volume","Low Volume")</f>
        <v>Low Volume</v>
      </c>
    </row>
    <row r="580" spans="1:16" x14ac:dyDescent="0.3">
      <c r="A580" t="s">
        <v>1166</v>
      </c>
      <c r="B580" t="s">
        <v>1167</v>
      </c>
      <c r="C580">
        <v>385.75</v>
      </c>
      <c r="D580">
        <v>395</v>
      </c>
      <c r="E580">
        <v>366.35</v>
      </c>
      <c r="F580">
        <v>374.8</v>
      </c>
      <c r="G580">
        <v>384.7</v>
      </c>
      <c r="H580">
        <v>96370</v>
      </c>
      <c r="I580">
        <v>4497</v>
      </c>
      <c r="J580">
        <v>14993716584</v>
      </c>
      <c r="K580">
        <v>40004580</v>
      </c>
      <c r="L580">
        <f>(Table1[[#This Row],[CLOSE_PRICE]] - Table1[[#This Row],[PREV_CL_PR]]) / Table1[[#This Row],[PREV_CL_PR]] * 100</f>
        <v>-2.573433844554192</v>
      </c>
      <c r="M580">
        <f>Table1[[#This Row],[HIGH_PRICE]]-Table1[[#This Row],[LOW_PRICE]]</f>
        <v>28.649999999999977</v>
      </c>
      <c r="N580" t="str">
        <f>IF(Table1[[#This Row],[CLOSE_PRICE]]&gt;Table1[[#This Row],[OPEN_PRICE]],"Gain","Loss")</f>
        <v>Loss</v>
      </c>
      <c r="O580" t="str">
        <f>IF(Table1[[#This Row],[MARKET_CAP]]&gt;200000000000,"Large Cap",
IF(Table1[[#This Row],[MARKET_CAP]]&gt;50000000000,"Mid Cap","Small Cap"))</f>
        <v>Small Cap</v>
      </c>
      <c r="P580" t="str">
        <f>IF(Table1[[#This Row],[NET_TRDQTY]]&gt;1000000,"High Volume","Low Volume")</f>
        <v>Low Volume</v>
      </c>
    </row>
    <row r="581" spans="1:16" x14ac:dyDescent="0.3">
      <c r="A581" t="s">
        <v>1168</v>
      </c>
      <c r="B581" t="s">
        <v>1169</v>
      </c>
      <c r="C581">
        <v>2221.6</v>
      </c>
      <c r="D581">
        <v>2238.6999999999998</v>
      </c>
      <c r="E581">
        <v>2177.6</v>
      </c>
      <c r="F581">
        <v>2209.1999999999998</v>
      </c>
      <c r="G581">
        <v>2278.8000000000002</v>
      </c>
      <c r="H581">
        <v>87915</v>
      </c>
      <c r="I581">
        <v>20728</v>
      </c>
      <c r="J581">
        <v>134000000000</v>
      </c>
      <c r="K581">
        <v>60687811</v>
      </c>
      <c r="L581">
        <f>(Table1[[#This Row],[CLOSE_PRICE]] - Table1[[#This Row],[PREV_CL_PR]]) / Table1[[#This Row],[PREV_CL_PR]] * 100</f>
        <v>-3.0542390731964351</v>
      </c>
      <c r="M581">
        <f>Table1[[#This Row],[HIGH_PRICE]]-Table1[[#This Row],[LOW_PRICE]]</f>
        <v>61.099999999999909</v>
      </c>
      <c r="N581" t="str">
        <f>IF(Table1[[#This Row],[CLOSE_PRICE]]&gt;Table1[[#This Row],[OPEN_PRICE]],"Gain","Loss")</f>
        <v>Loss</v>
      </c>
      <c r="O581" t="str">
        <f>IF(Table1[[#This Row],[MARKET_CAP]]&gt;200000000000,"Large Cap",
IF(Table1[[#This Row],[MARKET_CAP]]&gt;50000000000,"Mid Cap","Small Cap"))</f>
        <v>Mid Cap</v>
      </c>
      <c r="P581" t="str">
        <f>IF(Table1[[#This Row],[NET_TRDQTY]]&gt;1000000,"High Volume","Low Volume")</f>
        <v>Low Volume</v>
      </c>
    </row>
    <row r="582" spans="1:16" x14ac:dyDescent="0.3">
      <c r="A582" t="s">
        <v>1170</v>
      </c>
      <c r="B582" t="s">
        <v>1171</v>
      </c>
      <c r="C582">
        <v>83.13</v>
      </c>
      <c r="D582">
        <v>85.06</v>
      </c>
      <c r="E582">
        <v>82</v>
      </c>
      <c r="F582">
        <v>82.8</v>
      </c>
      <c r="G582">
        <v>86</v>
      </c>
      <c r="H582">
        <v>42194</v>
      </c>
      <c r="I582">
        <v>580</v>
      </c>
      <c r="J582">
        <v>4305600000</v>
      </c>
      <c r="K582">
        <v>52000000</v>
      </c>
      <c r="L582">
        <f>(Table1[[#This Row],[CLOSE_PRICE]] - Table1[[#This Row],[PREV_CL_PR]]) / Table1[[#This Row],[PREV_CL_PR]] * 100</f>
        <v>-3.720930232558143</v>
      </c>
      <c r="M582">
        <f>Table1[[#This Row],[HIGH_PRICE]]-Table1[[#This Row],[LOW_PRICE]]</f>
        <v>3.0600000000000023</v>
      </c>
      <c r="N582" t="str">
        <f>IF(Table1[[#This Row],[CLOSE_PRICE]]&gt;Table1[[#This Row],[OPEN_PRICE]],"Gain","Loss")</f>
        <v>Loss</v>
      </c>
      <c r="O582" t="str">
        <f>IF(Table1[[#This Row],[MARKET_CAP]]&gt;200000000000,"Large Cap",
IF(Table1[[#This Row],[MARKET_CAP]]&gt;50000000000,"Mid Cap","Small Cap"))</f>
        <v>Small Cap</v>
      </c>
      <c r="P582" t="str">
        <f>IF(Table1[[#This Row],[NET_TRDQTY]]&gt;1000000,"High Volume","Low Volume")</f>
        <v>Low Volume</v>
      </c>
    </row>
    <row r="583" spans="1:16" x14ac:dyDescent="0.3">
      <c r="A583" t="s">
        <v>1172</v>
      </c>
      <c r="B583" t="s">
        <v>1173</v>
      </c>
      <c r="C583">
        <v>990.5</v>
      </c>
      <c r="D583">
        <v>1009.4</v>
      </c>
      <c r="E583">
        <v>950</v>
      </c>
      <c r="F583">
        <v>957.7</v>
      </c>
      <c r="G583">
        <v>1025.5</v>
      </c>
      <c r="H583">
        <v>31033</v>
      </c>
      <c r="I583">
        <v>1874</v>
      </c>
      <c r="J583">
        <v>21862298984</v>
      </c>
      <c r="K583">
        <v>22827920</v>
      </c>
      <c r="L583">
        <f>(Table1[[#This Row],[CLOSE_PRICE]] - Table1[[#This Row],[PREV_CL_PR]]) / Table1[[#This Row],[PREV_CL_PR]] * 100</f>
        <v>-6.6114090687469487</v>
      </c>
      <c r="M583">
        <f>Table1[[#This Row],[HIGH_PRICE]]-Table1[[#This Row],[LOW_PRICE]]</f>
        <v>59.399999999999977</v>
      </c>
      <c r="N583" t="str">
        <f>IF(Table1[[#This Row],[CLOSE_PRICE]]&gt;Table1[[#This Row],[OPEN_PRICE]],"Gain","Loss")</f>
        <v>Loss</v>
      </c>
      <c r="O583" t="str">
        <f>IF(Table1[[#This Row],[MARKET_CAP]]&gt;200000000000,"Large Cap",
IF(Table1[[#This Row],[MARKET_CAP]]&gt;50000000000,"Mid Cap","Small Cap"))</f>
        <v>Small Cap</v>
      </c>
      <c r="P583" t="str">
        <f>IF(Table1[[#This Row],[NET_TRDQTY]]&gt;1000000,"High Volume","Low Volume")</f>
        <v>Low Volume</v>
      </c>
    </row>
    <row r="584" spans="1:16" x14ac:dyDescent="0.3">
      <c r="A584" t="s">
        <v>1174</v>
      </c>
      <c r="B584" t="s">
        <v>1175</v>
      </c>
      <c r="C584">
        <v>7.98</v>
      </c>
      <c r="D584">
        <v>7.98</v>
      </c>
      <c r="E584">
        <v>7.22</v>
      </c>
      <c r="F584">
        <v>7.52</v>
      </c>
      <c r="G584">
        <v>7.96</v>
      </c>
      <c r="H584">
        <v>250713</v>
      </c>
      <c r="I584">
        <v>1836</v>
      </c>
      <c r="J584">
        <v>7322898093</v>
      </c>
      <c r="K584">
        <v>973789640</v>
      </c>
      <c r="L584">
        <f>(Table1[[#This Row],[CLOSE_PRICE]] - Table1[[#This Row],[PREV_CL_PR]]) / Table1[[#This Row],[PREV_CL_PR]] * 100</f>
        <v>-5.5276381909547787</v>
      </c>
      <c r="M584">
        <f>Table1[[#This Row],[HIGH_PRICE]]-Table1[[#This Row],[LOW_PRICE]]</f>
        <v>0.76000000000000068</v>
      </c>
      <c r="N584" t="str">
        <f>IF(Table1[[#This Row],[CLOSE_PRICE]]&gt;Table1[[#This Row],[OPEN_PRICE]],"Gain","Loss")</f>
        <v>Loss</v>
      </c>
      <c r="O584" t="str">
        <f>IF(Table1[[#This Row],[MARKET_CAP]]&gt;200000000000,"Large Cap",
IF(Table1[[#This Row],[MARKET_CAP]]&gt;50000000000,"Mid Cap","Small Cap"))</f>
        <v>Small Cap</v>
      </c>
      <c r="P584" t="str">
        <f>IF(Table1[[#This Row],[NET_TRDQTY]]&gt;1000000,"High Volume","Low Volume")</f>
        <v>Low Volume</v>
      </c>
    </row>
    <row r="585" spans="1:16" x14ac:dyDescent="0.3">
      <c r="A585" t="s">
        <v>1176</v>
      </c>
      <c r="B585" t="s">
        <v>1177</v>
      </c>
      <c r="C585">
        <v>142.01</v>
      </c>
      <c r="D585">
        <v>142.1</v>
      </c>
      <c r="E585">
        <v>139</v>
      </c>
      <c r="F585">
        <v>139.88999999999999</v>
      </c>
      <c r="G585">
        <v>143.09</v>
      </c>
      <c r="H585">
        <v>14182</v>
      </c>
      <c r="I585">
        <v>396</v>
      </c>
      <c r="J585">
        <v>2169174349</v>
      </c>
      <c r="K585">
        <v>15506286</v>
      </c>
      <c r="L585">
        <f>(Table1[[#This Row],[CLOSE_PRICE]] - Table1[[#This Row],[PREV_CL_PR]]) / Table1[[#This Row],[PREV_CL_PR]] * 100</f>
        <v>-2.2363547417709255</v>
      </c>
      <c r="M585">
        <f>Table1[[#This Row],[HIGH_PRICE]]-Table1[[#This Row],[LOW_PRICE]]</f>
        <v>3.0999999999999943</v>
      </c>
      <c r="N585" t="str">
        <f>IF(Table1[[#This Row],[CLOSE_PRICE]]&gt;Table1[[#This Row],[OPEN_PRICE]],"Gain","Loss")</f>
        <v>Loss</v>
      </c>
      <c r="O585" t="str">
        <f>IF(Table1[[#This Row],[MARKET_CAP]]&gt;200000000000,"Large Cap",
IF(Table1[[#This Row],[MARKET_CAP]]&gt;50000000000,"Mid Cap","Small Cap"))</f>
        <v>Small Cap</v>
      </c>
      <c r="P585" t="str">
        <f>IF(Table1[[#This Row],[NET_TRDQTY]]&gt;1000000,"High Volume","Low Volume")</f>
        <v>Low Volume</v>
      </c>
    </row>
    <row r="586" spans="1:16" x14ac:dyDescent="0.3">
      <c r="A586" t="s">
        <v>1178</v>
      </c>
      <c r="B586" t="s">
        <v>1179</v>
      </c>
      <c r="C586">
        <v>13.21</v>
      </c>
      <c r="D586">
        <v>13.64</v>
      </c>
      <c r="E586">
        <v>12.7</v>
      </c>
      <c r="F586">
        <v>12.87</v>
      </c>
      <c r="G586">
        <v>13.2</v>
      </c>
      <c r="H586">
        <v>64619</v>
      </c>
      <c r="I586">
        <v>404</v>
      </c>
      <c r="J586">
        <v>1854326717</v>
      </c>
      <c r="K586">
        <v>144081330</v>
      </c>
      <c r="L586">
        <f>(Table1[[#This Row],[CLOSE_PRICE]] - Table1[[#This Row],[PREV_CL_PR]]) / Table1[[#This Row],[PREV_CL_PR]] * 100</f>
        <v>-2.5000000000000009</v>
      </c>
      <c r="M586">
        <f>Table1[[#This Row],[HIGH_PRICE]]-Table1[[#This Row],[LOW_PRICE]]</f>
        <v>0.94000000000000128</v>
      </c>
      <c r="N586" t="str">
        <f>IF(Table1[[#This Row],[CLOSE_PRICE]]&gt;Table1[[#This Row],[OPEN_PRICE]],"Gain","Loss")</f>
        <v>Loss</v>
      </c>
      <c r="O586" t="str">
        <f>IF(Table1[[#This Row],[MARKET_CAP]]&gt;200000000000,"Large Cap",
IF(Table1[[#This Row],[MARKET_CAP]]&gt;50000000000,"Mid Cap","Small Cap"))</f>
        <v>Small Cap</v>
      </c>
      <c r="P586" t="str">
        <f>IF(Table1[[#This Row],[NET_TRDQTY]]&gt;1000000,"High Volume","Low Volume")</f>
        <v>Low Volume</v>
      </c>
    </row>
    <row r="587" spans="1:16" x14ac:dyDescent="0.3">
      <c r="A587" t="s">
        <v>1180</v>
      </c>
      <c r="B587" t="s">
        <v>1181</v>
      </c>
      <c r="C587">
        <v>70</v>
      </c>
      <c r="D587">
        <v>70</v>
      </c>
      <c r="E587">
        <v>64.8</v>
      </c>
      <c r="F587">
        <v>65.069999999999993</v>
      </c>
      <c r="G587">
        <v>70.61</v>
      </c>
      <c r="H587">
        <v>213133</v>
      </c>
      <c r="I587">
        <v>3545</v>
      </c>
      <c r="J587">
        <v>3466269920</v>
      </c>
      <c r="K587">
        <v>53269862</v>
      </c>
      <c r="L587">
        <f>(Table1[[#This Row],[CLOSE_PRICE]] - Table1[[#This Row],[PREV_CL_PR]]) / Table1[[#This Row],[PREV_CL_PR]] * 100</f>
        <v>-7.8459141764622666</v>
      </c>
      <c r="M587">
        <f>Table1[[#This Row],[HIGH_PRICE]]-Table1[[#This Row],[LOW_PRICE]]</f>
        <v>5.2000000000000028</v>
      </c>
      <c r="N587" t="str">
        <f>IF(Table1[[#This Row],[CLOSE_PRICE]]&gt;Table1[[#This Row],[OPEN_PRICE]],"Gain","Loss")</f>
        <v>Loss</v>
      </c>
      <c r="O587" t="str">
        <f>IF(Table1[[#This Row],[MARKET_CAP]]&gt;200000000000,"Large Cap",
IF(Table1[[#This Row],[MARKET_CAP]]&gt;50000000000,"Mid Cap","Small Cap"))</f>
        <v>Small Cap</v>
      </c>
      <c r="P587" t="str">
        <f>IF(Table1[[#This Row],[NET_TRDQTY]]&gt;1000000,"High Volume","Low Volume")</f>
        <v>Low Volume</v>
      </c>
    </row>
    <row r="588" spans="1:16" x14ac:dyDescent="0.3">
      <c r="A588" t="s">
        <v>1182</v>
      </c>
      <c r="B588" t="s">
        <v>1183</v>
      </c>
      <c r="C588">
        <v>870.05</v>
      </c>
      <c r="D588">
        <v>870.05</v>
      </c>
      <c r="E588">
        <v>817</v>
      </c>
      <c r="F588">
        <v>825.5</v>
      </c>
      <c r="G588">
        <v>878.15</v>
      </c>
      <c r="H588">
        <v>139554</v>
      </c>
      <c r="I588">
        <v>7232</v>
      </c>
      <c r="J588">
        <v>23114000000</v>
      </c>
      <c r="K588">
        <v>28000000</v>
      </c>
      <c r="L588">
        <f>(Table1[[#This Row],[CLOSE_PRICE]] - Table1[[#This Row],[PREV_CL_PR]]) / Table1[[#This Row],[PREV_CL_PR]] * 100</f>
        <v>-5.9955588452997759</v>
      </c>
      <c r="M588">
        <f>Table1[[#This Row],[HIGH_PRICE]]-Table1[[#This Row],[LOW_PRICE]]</f>
        <v>53.049999999999955</v>
      </c>
      <c r="N588" t="str">
        <f>IF(Table1[[#This Row],[CLOSE_PRICE]]&gt;Table1[[#This Row],[OPEN_PRICE]],"Gain","Loss")</f>
        <v>Loss</v>
      </c>
      <c r="O588" t="str">
        <f>IF(Table1[[#This Row],[MARKET_CAP]]&gt;200000000000,"Large Cap",
IF(Table1[[#This Row],[MARKET_CAP]]&gt;50000000000,"Mid Cap","Small Cap"))</f>
        <v>Small Cap</v>
      </c>
      <c r="P588" t="str">
        <f>IF(Table1[[#This Row],[NET_TRDQTY]]&gt;1000000,"High Volume","Low Volume")</f>
        <v>Low Volume</v>
      </c>
    </row>
    <row r="589" spans="1:16" x14ac:dyDescent="0.3">
      <c r="A589" t="s">
        <v>1184</v>
      </c>
      <c r="B589" t="s">
        <v>1185</v>
      </c>
      <c r="C589">
        <v>23.48</v>
      </c>
      <c r="D589">
        <v>23.48</v>
      </c>
      <c r="E589">
        <v>20.85</v>
      </c>
      <c r="F589">
        <v>21</v>
      </c>
      <c r="G589">
        <v>21.96</v>
      </c>
      <c r="H589">
        <v>170033</v>
      </c>
      <c r="I589">
        <v>754</v>
      </c>
      <c r="J589">
        <v>1826835885</v>
      </c>
      <c r="K589">
        <v>86992185</v>
      </c>
      <c r="L589">
        <f>(Table1[[#This Row],[CLOSE_PRICE]] - Table1[[#This Row],[PREV_CL_PR]]) / Table1[[#This Row],[PREV_CL_PR]] * 100</f>
        <v>-4.371584699453555</v>
      </c>
      <c r="M589">
        <f>Table1[[#This Row],[HIGH_PRICE]]-Table1[[#This Row],[LOW_PRICE]]</f>
        <v>2.629999999999999</v>
      </c>
      <c r="N589" t="str">
        <f>IF(Table1[[#This Row],[CLOSE_PRICE]]&gt;Table1[[#This Row],[OPEN_PRICE]],"Gain","Loss")</f>
        <v>Loss</v>
      </c>
      <c r="O589" t="str">
        <f>IF(Table1[[#This Row],[MARKET_CAP]]&gt;200000000000,"Large Cap",
IF(Table1[[#This Row],[MARKET_CAP]]&gt;50000000000,"Mid Cap","Small Cap"))</f>
        <v>Small Cap</v>
      </c>
      <c r="P589" t="str">
        <f>IF(Table1[[#This Row],[NET_TRDQTY]]&gt;1000000,"High Volume","Low Volume")</f>
        <v>Low Volume</v>
      </c>
    </row>
    <row r="590" spans="1:16" x14ac:dyDescent="0.3">
      <c r="A590" t="s">
        <v>1186</v>
      </c>
      <c r="B590" t="s">
        <v>1187</v>
      </c>
      <c r="C590">
        <v>881.6</v>
      </c>
      <c r="D590">
        <v>889.2</v>
      </c>
      <c r="E590">
        <v>868</v>
      </c>
      <c r="F590">
        <v>871.75</v>
      </c>
      <c r="G590">
        <v>897.6</v>
      </c>
      <c r="H590">
        <v>27856</v>
      </c>
      <c r="I590">
        <v>2103</v>
      </c>
      <c r="J590">
        <v>11093306428</v>
      </c>
      <c r="K590">
        <v>12725330</v>
      </c>
      <c r="L590">
        <f>(Table1[[#This Row],[CLOSE_PRICE]] - Table1[[#This Row],[PREV_CL_PR]]) / Table1[[#This Row],[PREV_CL_PR]] * 100</f>
        <v>-2.8799019607843164</v>
      </c>
      <c r="M590">
        <f>Table1[[#This Row],[HIGH_PRICE]]-Table1[[#This Row],[LOW_PRICE]]</f>
        <v>21.200000000000045</v>
      </c>
      <c r="N590" t="str">
        <f>IF(Table1[[#This Row],[CLOSE_PRICE]]&gt;Table1[[#This Row],[OPEN_PRICE]],"Gain","Loss")</f>
        <v>Loss</v>
      </c>
      <c r="O590" t="str">
        <f>IF(Table1[[#This Row],[MARKET_CAP]]&gt;200000000000,"Large Cap",
IF(Table1[[#This Row],[MARKET_CAP]]&gt;50000000000,"Mid Cap","Small Cap"))</f>
        <v>Small Cap</v>
      </c>
      <c r="P590" t="str">
        <f>IF(Table1[[#This Row],[NET_TRDQTY]]&gt;1000000,"High Volume","Low Volume")</f>
        <v>Low Volume</v>
      </c>
    </row>
    <row r="591" spans="1:16" x14ac:dyDescent="0.3">
      <c r="A591" t="s">
        <v>1188</v>
      </c>
      <c r="B591" t="s">
        <v>1189</v>
      </c>
      <c r="C591">
        <v>126</v>
      </c>
      <c r="D591">
        <v>126</v>
      </c>
      <c r="E591">
        <v>120.5</v>
      </c>
      <c r="F591">
        <v>122.22</v>
      </c>
      <c r="G591">
        <v>127.09</v>
      </c>
      <c r="H591">
        <v>2917</v>
      </c>
      <c r="I591">
        <v>141</v>
      </c>
      <c r="J591">
        <v>1284217728</v>
      </c>
      <c r="K591">
        <v>10507427</v>
      </c>
      <c r="L591">
        <f>(Table1[[#This Row],[CLOSE_PRICE]] - Table1[[#This Row],[PREV_CL_PR]]) / Table1[[#This Row],[PREV_CL_PR]] * 100</f>
        <v>-3.83193012825557</v>
      </c>
      <c r="M591">
        <f>Table1[[#This Row],[HIGH_PRICE]]-Table1[[#This Row],[LOW_PRICE]]</f>
        <v>5.5</v>
      </c>
      <c r="N591" t="str">
        <f>IF(Table1[[#This Row],[CLOSE_PRICE]]&gt;Table1[[#This Row],[OPEN_PRICE]],"Gain","Loss")</f>
        <v>Loss</v>
      </c>
      <c r="O591" t="str">
        <f>IF(Table1[[#This Row],[MARKET_CAP]]&gt;200000000000,"Large Cap",
IF(Table1[[#This Row],[MARKET_CAP]]&gt;50000000000,"Mid Cap","Small Cap"))</f>
        <v>Small Cap</v>
      </c>
      <c r="P591" t="str">
        <f>IF(Table1[[#This Row],[NET_TRDQTY]]&gt;1000000,"High Volume","Low Volume")</f>
        <v>Low Volume</v>
      </c>
    </row>
    <row r="592" spans="1:16" x14ac:dyDescent="0.3">
      <c r="A592" t="s">
        <v>1190</v>
      </c>
      <c r="B592" t="s">
        <v>1191</v>
      </c>
      <c r="C592">
        <v>2.83</v>
      </c>
      <c r="D592">
        <v>2.94</v>
      </c>
      <c r="E592">
        <v>2.78</v>
      </c>
      <c r="F592">
        <v>2.81</v>
      </c>
      <c r="G592">
        <v>2.93</v>
      </c>
      <c r="H592">
        <v>602622</v>
      </c>
      <c r="I592">
        <v>840</v>
      </c>
      <c r="J592">
        <v>913040899.5</v>
      </c>
      <c r="K592">
        <v>324925587</v>
      </c>
      <c r="L592">
        <f>(Table1[[#This Row],[CLOSE_PRICE]] - Table1[[#This Row],[PREV_CL_PR]]) / Table1[[#This Row],[PREV_CL_PR]] * 100</f>
        <v>-4.0955631399317438</v>
      </c>
      <c r="M592">
        <f>Table1[[#This Row],[HIGH_PRICE]]-Table1[[#This Row],[LOW_PRICE]]</f>
        <v>0.16000000000000014</v>
      </c>
      <c r="N592" t="str">
        <f>IF(Table1[[#This Row],[CLOSE_PRICE]]&gt;Table1[[#This Row],[OPEN_PRICE]],"Gain","Loss")</f>
        <v>Loss</v>
      </c>
      <c r="O592" t="str">
        <f>IF(Table1[[#This Row],[MARKET_CAP]]&gt;200000000000,"Large Cap",
IF(Table1[[#This Row],[MARKET_CAP]]&gt;50000000000,"Mid Cap","Small Cap"))</f>
        <v>Small Cap</v>
      </c>
      <c r="P592" t="str">
        <f>IF(Table1[[#This Row],[NET_TRDQTY]]&gt;1000000,"High Volume","Low Volume")</f>
        <v>Low Volume</v>
      </c>
    </row>
    <row r="593" spans="1:16" x14ac:dyDescent="0.3">
      <c r="A593" t="s">
        <v>1192</v>
      </c>
      <c r="B593" t="s">
        <v>1193</v>
      </c>
      <c r="C593">
        <v>207.2</v>
      </c>
      <c r="D593">
        <v>209.6</v>
      </c>
      <c r="E593">
        <v>202.2</v>
      </c>
      <c r="F593">
        <v>203.04</v>
      </c>
      <c r="G593">
        <v>209.71</v>
      </c>
      <c r="H593">
        <v>52469</v>
      </c>
      <c r="I593">
        <v>466</v>
      </c>
      <c r="J593">
        <v>7111426052</v>
      </c>
      <c r="K593">
        <v>35024754</v>
      </c>
      <c r="L593">
        <f>(Table1[[#This Row],[CLOSE_PRICE]] - Table1[[#This Row],[PREV_CL_PR]]) / Table1[[#This Row],[PREV_CL_PR]] * 100</f>
        <v>-3.1805827094559231</v>
      </c>
      <c r="M593">
        <f>Table1[[#This Row],[HIGH_PRICE]]-Table1[[#This Row],[LOW_PRICE]]</f>
        <v>7.4000000000000057</v>
      </c>
      <c r="N593" t="str">
        <f>IF(Table1[[#This Row],[CLOSE_PRICE]]&gt;Table1[[#This Row],[OPEN_PRICE]],"Gain","Loss")</f>
        <v>Loss</v>
      </c>
      <c r="O593" t="str">
        <f>IF(Table1[[#This Row],[MARKET_CAP]]&gt;200000000000,"Large Cap",
IF(Table1[[#This Row],[MARKET_CAP]]&gt;50000000000,"Mid Cap","Small Cap"))</f>
        <v>Small Cap</v>
      </c>
      <c r="P593" t="str">
        <f>IF(Table1[[#This Row],[NET_TRDQTY]]&gt;1000000,"High Volume","Low Volume")</f>
        <v>Low Volume</v>
      </c>
    </row>
    <row r="594" spans="1:16" x14ac:dyDescent="0.3">
      <c r="A594" t="s">
        <v>1194</v>
      </c>
      <c r="B594" t="s">
        <v>1195</v>
      </c>
      <c r="C594">
        <v>39.840000000000003</v>
      </c>
      <c r="D594">
        <v>39.840000000000003</v>
      </c>
      <c r="E594">
        <v>37.76</v>
      </c>
      <c r="F594">
        <v>37.89</v>
      </c>
      <c r="G594">
        <v>39.68</v>
      </c>
      <c r="H594">
        <v>900980</v>
      </c>
      <c r="I594">
        <v>4434</v>
      </c>
      <c r="J594">
        <v>7021072698</v>
      </c>
      <c r="K594">
        <v>185301470</v>
      </c>
      <c r="L594">
        <f>(Table1[[#This Row],[CLOSE_PRICE]] - Table1[[#This Row],[PREV_CL_PR]]) / Table1[[#This Row],[PREV_CL_PR]] * 100</f>
        <v>-4.5110887096774173</v>
      </c>
      <c r="M594">
        <f>Table1[[#This Row],[HIGH_PRICE]]-Table1[[#This Row],[LOW_PRICE]]</f>
        <v>2.0800000000000054</v>
      </c>
      <c r="N594" t="str">
        <f>IF(Table1[[#This Row],[CLOSE_PRICE]]&gt;Table1[[#This Row],[OPEN_PRICE]],"Gain","Loss")</f>
        <v>Loss</v>
      </c>
      <c r="O594" t="str">
        <f>IF(Table1[[#This Row],[MARKET_CAP]]&gt;200000000000,"Large Cap",
IF(Table1[[#This Row],[MARKET_CAP]]&gt;50000000000,"Mid Cap","Small Cap"))</f>
        <v>Small Cap</v>
      </c>
      <c r="P594" t="str">
        <f>IF(Table1[[#This Row],[NET_TRDQTY]]&gt;1000000,"High Volume","Low Volume")</f>
        <v>Low Volume</v>
      </c>
    </row>
    <row r="595" spans="1:16" x14ac:dyDescent="0.3">
      <c r="A595" t="s">
        <v>1196</v>
      </c>
      <c r="B595" t="s">
        <v>1197</v>
      </c>
      <c r="C595">
        <v>268.14999999999998</v>
      </c>
      <c r="D595">
        <v>268.14999999999998</v>
      </c>
      <c r="E595">
        <v>250</v>
      </c>
      <c r="F595">
        <v>253.25</v>
      </c>
      <c r="G595">
        <v>269.45</v>
      </c>
      <c r="H595">
        <v>186998</v>
      </c>
      <c r="I595">
        <v>5201</v>
      </c>
      <c r="J595">
        <v>12272150074</v>
      </c>
      <c r="K595">
        <v>48458638</v>
      </c>
      <c r="L595">
        <f>(Table1[[#This Row],[CLOSE_PRICE]] - Table1[[#This Row],[PREV_CL_PR]]) / Table1[[#This Row],[PREV_CL_PR]] * 100</f>
        <v>-6.0122471701614364</v>
      </c>
      <c r="M595">
        <f>Table1[[#This Row],[HIGH_PRICE]]-Table1[[#This Row],[LOW_PRICE]]</f>
        <v>18.149999999999977</v>
      </c>
      <c r="N595" t="str">
        <f>IF(Table1[[#This Row],[CLOSE_PRICE]]&gt;Table1[[#This Row],[OPEN_PRICE]],"Gain","Loss")</f>
        <v>Loss</v>
      </c>
      <c r="O595" t="str">
        <f>IF(Table1[[#This Row],[MARKET_CAP]]&gt;200000000000,"Large Cap",
IF(Table1[[#This Row],[MARKET_CAP]]&gt;50000000000,"Mid Cap","Small Cap"))</f>
        <v>Small Cap</v>
      </c>
      <c r="P595" t="str">
        <f>IF(Table1[[#This Row],[NET_TRDQTY]]&gt;1000000,"High Volume","Low Volume")</f>
        <v>Low Volume</v>
      </c>
    </row>
    <row r="596" spans="1:16" x14ac:dyDescent="0.3">
      <c r="A596" t="s">
        <v>1198</v>
      </c>
      <c r="B596" t="s">
        <v>1199</v>
      </c>
      <c r="C596">
        <v>9567</v>
      </c>
      <c r="D596">
        <v>9567</v>
      </c>
      <c r="E596">
        <v>9220</v>
      </c>
      <c r="F596">
        <v>9420</v>
      </c>
      <c r="G596">
        <v>9701</v>
      </c>
      <c r="H596">
        <v>16014</v>
      </c>
      <c r="I596">
        <v>5721</v>
      </c>
      <c r="J596">
        <v>63975393060</v>
      </c>
      <c r="K596">
        <v>6791443</v>
      </c>
      <c r="L596">
        <f>(Table1[[#This Row],[CLOSE_PRICE]] - Table1[[#This Row],[PREV_CL_PR]]) / Table1[[#This Row],[PREV_CL_PR]] * 100</f>
        <v>-2.8966085970518507</v>
      </c>
      <c r="M596">
        <f>Table1[[#This Row],[HIGH_PRICE]]-Table1[[#This Row],[LOW_PRICE]]</f>
        <v>347</v>
      </c>
      <c r="N596" t="str">
        <f>IF(Table1[[#This Row],[CLOSE_PRICE]]&gt;Table1[[#This Row],[OPEN_PRICE]],"Gain","Loss")</f>
        <v>Loss</v>
      </c>
      <c r="O596" t="str">
        <f>IF(Table1[[#This Row],[MARKET_CAP]]&gt;200000000000,"Large Cap",
IF(Table1[[#This Row],[MARKET_CAP]]&gt;50000000000,"Mid Cap","Small Cap"))</f>
        <v>Mid Cap</v>
      </c>
      <c r="P596" t="str">
        <f>IF(Table1[[#This Row],[NET_TRDQTY]]&gt;1000000,"High Volume","Low Volume")</f>
        <v>Low Volume</v>
      </c>
    </row>
    <row r="597" spans="1:16" x14ac:dyDescent="0.3">
      <c r="A597" t="s">
        <v>1200</v>
      </c>
      <c r="B597" t="s">
        <v>1201</v>
      </c>
      <c r="C597">
        <v>221.24</v>
      </c>
      <c r="D597">
        <v>232.98</v>
      </c>
      <c r="E597">
        <v>211.82</v>
      </c>
      <c r="F597">
        <v>229.43</v>
      </c>
      <c r="G597">
        <v>220.13</v>
      </c>
      <c r="H597">
        <v>45475</v>
      </c>
      <c r="I597">
        <v>1465</v>
      </c>
      <c r="J597">
        <v>2851444829</v>
      </c>
      <c r="K597">
        <v>12428387</v>
      </c>
      <c r="L597">
        <f>(Table1[[#This Row],[CLOSE_PRICE]] - Table1[[#This Row],[PREV_CL_PR]]) / Table1[[#This Row],[PREV_CL_PR]] * 100</f>
        <v>4.2247762685685784</v>
      </c>
      <c r="M597">
        <f>Table1[[#This Row],[HIGH_PRICE]]-Table1[[#This Row],[LOW_PRICE]]</f>
        <v>21.159999999999997</v>
      </c>
      <c r="N597" t="str">
        <f>IF(Table1[[#This Row],[CLOSE_PRICE]]&gt;Table1[[#This Row],[OPEN_PRICE]],"Gain","Loss")</f>
        <v>Gain</v>
      </c>
      <c r="O597" t="str">
        <f>IF(Table1[[#This Row],[MARKET_CAP]]&gt;200000000000,"Large Cap",
IF(Table1[[#This Row],[MARKET_CAP]]&gt;50000000000,"Mid Cap","Small Cap"))</f>
        <v>Small Cap</v>
      </c>
      <c r="P597" t="str">
        <f>IF(Table1[[#This Row],[NET_TRDQTY]]&gt;1000000,"High Volume","Low Volume")</f>
        <v>Low Volume</v>
      </c>
    </row>
    <row r="598" spans="1:16" x14ac:dyDescent="0.3">
      <c r="A598" t="s">
        <v>1202</v>
      </c>
      <c r="B598" t="s">
        <v>1203</v>
      </c>
      <c r="C598">
        <v>6.81</v>
      </c>
      <c r="D598">
        <v>6.85</v>
      </c>
      <c r="E598">
        <v>6.32</v>
      </c>
      <c r="F598">
        <v>6.47</v>
      </c>
      <c r="G598">
        <v>6.85</v>
      </c>
      <c r="H598">
        <v>15766426</v>
      </c>
      <c r="I598">
        <v>15544</v>
      </c>
      <c r="J598">
        <v>23530440126</v>
      </c>
      <c r="K598">
        <v>3636853188</v>
      </c>
      <c r="L598">
        <f>(Table1[[#This Row],[CLOSE_PRICE]] - Table1[[#This Row],[PREV_CL_PR]]) / Table1[[#This Row],[PREV_CL_PR]] * 100</f>
        <v>-5.5474452554744511</v>
      </c>
      <c r="M598">
        <f>Table1[[#This Row],[HIGH_PRICE]]-Table1[[#This Row],[LOW_PRICE]]</f>
        <v>0.52999999999999936</v>
      </c>
      <c r="N598" t="str">
        <f>IF(Table1[[#This Row],[CLOSE_PRICE]]&gt;Table1[[#This Row],[OPEN_PRICE]],"Gain","Loss")</f>
        <v>Loss</v>
      </c>
      <c r="O598" t="str">
        <f>IF(Table1[[#This Row],[MARKET_CAP]]&gt;200000000000,"Large Cap",
IF(Table1[[#This Row],[MARKET_CAP]]&gt;50000000000,"Mid Cap","Small Cap"))</f>
        <v>Small Cap</v>
      </c>
      <c r="P598" t="str">
        <f>IF(Table1[[#This Row],[NET_TRDQTY]]&gt;1000000,"High Volume","Low Volume")</f>
        <v>High Volume</v>
      </c>
    </row>
    <row r="599" spans="1:16" x14ac:dyDescent="0.3">
      <c r="A599" t="s">
        <v>1204</v>
      </c>
      <c r="B599" t="s">
        <v>1205</v>
      </c>
      <c r="C599">
        <v>380.5</v>
      </c>
      <c r="D599">
        <v>381.4</v>
      </c>
      <c r="E599">
        <v>364</v>
      </c>
      <c r="F599">
        <v>374.15</v>
      </c>
      <c r="G599">
        <v>380.35</v>
      </c>
      <c r="H599">
        <v>331214</v>
      </c>
      <c r="I599">
        <v>9922</v>
      </c>
      <c r="J599">
        <v>42657409086</v>
      </c>
      <c r="K599">
        <v>114011517</v>
      </c>
      <c r="L599">
        <f>(Table1[[#This Row],[CLOSE_PRICE]] - Table1[[#This Row],[PREV_CL_PR]]) / Table1[[#This Row],[PREV_CL_PR]] * 100</f>
        <v>-1.6300775601419866</v>
      </c>
      <c r="M599">
        <f>Table1[[#This Row],[HIGH_PRICE]]-Table1[[#This Row],[LOW_PRICE]]</f>
        <v>17.399999999999977</v>
      </c>
      <c r="N599" t="str">
        <f>IF(Table1[[#This Row],[CLOSE_PRICE]]&gt;Table1[[#This Row],[OPEN_PRICE]],"Gain","Loss")</f>
        <v>Loss</v>
      </c>
      <c r="O599" t="str">
        <f>IF(Table1[[#This Row],[MARKET_CAP]]&gt;200000000000,"Large Cap",
IF(Table1[[#This Row],[MARKET_CAP]]&gt;50000000000,"Mid Cap","Small Cap"))</f>
        <v>Small Cap</v>
      </c>
      <c r="P599" t="str">
        <f>IF(Table1[[#This Row],[NET_TRDQTY]]&gt;1000000,"High Volume","Low Volume")</f>
        <v>Low Volume</v>
      </c>
    </row>
    <row r="600" spans="1:16" x14ac:dyDescent="0.3">
      <c r="A600" t="s">
        <v>1206</v>
      </c>
      <c r="B600" t="s">
        <v>1207</v>
      </c>
      <c r="C600">
        <v>1455</v>
      </c>
      <c r="D600">
        <v>1471.1</v>
      </c>
      <c r="E600">
        <v>1400</v>
      </c>
      <c r="F600">
        <v>1403.7</v>
      </c>
      <c r="G600">
        <v>1469</v>
      </c>
      <c r="H600">
        <v>189724</v>
      </c>
      <c r="I600">
        <v>23259</v>
      </c>
      <c r="J600">
        <v>134000000000</v>
      </c>
      <c r="K600">
        <v>95300720</v>
      </c>
      <c r="L600">
        <f>(Table1[[#This Row],[CLOSE_PRICE]] - Table1[[#This Row],[PREV_CL_PR]]) / Table1[[#This Row],[PREV_CL_PR]] * 100</f>
        <v>-4.4452008168822301</v>
      </c>
      <c r="M600">
        <f>Table1[[#This Row],[HIGH_PRICE]]-Table1[[#This Row],[LOW_PRICE]]</f>
        <v>71.099999999999909</v>
      </c>
      <c r="N600" t="str">
        <f>IF(Table1[[#This Row],[CLOSE_PRICE]]&gt;Table1[[#This Row],[OPEN_PRICE]],"Gain","Loss")</f>
        <v>Loss</v>
      </c>
      <c r="O600" t="str">
        <f>IF(Table1[[#This Row],[MARKET_CAP]]&gt;200000000000,"Large Cap",
IF(Table1[[#This Row],[MARKET_CAP]]&gt;50000000000,"Mid Cap","Small Cap"))</f>
        <v>Mid Cap</v>
      </c>
      <c r="P600" t="str">
        <f>IF(Table1[[#This Row],[NET_TRDQTY]]&gt;1000000,"High Volume","Low Volume")</f>
        <v>Low Volume</v>
      </c>
    </row>
    <row r="601" spans="1:16" x14ac:dyDescent="0.3">
      <c r="A601" t="s">
        <v>1208</v>
      </c>
      <c r="B601" t="s">
        <v>1209</v>
      </c>
      <c r="C601">
        <v>110.2</v>
      </c>
      <c r="D601">
        <v>110.88</v>
      </c>
      <c r="E601">
        <v>105.05</v>
      </c>
      <c r="F601">
        <v>106.75</v>
      </c>
      <c r="G601">
        <v>111.86</v>
      </c>
      <c r="H601">
        <v>1347265</v>
      </c>
      <c r="I601">
        <v>21954</v>
      </c>
      <c r="J601">
        <v>6405000000</v>
      </c>
      <c r="K601">
        <v>60000000</v>
      </c>
      <c r="L601">
        <f>(Table1[[#This Row],[CLOSE_PRICE]] - Table1[[#This Row],[PREV_CL_PR]]) / Table1[[#This Row],[PREV_CL_PR]] * 100</f>
        <v>-4.5682102628285346</v>
      </c>
      <c r="M601">
        <f>Table1[[#This Row],[HIGH_PRICE]]-Table1[[#This Row],[LOW_PRICE]]</f>
        <v>5.8299999999999983</v>
      </c>
      <c r="N601" t="str">
        <f>IF(Table1[[#This Row],[CLOSE_PRICE]]&gt;Table1[[#This Row],[OPEN_PRICE]],"Gain","Loss")</f>
        <v>Loss</v>
      </c>
      <c r="O601" t="str">
        <f>IF(Table1[[#This Row],[MARKET_CAP]]&gt;200000000000,"Large Cap",
IF(Table1[[#This Row],[MARKET_CAP]]&gt;50000000000,"Mid Cap","Small Cap"))</f>
        <v>Small Cap</v>
      </c>
      <c r="P601" t="str">
        <f>IF(Table1[[#This Row],[NET_TRDQTY]]&gt;1000000,"High Volume","Low Volume")</f>
        <v>High Volume</v>
      </c>
    </row>
    <row r="602" spans="1:16" x14ac:dyDescent="0.3">
      <c r="A602" t="s">
        <v>1210</v>
      </c>
      <c r="B602" t="s">
        <v>1211</v>
      </c>
      <c r="C602">
        <v>103.6</v>
      </c>
      <c r="D602">
        <v>103.87</v>
      </c>
      <c r="E602">
        <v>100.46</v>
      </c>
      <c r="F602">
        <v>102.19</v>
      </c>
      <c r="G602">
        <v>104.7</v>
      </c>
      <c r="H602">
        <v>5436940</v>
      </c>
      <c r="I602">
        <v>34987</v>
      </c>
      <c r="J602">
        <v>96720108980</v>
      </c>
      <c r="K602">
        <v>946473324</v>
      </c>
      <c r="L602">
        <f>(Table1[[#This Row],[CLOSE_PRICE]] - Table1[[#This Row],[PREV_CL_PR]]) / Table1[[#This Row],[PREV_CL_PR]] * 100</f>
        <v>-2.3973256924546371</v>
      </c>
      <c r="M602">
        <f>Table1[[#This Row],[HIGH_PRICE]]-Table1[[#This Row],[LOW_PRICE]]</f>
        <v>3.4100000000000108</v>
      </c>
      <c r="N602" t="str">
        <f>IF(Table1[[#This Row],[CLOSE_PRICE]]&gt;Table1[[#This Row],[OPEN_PRICE]],"Gain","Loss")</f>
        <v>Loss</v>
      </c>
      <c r="O602" t="str">
        <f>IF(Table1[[#This Row],[MARKET_CAP]]&gt;200000000000,"Large Cap",
IF(Table1[[#This Row],[MARKET_CAP]]&gt;50000000000,"Mid Cap","Small Cap"))</f>
        <v>Mid Cap</v>
      </c>
      <c r="P602" t="str">
        <f>IF(Table1[[#This Row],[NET_TRDQTY]]&gt;1000000,"High Volume","Low Volume")</f>
        <v>High Volume</v>
      </c>
    </row>
    <row r="603" spans="1:16" x14ac:dyDescent="0.3">
      <c r="A603" t="s">
        <v>1212</v>
      </c>
      <c r="B603" t="s">
        <v>1213</v>
      </c>
      <c r="C603">
        <v>192.91</v>
      </c>
      <c r="D603">
        <v>194.38</v>
      </c>
      <c r="E603">
        <v>181.98</v>
      </c>
      <c r="F603">
        <v>183.43</v>
      </c>
      <c r="G603">
        <v>195.85</v>
      </c>
      <c r="H603">
        <v>586671</v>
      </c>
      <c r="I603">
        <v>7702</v>
      </c>
      <c r="J603">
        <v>25181889660</v>
      </c>
      <c r="K603">
        <v>137283376</v>
      </c>
      <c r="L603">
        <f>(Table1[[#This Row],[CLOSE_PRICE]] - Table1[[#This Row],[PREV_CL_PR]]) / Table1[[#This Row],[PREV_CL_PR]] * 100</f>
        <v>-6.3415879499616992</v>
      </c>
      <c r="M603">
        <f>Table1[[#This Row],[HIGH_PRICE]]-Table1[[#This Row],[LOW_PRICE]]</f>
        <v>12.400000000000006</v>
      </c>
      <c r="N603" t="str">
        <f>IF(Table1[[#This Row],[CLOSE_PRICE]]&gt;Table1[[#This Row],[OPEN_PRICE]],"Gain","Loss")</f>
        <v>Loss</v>
      </c>
      <c r="O603" t="str">
        <f>IF(Table1[[#This Row],[MARKET_CAP]]&gt;200000000000,"Large Cap",
IF(Table1[[#This Row],[MARKET_CAP]]&gt;50000000000,"Mid Cap","Small Cap"))</f>
        <v>Small Cap</v>
      </c>
      <c r="P603" t="str">
        <f>IF(Table1[[#This Row],[NET_TRDQTY]]&gt;1000000,"High Volume","Low Volume")</f>
        <v>Low Volume</v>
      </c>
    </row>
    <row r="604" spans="1:16" x14ac:dyDescent="0.3">
      <c r="A604" t="s">
        <v>1214</v>
      </c>
      <c r="B604" t="s">
        <v>1215</v>
      </c>
      <c r="C604">
        <v>789.05</v>
      </c>
      <c r="D604">
        <v>789.05</v>
      </c>
      <c r="E604">
        <v>750.95</v>
      </c>
      <c r="F604">
        <v>765.85</v>
      </c>
      <c r="G604">
        <v>789.05</v>
      </c>
      <c r="H604">
        <v>220921</v>
      </c>
      <c r="I604">
        <v>15674</v>
      </c>
      <c r="J604">
        <v>136000000000</v>
      </c>
      <c r="K604">
        <v>177872717</v>
      </c>
      <c r="L604">
        <f>(Table1[[#This Row],[CLOSE_PRICE]] - Table1[[#This Row],[PREV_CL_PR]]) / Table1[[#This Row],[PREV_CL_PR]] * 100</f>
        <v>-2.9402445979342162</v>
      </c>
      <c r="M604">
        <f>Table1[[#This Row],[HIGH_PRICE]]-Table1[[#This Row],[LOW_PRICE]]</f>
        <v>38.099999999999909</v>
      </c>
      <c r="N604" t="str">
        <f>IF(Table1[[#This Row],[CLOSE_PRICE]]&gt;Table1[[#This Row],[OPEN_PRICE]],"Gain","Loss")</f>
        <v>Loss</v>
      </c>
      <c r="O604" t="str">
        <f>IF(Table1[[#This Row],[MARKET_CAP]]&gt;200000000000,"Large Cap",
IF(Table1[[#This Row],[MARKET_CAP]]&gt;50000000000,"Mid Cap","Small Cap"))</f>
        <v>Mid Cap</v>
      </c>
      <c r="P604" t="str">
        <f>IF(Table1[[#This Row],[NET_TRDQTY]]&gt;1000000,"High Volume","Low Volume")</f>
        <v>Low Volume</v>
      </c>
    </row>
    <row r="605" spans="1:16" x14ac:dyDescent="0.3">
      <c r="A605" t="s">
        <v>1216</v>
      </c>
      <c r="B605" t="s">
        <v>1217</v>
      </c>
      <c r="C605">
        <v>146</v>
      </c>
      <c r="D605">
        <v>146.01</v>
      </c>
      <c r="E605">
        <v>139.38</v>
      </c>
      <c r="F605">
        <v>141.88</v>
      </c>
      <c r="G605">
        <v>147.86000000000001</v>
      </c>
      <c r="H605">
        <v>1226439</v>
      </c>
      <c r="I605">
        <v>19816</v>
      </c>
      <c r="J605">
        <v>24904196400</v>
      </c>
      <c r="K605">
        <v>175530000</v>
      </c>
      <c r="L605">
        <f>(Table1[[#This Row],[CLOSE_PRICE]] - Table1[[#This Row],[PREV_CL_PR]]) / Table1[[#This Row],[PREV_CL_PR]] * 100</f>
        <v>-4.0443662924388049</v>
      </c>
      <c r="M605">
        <f>Table1[[#This Row],[HIGH_PRICE]]-Table1[[#This Row],[LOW_PRICE]]</f>
        <v>6.6299999999999955</v>
      </c>
      <c r="N605" t="str">
        <f>IF(Table1[[#This Row],[CLOSE_PRICE]]&gt;Table1[[#This Row],[OPEN_PRICE]],"Gain","Loss")</f>
        <v>Loss</v>
      </c>
      <c r="O605" t="str">
        <f>IF(Table1[[#This Row],[MARKET_CAP]]&gt;200000000000,"Large Cap",
IF(Table1[[#This Row],[MARKET_CAP]]&gt;50000000000,"Mid Cap","Small Cap"))</f>
        <v>Small Cap</v>
      </c>
      <c r="P605" t="str">
        <f>IF(Table1[[#This Row],[NET_TRDQTY]]&gt;1000000,"High Volume","Low Volume")</f>
        <v>High Volume</v>
      </c>
    </row>
    <row r="606" spans="1:16" x14ac:dyDescent="0.3">
      <c r="A606" t="s">
        <v>1218</v>
      </c>
      <c r="B606" t="s">
        <v>1219</v>
      </c>
      <c r="C606">
        <v>236</v>
      </c>
      <c r="D606">
        <v>236</v>
      </c>
      <c r="E606">
        <v>209</v>
      </c>
      <c r="F606">
        <v>228.74</v>
      </c>
      <c r="G606">
        <v>231.92</v>
      </c>
      <c r="H606">
        <v>117087</v>
      </c>
      <c r="I606">
        <v>3449</v>
      </c>
      <c r="J606">
        <v>5672752000</v>
      </c>
      <c r="K606">
        <v>24800000</v>
      </c>
      <c r="L606">
        <f>(Table1[[#This Row],[CLOSE_PRICE]] - Table1[[#This Row],[PREV_CL_PR]]) / Table1[[#This Row],[PREV_CL_PR]] * 100</f>
        <v>-1.3711624698171692</v>
      </c>
      <c r="M606">
        <f>Table1[[#This Row],[HIGH_PRICE]]-Table1[[#This Row],[LOW_PRICE]]</f>
        <v>27</v>
      </c>
      <c r="N606" t="str">
        <f>IF(Table1[[#This Row],[CLOSE_PRICE]]&gt;Table1[[#This Row],[OPEN_PRICE]],"Gain","Loss")</f>
        <v>Loss</v>
      </c>
      <c r="O606" t="str">
        <f>IF(Table1[[#This Row],[MARKET_CAP]]&gt;200000000000,"Large Cap",
IF(Table1[[#This Row],[MARKET_CAP]]&gt;50000000000,"Mid Cap","Small Cap"))</f>
        <v>Small Cap</v>
      </c>
      <c r="P606" t="str">
        <f>IF(Table1[[#This Row],[NET_TRDQTY]]&gt;1000000,"High Volume","Low Volume")</f>
        <v>Low Volume</v>
      </c>
    </row>
    <row r="607" spans="1:16" x14ac:dyDescent="0.3">
      <c r="A607" t="s">
        <v>1220</v>
      </c>
      <c r="B607" t="s">
        <v>1221</v>
      </c>
      <c r="C607">
        <v>294.95</v>
      </c>
      <c r="D607">
        <v>302.2</v>
      </c>
      <c r="E607">
        <v>279.10000000000002</v>
      </c>
      <c r="F607">
        <v>281.75</v>
      </c>
      <c r="G607">
        <v>301.7</v>
      </c>
      <c r="H607">
        <v>76596</v>
      </c>
      <c r="I607">
        <v>2843</v>
      </c>
      <c r="J607">
        <v>17168800835</v>
      </c>
      <c r="K607">
        <v>60936294</v>
      </c>
      <c r="L607">
        <f>(Table1[[#This Row],[CLOSE_PRICE]] - Table1[[#This Row],[PREV_CL_PR]]) / Table1[[#This Row],[PREV_CL_PR]] * 100</f>
        <v>-6.6125290023201817</v>
      </c>
      <c r="M607">
        <f>Table1[[#This Row],[HIGH_PRICE]]-Table1[[#This Row],[LOW_PRICE]]</f>
        <v>23.099999999999966</v>
      </c>
      <c r="N607" t="str">
        <f>IF(Table1[[#This Row],[CLOSE_PRICE]]&gt;Table1[[#This Row],[OPEN_PRICE]],"Gain","Loss")</f>
        <v>Loss</v>
      </c>
      <c r="O607" t="str">
        <f>IF(Table1[[#This Row],[MARKET_CAP]]&gt;200000000000,"Large Cap",
IF(Table1[[#This Row],[MARKET_CAP]]&gt;50000000000,"Mid Cap","Small Cap"))</f>
        <v>Small Cap</v>
      </c>
      <c r="P607" t="str">
        <f>IF(Table1[[#This Row],[NET_TRDQTY]]&gt;1000000,"High Volume","Low Volume")</f>
        <v>Low Volume</v>
      </c>
    </row>
    <row r="608" spans="1:16" x14ac:dyDescent="0.3">
      <c r="A608" t="s">
        <v>1222</v>
      </c>
      <c r="B608" t="s">
        <v>1223</v>
      </c>
      <c r="C608">
        <v>303</v>
      </c>
      <c r="D608">
        <v>308</v>
      </c>
      <c r="E608">
        <v>288.2</v>
      </c>
      <c r="F608">
        <v>291.8</v>
      </c>
      <c r="G608">
        <v>309.5</v>
      </c>
      <c r="H608">
        <v>305138</v>
      </c>
      <c r="I608">
        <v>14769</v>
      </c>
      <c r="J608">
        <v>182000000000</v>
      </c>
      <c r="K608">
        <v>625364182</v>
      </c>
      <c r="L608">
        <f>(Table1[[#This Row],[CLOSE_PRICE]] - Table1[[#This Row],[PREV_CL_PR]]) / Table1[[#This Row],[PREV_CL_PR]] * 100</f>
        <v>-5.7189014539579937</v>
      </c>
      <c r="M608">
        <f>Table1[[#This Row],[HIGH_PRICE]]-Table1[[#This Row],[LOW_PRICE]]</f>
        <v>19.800000000000011</v>
      </c>
      <c r="N608" t="str">
        <f>IF(Table1[[#This Row],[CLOSE_PRICE]]&gt;Table1[[#This Row],[OPEN_PRICE]],"Gain","Loss")</f>
        <v>Loss</v>
      </c>
      <c r="O608" t="str">
        <f>IF(Table1[[#This Row],[MARKET_CAP]]&gt;200000000000,"Large Cap",
IF(Table1[[#This Row],[MARKET_CAP]]&gt;50000000000,"Mid Cap","Small Cap"))</f>
        <v>Mid Cap</v>
      </c>
      <c r="P608" t="str">
        <f>IF(Table1[[#This Row],[NET_TRDQTY]]&gt;1000000,"High Volume","Low Volume")</f>
        <v>Low Volume</v>
      </c>
    </row>
    <row r="609" spans="1:16" x14ac:dyDescent="0.3">
      <c r="A609" t="s">
        <v>1224</v>
      </c>
      <c r="B609" t="s">
        <v>1225</v>
      </c>
      <c r="C609">
        <v>1534.5</v>
      </c>
      <c r="D609">
        <v>1554.5</v>
      </c>
      <c r="E609">
        <v>1480.1</v>
      </c>
      <c r="F609">
        <v>1495.2</v>
      </c>
      <c r="G609">
        <v>1565.7</v>
      </c>
      <c r="H609">
        <v>20620</v>
      </c>
      <c r="I609">
        <v>2093</v>
      </c>
      <c r="J609">
        <v>8624889252</v>
      </c>
      <c r="K609">
        <v>5768385</v>
      </c>
      <c r="L609">
        <f>(Table1[[#This Row],[CLOSE_PRICE]] - Table1[[#This Row],[PREV_CL_PR]]) / Table1[[#This Row],[PREV_CL_PR]] * 100</f>
        <v>-4.5027783100210765</v>
      </c>
      <c r="M609">
        <f>Table1[[#This Row],[HIGH_PRICE]]-Table1[[#This Row],[LOW_PRICE]]</f>
        <v>74.400000000000091</v>
      </c>
      <c r="N609" t="str">
        <f>IF(Table1[[#This Row],[CLOSE_PRICE]]&gt;Table1[[#This Row],[OPEN_PRICE]],"Gain","Loss")</f>
        <v>Loss</v>
      </c>
      <c r="O609" t="str">
        <f>IF(Table1[[#This Row],[MARKET_CAP]]&gt;200000000000,"Large Cap",
IF(Table1[[#This Row],[MARKET_CAP]]&gt;50000000000,"Mid Cap","Small Cap"))</f>
        <v>Small Cap</v>
      </c>
      <c r="P609" t="str">
        <f>IF(Table1[[#This Row],[NET_TRDQTY]]&gt;1000000,"High Volume","Low Volume")</f>
        <v>Low Volume</v>
      </c>
    </row>
    <row r="610" spans="1:16" x14ac:dyDescent="0.3">
      <c r="A610" t="s">
        <v>1226</v>
      </c>
      <c r="B610" t="s">
        <v>1227</v>
      </c>
      <c r="C610">
        <v>102.1</v>
      </c>
      <c r="D610">
        <v>103</v>
      </c>
      <c r="E610">
        <v>99.72</v>
      </c>
      <c r="F610">
        <v>100.23</v>
      </c>
      <c r="G610">
        <v>104.09</v>
      </c>
      <c r="H610">
        <v>250097</v>
      </c>
      <c r="I610">
        <v>2445</v>
      </c>
      <c r="J610">
        <v>11246575967</v>
      </c>
      <c r="K610">
        <v>112207682</v>
      </c>
      <c r="L610">
        <f>(Table1[[#This Row],[CLOSE_PRICE]] - Table1[[#This Row],[PREV_CL_PR]]) / Table1[[#This Row],[PREV_CL_PR]] * 100</f>
        <v>-3.7083293303871638</v>
      </c>
      <c r="M610">
        <f>Table1[[#This Row],[HIGH_PRICE]]-Table1[[#This Row],[LOW_PRICE]]</f>
        <v>3.2800000000000011</v>
      </c>
      <c r="N610" t="str">
        <f>IF(Table1[[#This Row],[CLOSE_PRICE]]&gt;Table1[[#This Row],[OPEN_PRICE]],"Gain","Loss")</f>
        <v>Loss</v>
      </c>
      <c r="O610" t="str">
        <f>IF(Table1[[#This Row],[MARKET_CAP]]&gt;200000000000,"Large Cap",
IF(Table1[[#This Row],[MARKET_CAP]]&gt;50000000000,"Mid Cap","Small Cap"))</f>
        <v>Small Cap</v>
      </c>
      <c r="P610" t="str">
        <f>IF(Table1[[#This Row],[NET_TRDQTY]]&gt;1000000,"High Volume","Low Volume")</f>
        <v>Low Volume</v>
      </c>
    </row>
    <row r="611" spans="1:16" x14ac:dyDescent="0.3">
      <c r="A611" t="s">
        <v>1228</v>
      </c>
      <c r="B611" t="s">
        <v>1229</v>
      </c>
      <c r="C611">
        <v>835</v>
      </c>
      <c r="D611">
        <v>835</v>
      </c>
      <c r="E611">
        <v>747</v>
      </c>
      <c r="F611">
        <v>777.85</v>
      </c>
      <c r="G611">
        <v>811.65</v>
      </c>
      <c r="H611">
        <v>2925</v>
      </c>
      <c r="I611">
        <v>210</v>
      </c>
      <c r="J611">
        <v>7648599050</v>
      </c>
      <c r="K611">
        <v>9833000</v>
      </c>
      <c r="L611">
        <f>(Table1[[#This Row],[CLOSE_PRICE]] - Table1[[#This Row],[PREV_CL_PR]]) / Table1[[#This Row],[PREV_CL_PR]] * 100</f>
        <v>-4.1643565576295147</v>
      </c>
      <c r="M611">
        <f>Table1[[#This Row],[HIGH_PRICE]]-Table1[[#This Row],[LOW_PRICE]]</f>
        <v>88</v>
      </c>
      <c r="N611" t="str">
        <f>IF(Table1[[#This Row],[CLOSE_PRICE]]&gt;Table1[[#This Row],[OPEN_PRICE]],"Gain","Loss")</f>
        <v>Loss</v>
      </c>
      <c r="O611" t="str">
        <f>IF(Table1[[#This Row],[MARKET_CAP]]&gt;200000000000,"Large Cap",
IF(Table1[[#This Row],[MARKET_CAP]]&gt;50000000000,"Mid Cap","Small Cap"))</f>
        <v>Small Cap</v>
      </c>
      <c r="P611" t="str">
        <f>IF(Table1[[#This Row],[NET_TRDQTY]]&gt;1000000,"High Volume","Low Volume")</f>
        <v>Low Volume</v>
      </c>
    </row>
    <row r="612" spans="1:16" x14ac:dyDescent="0.3">
      <c r="A612" t="s">
        <v>1230</v>
      </c>
      <c r="B612" t="s">
        <v>1231</v>
      </c>
      <c r="C612">
        <v>388.85</v>
      </c>
      <c r="D612">
        <v>388.85</v>
      </c>
      <c r="E612">
        <v>372.5</v>
      </c>
      <c r="F612">
        <v>379.05</v>
      </c>
      <c r="G612">
        <v>389.85</v>
      </c>
      <c r="H612">
        <v>416909</v>
      </c>
      <c r="I612">
        <v>17930</v>
      </c>
      <c r="J612">
        <v>85058793467</v>
      </c>
      <c r="K612">
        <v>224399930</v>
      </c>
      <c r="L612">
        <f>(Table1[[#This Row],[CLOSE_PRICE]] - Table1[[#This Row],[PREV_CL_PR]]) / Table1[[#This Row],[PREV_CL_PR]] * 100</f>
        <v>-2.7702962677953087</v>
      </c>
      <c r="M612">
        <f>Table1[[#This Row],[HIGH_PRICE]]-Table1[[#This Row],[LOW_PRICE]]</f>
        <v>16.350000000000023</v>
      </c>
      <c r="N612" t="str">
        <f>IF(Table1[[#This Row],[CLOSE_PRICE]]&gt;Table1[[#This Row],[OPEN_PRICE]],"Gain","Loss")</f>
        <v>Loss</v>
      </c>
      <c r="O612" t="str">
        <f>IF(Table1[[#This Row],[MARKET_CAP]]&gt;200000000000,"Large Cap",
IF(Table1[[#This Row],[MARKET_CAP]]&gt;50000000000,"Mid Cap","Small Cap"))</f>
        <v>Mid Cap</v>
      </c>
      <c r="P612" t="str">
        <f>IF(Table1[[#This Row],[NET_TRDQTY]]&gt;1000000,"High Volume","Low Volume")</f>
        <v>Low Volume</v>
      </c>
    </row>
    <row r="613" spans="1:16" x14ac:dyDescent="0.3">
      <c r="A613" t="s">
        <v>1232</v>
      </c>
      <c r="B613" t="s">
        <v>1233</v>
      </c>
      <c r="C613">
        <v>73.95</v>
      </c>
      <c r="D613">
        <v>73.95</v>
      </c>
      <c r="E613">
        <v>70.010000000000005</v>
      </c>
      <c r="F613">
        <v>70.5</v>
      </c>
      <c r="G613">
        <v>74.83</v>
      </c>
      <c r="H613">
        <v>2606235</v>
      </c>
      <c r="I613">
        <v>12890</v>
      </c>
      <c r="J613">
        <v>43582013666</v>
      </c>
      <c r="K613">
        <v>618184591</v>
      </c>
      <c r="L613">
        <f>(Table1[[#This Row],[CLOSE_PRICE]] - Table1[[#This Row],[PREV_CL_PR]]) / Table1[[#This Row],[PREV_CL_PR]] * 100</f>
        <v>-5.7864492850461025</v>
      </c>
      <c r="M613">
        <f>Table1[[#This Row],[HIGH_PRICE]]-Table1[[#This Row],[LOW_PRICE]]</f>
        <v>3.9399999999999977</v>
      </c>
      <c r="N613" t="str">
        <f>IF(Table1[[#This Row],[CLOSE_PRICE]]&gt;Table1[[#This Row],[OPEN_PRICE]],"Gain","Loss")</f>
        <v>Loss</v>
      </c>
      <c r="O613" t="str">
        <f>IF(Table1[[#This Row],[MARKET_CAP]]&gt;200000000000,"Large Cap",
IF(Table1[[#This Row],[MARKET_CAP]]&gt;50000000000,"Mid Cap","Small Cap"))</f>
        <v>Small Cap</v>
      </c>
      <c r="P613" t="str">
        <f>IF(Table1[[#This Row],[NET_TRDQTY]]&gt;1000000,"High Volume","Low Volume")</f>
        <v>High Volume</v>
      </c>
    </row>
    <row r="614" spans="1:16" x14ac:dyDescent="0.3">
      <c r="A614" t="s">
        <v>1234</v>
      </c>
      <c r="B614" t="s">
        <v>1235</v>
      </c>
      <c r="C614">
        <v>647.79999999999995</v>
      </c>
      <c r="D614">
        <v>648.1</v>
      </c>
      <c r="E614">
        <v>580.25</v>
      </c>
      <c r="F614">
        <v>590.85</v>
      </c>
      <c r="G614">
        <v>657.65</v>
      </c>
      <c r="H614">
        <v>68608</v>
      </c>
      <c r="I614">
        <v>3270</v>
      </c>
      <c r="J614">
        <v>7529091652</v>
      </c>
      <c r="K614">
        <v>12742814</v>
      </c>
      <c r="L614">
        <f>(Table1[[#This Row],[CLOSE_PRICE]] - Table1[[#This Row],[PREV_CL_PR]]) / Table1[[#This Row],[PREV_CL_PR]] * 100</f>
        <v>-10.157378544818666</v>
      </c>
      <c r="M614">
        <f>Table1[[#This Row],[HIGH_PRICE]]-Table1[[#This Row],[LOW_PRICE]]</f>
        <v>67.850000000000023</v>
      </c>
      <c r="N614" t="str">
        <f>IF(Table1[[#This Row],[CLOSE_PRICE]]&gt;Table1[[#This Row],[OPEN_PRICE]],"Gain","Loss")</f>
        <v>Loss</v>
      </c>
      <c r="O614" t="str">
        <f>IF(Table1[[#This Row],[MARKET_CAP]]&gt;200000000000,"Large Cap",
IF(Table1[[#This Row],[MARKET_CAP]]&gt;50000000000,"Mid Cap","Small Cap"))</f>
        <v>Small Cap</v>
      </c>
      <c r="P614" t="str">
        <f>IF(Table1[[#This Row],[NET_TRDQTY]]&gt;1000000,"High Volume","Low Volume")</f>
        <v>Low Volume</v>
      </c>
    </row>
    <row r="615" spans="1:16" x14ac:dyDescent="0.3">
      <c r="A615" t="s">
        <v>1236</v>
      </c>
      <c r="B615" t="s">
        <v>1237</v>
      </c>
      <c r="C615">
        <v>478.15</v>
      </c>
      <c r="D615">
        <v>486.4</v>
      </c>
      <c r="E615">
        <v>455</v>
      </c>
      <c r="F615">
        <v>476.05</v>
      </c>
      <c r="G615">
        <v>480.05</v>
      </c>
      <c r="H615">
        <v>1123776</v>
      </c>
      <c r="I615">
        <v>28934</v>
      </c>
      <c r="J615">
        <v>151000000000</v>
      </c>
      <c r="K615">
        <v>316909016</v>
      </c>
      <c r="L615">
        <f>(Table1[[#This Row],[CLOSE_PRICE]] - Table1[[#This Row],[PREV_CL_PR]]) / Table1[[#This Row],[PREV_CL_PR]] * 100</f>
        <v>-0.83324653681908134</v>
      </c>
      <c r="M615">
        <f>Table1[[#This Row],[HIGH_PRICE]]-Table1[[#This Row],[LOW_PRICE]]</f>
        <v>31.399999999999977</v>
      </c>
      <c r="N615" t="str">
        <f>IF(Table1[[#This Row],[CLOSE_PRICE]]&gt;Table1[[#This Row],[OPEN_PRICE]],"Gain","Loss")</f>
        <v>Loss</v>
      </c>
      <c r="O615" t="str">
        <f>IF(Table1[[#This Row],[MARKET_CAP]]&gt;200000000000,"Large Cap",
IF(Table1[[#This Row],[MARKET_CAP]]&gt;50000000000,"Mid Cap","Small Cap"))</f>
        <v>Mid Cap</v>
      </c>
      <c r="P615" t="str">
        <f>IF(Table1[[#This Row],[NET_TRDQTY]]&gt;1000000,"High Volume","Low Volume")</f>
        <v>High Volume</v>
      </c>
    </row>
    <row r="616" spans="1:16" x14ac:dyDescent="0.3">
      <c r="A616" t="s">
        <v>1238</v>
      </c>
      <c r="B616" t="s">
        <v>1239</v>
      </c>
      <c r="C616">
        <v>37.020000000000003</v>
      </c>
      <c r="D616">
        <v>39</v>
      </c>
      <c r="E616">
        <v>36.01</v>
      </c>
      <c r="F616">
        <v>36.99</v>
      </c>
      <c r="G616">
        <v>38.130000000000003</v>
      </c>
      <c r="H616">
        <v>70533</v>
      </c>
      <c r="I616">
        <v>565</v>
      </c>
      <c r="J616">
        <v>1851349500</v>
      </c>
      <c r="K616">
        <v>50050000</v>
      </c>
      <c r="L616">
        <f>(Table1[[#This Row],[CLOSE_PRICE]] - Table1[[#This Row],[PREV_CL_PR]]) / Table1[[#This Row],[PREV_CL_PR]] * 100</f>
        <v>-2.9897718332022043</v>
      </c>
      <c r="M616">
        <f>Table1[[#This Row],[HIGH_PRICE]]-Table1[[#This Row],[LOW_PRICE]]</f>
        <v>2.990000000000002</v>
      </c>
      <c r="N616" t="str">
        <f>IF(Table1[[#This Row],[CLOSE_PRICE]]&gt;Table1[[#This Row],[OPEN_PRICE]],"Gain","Loss")</f>
        <v>Loss</v>
      </c>
      <c r="O616" t="str">
        <f>IF(Table1[[#This Row],[MARKET_CAP]]&gt;200000000000,"Large Cap",
IF(Table1[[#This Row],[MARKET_CAP]]&gt;50000000000,"Mid Cap","Small Cap"))</f>
        <v>Small Cap</v>
      </c>
      <c r="P616" t="str">
        <f>IF(Table1[[#This Row],[NET_TRDQTY]]&gt;1000000,"High Volume","Low Volume")</f>
        <v>Low Volume</v>
      </c>
    </row>
    <row r="617" spans="1:16" x14ac:dyDescent="0.3">
      <c r="A617" t="s">
        <v>1240</v>
      </c>
      <c r="B617" t="s">
        <v>1241</v>
      </c>
      <c r="C617">
        <v>117</v>
      </c>
      <c r="D617">
        <v>117</v>
      </c>
      <c r="E617">
        <v>109.2</v>
      </c>
      <c r="F617">
        <v>109.78</v>
      </c>
      <c r="G617">
        <v>117</v>
      </c>
      <c r="H617">
        <v>168426</v>
      </c>
      <c r="I617">
        <v>2297</v>
      </c>
      <c r="J617">
        <v>5451589172</v>
      </c>
      <c r="K617">
        <v>49659220</v>
      </c>
      <c r="L617">
        <f>(Table1[[#This Row],[CLOSE_PRICE]] - Table1[[#This Row],[PREV_CL_PR]]) / Table1[[#This Row],[PREV_CL_PR]] * 100</f>
        <v>-6.1709401709401703</v>
      </c>
      <c r="M617">
        <f>Table1[[#This Row],[HIGH_PRICE]]-Table1[[#This Row],[LOW_PRICE]]</f>
        <v>7.7999999999999972</v>
      </c>
      <c r="N617" t="str">
        <f>IF(Table1[[#This Row],[CLOSE_PRICE]]&gt;Table1[[#This Row],[OPEN_PRICE]],"Gain","Loss")</f>
        <v>Loss</v>
      </c>
      <c r="O617" t="str">
        <f>IF(Table1[[#This Row],[MARKET_CAP]]&gt;200000000000,"Large Cap",
IF(Table1[[#This Row],[MARKET_CAP]]&gt;50000000000,"Mid Cap","Small Cap"))</f>
        <v>Small Cap</v>
      </c>
      <c r="P617" t="str">
        <f>IF(Table1[[#This Row],[NET_TRDQTY]]&gt;1000000,"High Volume","Low Volume")</f>
        <v>Low Volume</v>
      </c>
    </row>
    <row r="618" spans="1:16" x14ac:dyDescent="0.3">
      <c r="A618" t="s">
        <v>1242</v>
      </c>
      <c r="B618" t="s">
        <v>1243</v>
      </c>
      <c r="C618">
        <v>195</v>
      </c>
      <c r="D618">
        <v>195.72</v>
      </c>
      <c r="E618">
        <v>181</v>
      </c>
      <c r="F618">
        <v>185.39</v>
      </c>
      <c r="G618">
        <v>197.99</v>
      </c>
      <c r="H618">
        <v>311874</v>
      </c>
      <c r="I618">
        <v>6879</v>
      </c>
      <c r="J618">
        <v>26128050884</v>
      </c>
      <c r="K618">
        <v>140935600</v>
      </c>
      <c r="L618">
        <f>(Table1[[#This Row],[CLOSE_PRICE]] - Table1[[#This Row],[PREV_CL_PR]]) / Table1[[#This Row],[PREV_CL_PR]] * 100</f>
        <v>-6.3639577756452459</v>
      </c>
      <c r="M618">
        <f>Table1[[#This Row],[HIGH_PRICE]]-Table1[[#This Row],[LOW_PRICE]]</f>
        <v>14.719999999999999</v>
      </c>
      <c r="N618" t="str">
        <f>IF(Table1[[#This Row],[CLOSE_PRICE]]&gt;Table1[[#This Row],[OPEN_PRICE]],"Gain","Loss")</f>
        <v>Loss</v>
      </c>
      <c r="O618" t="str">
        <f>IF(Table1[[#This Row],[MARKET_CAP]]&gt;200000000000,"Large Cap",
IF(Table1[[#This Row],[MARKET_CAP]]&gt;50000000000,"Mid Cap","Small Cap"))</f>
        <v>Small Cap</v>
      </c>
      <c r="P618" t="str">
        <f>IF(Table1[[#This Row],[NET_TRDQTY]]&gt;1000000,"High Volume","Low Volume")</f>
        <v>Low Volume</v>
      </c>
    </row>
    <row r="619" spans="1:16" x14ac:dyDescent="0.3">
      <c r="A619" t="s">
        <v>1244</v>
      </c>
      <c r="B619" t="s">
        <v>1245</v>
      </c>
      <c r="C619">
        <v>401.9</v>
      </c>
      <c r="D619">
        <v>416.95</v>
      </c>
      <c r="E619">
        <v>395.45</v>
      </c>
      <c r="F619">
        <v>401.7</v>
      </c>
      <c r="G619">
        <v>402.75</v>
      </c>
      <c r="H619">
        <v>2160233</v>
      </c>
      <c r="I619">
        <v>60274</v>
      </c>
      <c r="J619">
        <v>175000000000</v>
      </c>
      <c r="K619">
        <v>436500000</v>
      </c>
      <c r="L619">
        <f>(Table1[[#This Row],[CLOSE_PRICE]] - Table1[[#This Row],[PREV_CL_PR]]) / Table1[[#This Row],[PREV_CL_PR]] * 100</f>
        <v>-0.26070763500931377</v>
      </c>
      <c r="M619">
        <f>Table1[[#This Row],[HIGH_PRICE]]-Table1[[#This Row],[LOW_PRICE]]</f>
        <v>21.5</v>
      </c>
      <c r="N619" t="str">
        <f>IF(Table1[[#This Row],[CLOSE_PRICE]]&gt;Table1[[#This Row],[OPEN_PRICE]],"Gain","Loss")</f>
        <v>Loss</v>
      </c>
      <c r="O619" t="str">
        <f>IF(Table1[[#This Row],[MARKET_CAP]]&gt;200000000000,"Large Cap",
IF(Table1[[#This Row],[MARKET_CAP]]&gt;50000000000,"Mid Cap","Small Cap"))</f>
        <v>Mid Cap</v>
      </c>
      <c r="P619" t="str">
        <f>IF(Table1[[#This Row],[NET_TRDQTY]]&gt;1000000,"High Volume","Low Volume")</f>
        <v>High Volume</v>
      </c>
    </row>
    <row r="620" spans="1:16" x14ac:dyDescent="0.3">
      <c r="A620" t="s">
        <v>1246</v>
      </c>
      <c r="B620" t="s">
        <v>1247</v>
      </c>
      <c r="C620">
        <v>69.19</v>
      </c>
      <c r="D620">
        <v>69.19</v>
      </c>
      <c r="E620">
        <v>64</v>
      </c>
      <c r="F620">
        <v>64.739999999999995</v>
      </c>
      <c r="G620">
        <v>68.260000000000005</v>
      </c>
      <c r="H620">
        <v>25060</v>
      </c>
      <c r="I620">
        <v>614</v>
      </c>
      <c r="J620">
        <v>3916708497</v>
      </c>
      <c r="K620">
        <v>60499050</v>
      </c>
      <c r="L620">
        <f>(Table1[[#This Row],[CLOSE_PRICE]] - Table1[[#This Row],[PREV_CL_PR]]) / Table1[[#This Row],[PREV_CL_PR]] * 100</f>
        <v>-5.1567535892177112</v>
      </c>
      <c r="M620">
        <f>Table1[[#This Row],[HIGH_PRICE]]-Table1[[#This Row],[LOW_PRICE]]</f>
        <v>5.1899999999999977</v>
      </c>
      <c r="N620" t="str">
        <f>IF(Table1[[#This Row],[CLOSE_PRICE]]&gt;Table1[[#This Row],[OPEN_PRICE]],"Gain","Loss")</f>
        <v>Loss</v>
      </c>
      <c r="O620" t="str">
        <f>IF(Table1[[#This Row],[MARKET_CAP]]&gt;200000000000,"Large Cap",
IF(Table1[[#This Row],[MARKET_CAP]]&gt;50000000000,"Mid Cap","Small Cap"))</f>
        <v>Small Cap</v>
      </c>
      <c r="P620" t="str">
        <f>IF(Table1[[#This Row],[NET_TRDQTY]]&gt;1000000,"High Volume","Low Volume")</f>
        <v>Low Volume</v>
      </c>
    </row>
    <row r="621" spans="1:16" x14ac:dyDescent="0.3">
      <c r="A621" t="s">
        <v>1248</v>
      </c>
      <c r="B621" t="s">
        <v>1249</v>
      </c>
      <c r="C621">
        <v>60.5</v>
      </c>
      <c r="D621">
        <v>60.5</v>
      </c>
      <c r="E621">
        <v>48.2</v>
      </c>
      <c r="F621">
        <v>53.88</v>
      </c>
      <c r="G621">
        <v>60.1</v>
      </c>
      <c r="H621">
        <v>78310</v>
      </c>
      <c r="I621">
        <v>508</v>
      </c>
      <c r="J621">
        <v>2361769939</v>
      </c>
      <c r="K621">
        <v>43833889</v>
      </c>
      <c r="L621">
        <f>(Table1[[#This Row],[CLOSE_PRICE]] - Table1[[#This Row],[PREV_CL_PR]]) / Table1[[#This Row],[PREV_CL_PR]] * 100</f>
        <v>-10.349417637271213</v>
      </c>
      <c r="M621">
        <f>Table1[[#This Row],[HIGH_PRICE]]-Table1[[#This Row],[LOW_PRICE]]</f>
        <v>12.299999999999997</v>
      </c>
      <c r="N621" t="str">
        <f>IF(Table1[[#This Row],[CLOSE_PRICE]]&gt;Table1[[#This Row],[OPEN_PRICE]],"Gain","Loss")</f>
        <v>Loss</v>
      </c>
      <c r="O621" t="str">
        <f>IF(Table1[[#This Row],[MARKET_CAP]]&gt;200000000000,"Large Cap",
IF(Table1[[#This Row],[MARKET_CAP]]&gt;50000000000,"Mid Cap","Small Cap"))</f>
        <v>Small Cap</v>
      </c>
      <c r="P621" t="str">
        <f>IF(Table1[[#This Row],[NET_TRDQTY]]&gt;1000000,"High Volume","Low Volume")</f>
        <v>Low Volume</v>
      </c>
    </row>
    <row r="622" spans="1:16" x14ac:dyDescent="0.3">
      <c r="A622" t="s">
        <v>1250</v>
      </c>
      <c r="B622" t="s">
        <v>1251</v>
      </c>
      <c r="C622">
        <v>1468.2</v>
      </c>
      <c r="D622">
        <v>1486</v>
      </c>
      <c r="E622">
        <v>1443.8</v>
      </c>
      <c r="F622">
        <v>1471.6</v>
      </c>
      <c r="G622">
        <v>1478.2</v>
      </c>
      <c r="H622">
        <v>120178</v>
      </c>
      <c r="I622">
        <v>17006</v>
      </c>
      <c r="J622">
        <v>279000000000</v>
      </c>
      <c r="K622">
        <v>189564847</v>
      </c>
      <c r="L622">
        <f>(Table1[[#This Row],[CLOSE_PRICE]] - Table1[[#This Row],[PREV_CL_PR]]) / Table1[[#This Row],[PREV_CL_PR]] * 100</f>
        <v>-0.44648897307537116</v>
      </c>
      <c r="M622">
        <f>Table1[[#This Row],[HIGH_PRICE]]-Table1[[#This Row],[LOW_PRICE]]</f>
        <v>42.200000000000045</v>
      </c>
      <c r="N622" t="str">
        <f>IF(Table1[[#This Row],[CLOSE_PRICE]]&gt;Table1[[#This Row],[OPEN_PRICE]],"Gain","Loss")</f>
        <v>Gain</v>
      </c>
      <c r="O622" t="str">
        <f>IF(Table1[[#This Row],[MARKET_CAP]]&gt;200000000000,"Large Cap",
IF(Table1[[#This Row],[MARKET_CAP]]&gt;50000000000,"Mid Cap","Small Cap"))</f>
        <v>Large Cap</v>
      </c>
      <c r="P622" t="str">
        <f>IF(Table1[[#This Row],[NET_TRDQTY]]&gt;1000000,"High Volume","Low Volume")</f>
        <v>Low Volume</v>
      </c>
    </row>
    <row r="623" spans="1:16" x14ac:dyDescent="0.3">
      <c r="A623" t="s">
        <v>1252</v>
      </c>
      <c r="B623" t="s">
        <v>1253</v>
      </c>
      <c r="C623">
        <v>91</v>
      </c>
      <c r="D623">
        <v>91.21</v>
      </c>
      <c r="E623">
        <v>85.09</v>
      </c>
      <c r="F623">
        <v>85.58</v>
      </c>
      <c r="G623">
        <v>92.01</v>
      </c>
      <c r="H623">
        <v>400938</v>
      </c>
      <c r="I623">
        <v>6639</v>
      </c>
      <c r="J623">
        <v>32926799052</v>
      </c>
      <c r="K623">
        <v>384748762</v>
      </c>
      <c r="L623">
        <f>(Table1[[#This Row],[CLOSE_PRICE]] - Table1[[#This Row],[PREV_CL_PR]]) / Table1[[#This Row],[PREV_CL_PR]] * 100</f>
        <v>-6.9883708292576969</v>
      </c>
      <c r="M623">
        <f>Table1[[#This Row],[HIGH_PRICE]]-Table1[[#This Row],[LOW_PRICE]]</f>
        <v>6.1199999999999903</v>
      </c>
      <c r="N623" t="str">
        <f>IF(Table1[[#This Row],[CLOSE_PRICE]]&gt;Table1[[#This Row],[OPEN_PRICE]],"Gain","Loss")</f>
        <v>Loss</v>
      </c>
      <c r="O623" t="str">
        <f>IF(Table1[[#This Row],[MARKET_CAP]]&gt;200000000000,"Large Cap",
IF(Table1[[#This Row],[MARKET_CAP]]&gt;50000000000,"Mid Cap","Small Cap"))</f>
        <v>Small Cap</v>
      </c>
      <c r="P623" t="str">
        <f>IF(Table1[[#This Row],[NET_TRDQTY]]&gt;1000000,"High Volume","Low Volume")</f>
        <v>Low Volume</v>
      </c>
    </row>
    <row r="624" spans="1:16" x14ac:dyDescent="0.3">
      <c r="A624" t="s">
        <v>1254</v>
      </c>
      <c r="B624" t="s">
        <v>1255</v>
      </c>
      <c r="C624">
        <v>212.02</v>
      </c>
      <c r="D624">
        <v>218.48</v>
      </c>
      <c r="E624">
        <v>206.6</v>
      </c>
      <c r="F624">
        <v>209.48</v>
      </c>
      <c r="G624">
        <v>222.67</v>
      </c>
      <c r="H624">
        <v>40749</v>
      </c>
      <c r="I624">
        <v>760</v>
      </c>
      <c r="J624">
        <v>5369488349</v>
      </c>
      <c r="K624">
        <v>25632463</v>
      </c>
      <c r="L624">
        <f>(Table1[[#This Row],[CLOSE_PRICE]] - Table1[[#This Row],[PREV_CL_PR]]) / Table1[[#This Row],[PREV_CL_PR]] * 100</f>
        <v>-5.9235640185027165</v>
      </c>
      <c r="M624">
        <f>Table1[[#This Row],[HIGH_PRICE]]-Table1[[#This Row],[LOW_PRICE]]</f>
        <v>11.879999999999995</v>
      </c>
      <c r="N624" t="str">
        <f>IF(Table1[[#This Row],[CLOSE_PRICE]]&gt;Table1[[#This Row],[OPEN_PRICE]],"Gain","Loss")</f>
        <v>Loss</v>
      </c>
      <c r="O624" t="str">
        <f>IF(Table1[[#This Row],[MARKET_CAP]]&gt;200000000000,"Large Cap",
IF(Table1[[#This Row],[MARKET_CAP]]&gt;50000000000,"Mid Cap","Small Cap"))</f>
        <v>Small Cap</v>
      </c>
      <c r="P624" t="str">
        <f>IF(Table1[[#This Row],[NET_TRDQTY]]&gt;1000000,"High Volume","Low Volume")</f>
        <v>Low Volume</v>
      </c>
    </row>
    <row r="625" spans="1:16" x14ac:dyDescent="0.3">
      <c r="A625" t="s">
        <v>1256</v>
      </c>
      <c r="B625" t="s">
        <v>1257</v>
      </c>
      <c r="C625">
        <v>75.97</v>
      </c>
      <c r="D625">
        <v>75.97</v>
      </c>
      <c r="E625">
        <v>70.22</v>
      </c>
      <c r="F625">
        <v>71.66</v>
      </c>
      <c r="G625">
        <v>76.3</v>
      </c>
      <c r="H625">
        <v>20211</v>
      </c>
      <c r="I625">
        <v>575</v>
      </c>
      <c r="J625">
        <v>1378756315</v>
      </c>
      <c r="K625">
        <v>19240250</v>
      </c>
      <c r="L625">
        <f>(Table1[[#This Row],[CLOSE_PRICE]] - Table1[[#This Row],[PREV_CL_PR]]) / Table1[[#This Row],[PREV_CL_PR]] * 100</f>
        <v>-6.0812581913499359</v>
      </c>
      <c r="M625">
        <f>Table1[[#This Row],[HIGH_PRICE]]-Table1[[#This Row],[LOW_PRICE]]</f>
        <v>5.75</v>
      </c>
      <c r="N625" t="str">
        <f>IF(Table1[[#This Row],[CLOSE_PRICE]]&gt;Table1[[#This Row],[OPEN_PRICE]],"Gain","Loss")</f>
        <v>Loss</v>
      </c>
      <c r="O625" t="str">
        <f>IF(Table1[[#This Row],[MARKET_CAP]]&gt;200000000000,"Large Cap",
IF(Table1[[#This Row],[MARKET_CAP]]&gt;50000000000,"Mid Cap","Small Cap"))</f>
        <v>Small Cap</v>
      </c>
      <c r="P625" t="str">
        <f>IF(Table1[[#This Row],[NET_TRDQTY]]&gt;1000000,"High Volume","Low Volume")</f>
        <v>Low Volume</v>
      </c>
    </row>
    <row r="626" spans="1:16" x14ac:dyDescent="0.3">
      <c r="A626" t="s">
        <v>1258</v>
      </c>
      <c r="B626" t="s">
        <v>1259</v>
      </c>
      <c r="C626">
        <v>226.99</v>
      </c>
      <c r="D626">
        <v>226.99</v>
      </c>
      <c r="E626">
        <v>215.1</v>
      </c>
      <c r="F626">
        <v>218.16</v>
      </c>
      <c r="G626">
        <v>228.57</v>
      </c>
      <c r="H626">
        <v>1689434</v>
      </c>
      <c r="I626">
        <v>26946</v>
      </c>
      <c r="J626">
        <v>151000000000</v>
      </c>
      <c r="K626">
        <v>692345033</v>
      </c>
      <c r="L626">
        <f>(Table1[[#This Row],[CLOSE_PRICE]] - Table1[[#This Row],[PREV_CL_PR]]) / Table1[[#This Row],[PREV_CL_PR]] * 100</f>
        <v>-4.5544034650216547</v>
      </c>
      <c r="M626">
        <f>Table1[[#This Row],[HIGH_PRICE]]-Table1[[#This Row],[LOW_PRICE]]</f>
        <v>11.890000000000015</v>
      </c>
      <c r="N626" t="str">
        <f>IF(Table1[[#This Row],[CLOSE_PRICE]]&gt;Table1[[#This Row],[OPEN_PRICE]],"Gain","Loss")</f>
        <v>Loss</v>
      </c>
      <c r="O626" t="str">
        <f>IF(Table1[[#This Row],[MARKET_CAP]]&gt;200000000000,"Large Cap",
IF(Table1[[#This Row],[MARKET_CAP]]&gt;50000000000,"Mid Cap","Small Cap"))</f>
        <v>Mid Cap</v>
      </c>
      <c r="P626" t="str">
        <f>IF(Table1[[#This Row],[NET_TRDQTY]]&gt;1000000,"High Volume","Low Volume")</f>
        <v>High Volume</v>
      </c>
    </row>
    <row r="627" spans="1:16" x14ac:dyDescent="0.3">
      <c r="A627" t="s">
        <v>1260</v>
      </c>
      <c r="B627" t="s">
        <v>1261</v>
      </c>
      <c r="C627">
        <v>295</v>
      </c>
      <c r="D627">
        <v>295</v>
      </c>
      <c r="E627">
        <v>275.60000000000002</v>
      </c>
      <c r="F627">
        <v>279.95</v>
      </c>
      <c r="G627">
        <v>297</v>
      </c>
      <c r="H627">
        <v>288605</v>
      </c>
      <c r="I627">
        <v>8941</v>
      </c>
      <c r="J627">
        <v>15545849420</v>
      </c>
      <c r="K627">
        <v>55530807</v>
      </c>
      <c r="L627">
        <f>(Table1[[#This Row],[CLOSE_PRICE]] - Table1[[#This Row],[PREV_CL_PR]]) / Table1[[#This Row],[PREV_CL_PR]] * 100</f>
        <v>-5.7407407407407449</v>
      </c>
      <c r="M627">
        <f>Table1[[#This Row],[HIGH_PRICE]]-Table1[[#This Row],[LOW_PRICE]]</f>
        <v>19.399999999999977</v>
      </c>
      <c r="N627" t="str">
        <f>IF(Table1[[#This Row],[CLOSE_PRICE]]&gt;Table1[[#This Row],[OPEN_PRICE]],"Gain","Loss")</f>
        <v>Loss</v>
      </c>
      <c r="O627" t="str">
        <f>IF(Table1[[#This Row],[MARKET_CAP]]&gt;200000000000,"Large Cap",
IF(Table1[[#This Row],[MARKET_CAP]]&gt;50000000000,"Mid Cap","Small Cap"))</f>
        <v>Small Cap</v>
      </c>
      <c r="P627" t="str">
        <f>IF(Table1[[#This Row],[NET_TRDQTY]]&gt;1000000,"High Volume","Low Volume")</f>
        <v>Low Volume</v>
      </c>
    </row>
    <row r="628" spans="1:16" x14ac:dyDescent="0.3">
      <c r="A628" t="s">
        <v>1262</v>
      </c>
      <c r="B628" t="s">
        <v>1263</v>
      </c>
      <c r="C628">
        <v>393.55</v>
      </c>
      <c r="D628">
        <v>393.55</v>
      </c>
      <c r="E628">
        <v>375.65</v>
      </c>
      <c r="F628">
        <v>383.2</v>
      </c>
      <c r="G628">
        <v>395.45</v>
      </c>
      <c r="H628">
        <v>157958</v>
      </c>
      <c r="I628">
        <v>7364</v>
      </c>
      <c r="J628">
        <v>31733446122</v>
      </c>
      <c r="K628">
        <v>82811707</v>
      </c>
      <c r="L628">
        <f>(Table1[[#This Row],[CLOSE_PRICE]] - Table1[[#This Row],[PREV_CL_PR]]) / Table1[[#This Row],[PREV_CL_PR]] * 100</f>
        <v>-3.0977367555948923</v>
      </c>
      <c r="M628">
        <f>Table1[[#This Row],[HIGH_PRICE]]-Table1[[#This Row],[LOW_PRICE]]</f>
        <v>17.900000000000034</v>
      </c>
      <c r="N628" t="str">
        <f>IF(Table1[[#This Row],[CLOSE_PRICE]]&gt;Table1[[#This Row],[OPEN_PRICE]],"Gain","Loss")</f>
        <v>Loss</v>
      </c>
      <c r="O628" t="str">
        <f>IF(Table1[[#This Row],[MARKET_CAP]]&gt;200000000000,"Large Cap",
IF(Table1[[#This Row],[MARKET_CAP]]&gt;50000000000,"Mid Cap","Small Cap"))</f>
        <v>Small Cap</v>
      </c>
      <c r="P628" t="str">
        <f>IF(Table1[[#This Row],[NET_TRDQTY]]&gt;1000000,"High Volume","Low Volume")</f>
        <v>Low Volume</v>
      </c>
    </row>
    <row r="629" spans="1:16" x14ac:dyDescent="0.3">
      <c r="A629" t="s">
        <v>1264</v>
      </c>
      <c r="B629" t="s">
        <v>1265</v>
      </c>
      <c r="C629">
        <v>2257.1</v>
      </c>
      <c r="D629">
        <v>2257.1</v>
      </c>
      <c r="E629">
        <v>2189.8000000000002</v>
      </c>
      <c r="F629">
        <v>2209.6</v>
      </c>
      <c r="G629">
        <v>2280.3000000000002</v>
      </c>
      <c r="H629">
        <v>91117</v>
      </c>
      <c r="I629">
        <v>16664</v>
      </c>
      <c r="J629">
        <v>311000000000</v>
      </c>
      <c r="K629">
        <v>140662848</v>
      </c>
      <c r="L629">
        <f>(Table1[[#This Row],[CLOSE_PRICE]] - Table1[[#This Row],[PREV_CL_PR]]) / Table1[[#This Row],[PREV_CL_PR]] * 100</f>
        <v>-3.1004692365039803</v>
      </c>
      <c r="M629">
        <f>Table1[[#This Row],[HIGH_PRICE]]-Table1[[#This Row],[LOW_PRICE]]</f>
        <v>67.299999999999727</v>
      </c>
      <c r="N629" t="str">
        <f>IF(Table1[[#This Row],[CLOSE_PRICE]]&gt;Table1[[#This Row],[OPEN_PRICE]],"Gain","Loss")</f>
        <v>Loss</v>
      </c>
      <c r="O629" t="str">
        <f>IF(Table1[[#This Row],[MARKET_CAP]]&gt;200000000000,"Large Cap",
IF(Table1[[#This Row],[MARKET_CAP]]&gt;50000000000,"Mid Cap","Small Cap"))</f>
        <v>Large Cap</v>
      </c>
      <c r="P629" t="str">
        <f>IF(Table1[[#This Row],[NET_TRDQTY]]&gt;1000000,"High Volume","Low Volume")</f>
        <v>Low Volume</v>
      </c>
    </row>
    <row r="630" spans="1:16" x14ac:dyDescent="0.3">
      <c r="A630" t="s">
        <v>1266</v>
      </c>
      <c r="B630" t="s">
        <v>1267</v>
      </c>
      <c r="C630">
        <v>15.05</v>
      </c>
      <c r="D630">
        <v>15.66</v>
      </c>
      <c r="E630">
        <v>14.41</v>
      </c>
      <c r="F630">
        <v>14.45</v>
      </c>
      <c r="G630">
        <v>15.13</v>
      </c>
      <c r="H630">
        <v>56308</v>
      </c>
      <c r="I630">
        <v>369</v>
      </c>
      <c r="J630">
        <v>686375000</v>
      </c>
      <c r="K630">
        <v>47500000</v>
      </c>
      <c r="L630">
        <f>(Table1[[#This Row],[CLOSE_PRICE]] - Table1[[#This Row],[PREV_CL_PR]]) / Table1[[#This Row],[PREV_CL_PR]] * 100</f>
        <v>-4.4943820224719193</v>
      </c>
      <c r="M630">
        <f>Table1[[#This Row],[HIGH_PRICE]]-Table1[[#This Row],[LOW_PRICE]]</f>
        <v>1.25</v>
      </c>
      <c r="N630" t="str">
        <f>IF(Table1[[#This Row],[CLOSE_PRICE]]&gt;Table1[[#This Row],[OPEN_PRICE]],"Gain","Loss")</f>
        <v>Loss</v>
      </c>
      <c r="O630" t="str">
        <f>IF(Table1[[#This Row],[MARKET_CAP]]&gt;200000000000,"Large Cap",
IF(Table1[[#This Row],[MARKET_CAP]]&gt;50000000000,"Mid Cap","Small Cap"))</f>
        <v>Small Cap</v>
      </c>
      <c r="P630" t="str">
        <f>IF(Table1[[#This Row],[NET_TRDQTY]]&gt;1000000,"High Volume","Low Volume")</f>
        <v>Low Volume</v>
      </c>
    </row>
    <row r="631" spans="1:16" x14ac:dyDescent="0.3">
      <c r="A631" t="s">
        <v>1268</v>
      </c>
      <c r="B631" t="s">
        <v>1269</v>
      </c>
      <c r="C631">
        <v>188</v>
      </c>
      <c r="D631">
        <v>189.81</v>
      </c>
      <c r="E631">
        <v>179.01</v>
      </c>
      <c r="F631">
        <v>181.29</v>
      </c>
      <c r="G631">
        <v>191.64</v>
      </c>
      <c r="H631">
        <v>3151165</v>
      </c>
      <c r="I631">
        <v>35631</v>
      </c>
      <c r="J631">
        <v>102000000000</v>
      </c>
      <c r="K631">
        <v>562042373</v>
      </c>
      <c r="L631">
        <f>(Table1[[#This Row],[CLOSE_PRICE]] - Table1[[#This Row],[PREV_CL_PR]]) / Table1[[#This Row],[PREV_CL_PR]] * 100</f>
        <v>-5.4007514088916695</v>
      </c>
      <c r="M631">
        <f>Table1[[#This Row],[HIGH_PRICE]]-Table1[[#This Row],[LOW_PRICE]]</f>
        <v>10.800000000000011</v>
      </c>
      <c r="N631" t="str">
        <f>IF(Table1[[#This Row],[CLOSE_PRICE]]&gt;Table1[[#This Row],[OPEN_PRICE]],"Gain","Loss")</f>
        <v>Loss</v>
      </c>
      <c r="O631" t="str">
        <f>IF(Table1[[#This Row],[MARKET_CAP]]&gt;200000000000,"Large Cap",
IF(Table1[[#This Row],[MARKET_CAP]]&gt;50000000000,"Mid Cap","Small Cap"))</f>
        <v>Mid Cap</v>
      </c>
      <c r="P631" t="str">
        <f>IF(Table1[[#This Row],[NET_TRDQTY]]&gt;1000000,"High Volume","Low Volume")</f>
        <v>High Volume</v>
      </c>
    </row>
    <row r="632" spans="1:16" x14ac:dyDescent="0.3">
      <c r="A632" t="s">
        <v>1270</v>
      </c>
      <c r="B632" t="s">
        <v>1271</v>
      </c>
      <c r="C632">
        <v>104.9</v>
      </c>
      <c r="D632">
        <v>106.24</v>
      </c>
      <c r="E632">
        <v>104.9</v>
      </c>
      <c r="F632">
        <v>105.01</v>
      </c>
      <c r="G632">
        <v>105.86</v>
      </c>
      <c r="H632">
        <v>25210</v>
      </c>
      <c r="I632">
        <v>215</v>
      </c>
      <c r="J632">
        <v>5005870279</v>
      </c>
      <c r="K632">
        <v>47670415</v>
      </c>
      <c r="L632">
        <f>(Table1[[#This Row],[CLOSE_PRICE]] - Table1[[#This Row],[PREV_CL_PR]]) / Table1[[#This Row],[PREV_CL_PR]] * 100</f>
        <v>-0.80294728887208988</v>
      </c>
      <c r="M632">
        <f>Table1[[#This Row],[HIGH_PRICE]]-Table1[[#This Row],[LOW_PRICE]]</f>
        <v>1.3399999999999892</v>
      </c>
      <c r="N632" t="str">
        <f>IF(Table1[[#This Row],[CLOSE_PRICE]]&gt;Table1[[#This Row],[OPEN_PRICE]],"Gain","Loss")</f>
        <v>Gain</v>
      </c>
      <c r="O632" t="str">
        <f>IF(Table1[[#This Row],[MARKET_CAP]]&gt;200000000000,"Large Cap",
IF(Table1[[#This Row],[MARKET_CAP]]&gt;50000000000,"Mid Cap","Small Cap"))</f>
        <v>Small Cap</v>
      </c>
      <c r="P632" t="str">
        <f>IF(Table1[[#This Row],[NET_TRDQTY]]&gt;1000000,"High Volume","Low Volume")</f>
        <v>Low Volume</v>
      </c>
    </row>
    <row r="633" spans="1:16" x14ac:dyDescent="0.3">
      <c r="A633" t="s">
        <v>1272</v>
      </c>
      <c r="B633" t="s">
        <v>1273</v>
      </c>
      <c r="C633">
        <v>1124.9000000000001</v>
      </c>
      <c r="D633">
        <v>1188.7</v>
      </c>
      <c r="E633">
        <v>1088.5999999999999</v>
      </c>
      <c r="F633">
        <v>1161.3</v>
      </c>
      <c r="G633">
        <v>1120.9000000000001</v>
      </c>
      <c r="H633">
        <v>317933</v>
      </c>
      <c r="I633">
        <v>20138</v>
      </c>
      <c r="J633">
        <v>50529251138</v>
      </c>
      <c r="K633">
        <v>43510937</v>
      </c>
      <c r="L633">
        <f>(Table1[[#This Row],[CLOSE_PRICE]] - Table1[[#This Row],[PREV_CL_PR]]) / Table1[[#This Row],[PREV_CL_PR]] * 100</f>
        <v>3.6042465875635523</v>
      </c>
      <c r="M633">
        <f>Table1[[#This Row],[HIGH_PRICE]]-Table1[[#This Row],[LOW_PRICE]]</f>
        <v>100.10000000000014</v>
      </c>
      <c r="N633" t="str">
        <f>IF(Table1[[#This Row],[CLOSE_PRICE]]&gt;Table1[[#This Row],[OPEN_PRICE]],"Gain","Loss")</f>
        <v>Gain</v>
      </c>
      <c r="O633" t="str">
        <f>IF(Table1[[#This Row],[MARKET_CAP]]&gt;200000000000,"Large Cap",
IF(Table1[[#This Row],[MARKET_CAP]]&gt;50000000000,"Mid Cap","Small Cap"))</f>
        <v>Mid Cap</v>
      </c>
      <c r="P633" t="str">
        <f>IF(Table1[[#This Row],[NET_TRDQTY]]&gt;1000000,"High Volume","Low Volume")</f>
        <v>Low Volume</v>
      </c>
    </row>
    <row r="634" spans="1:16" x14ac:dyDescent="0.3">
      <c r="A634" t="s">
        <v>1274</v>
      </c>
      <c r="B634" t="s">
        <v>1275</v>
      </c>
      <c r="C634">
        <v>232.68</v>
      </c>
      <c r="D634">
        <v>232.68</v>
      </c>
      <c r="E634">
        <v>220.25</v>
      </c>
      <c r="F634">
        <v>222.6</v>
      </c>
      <c r="G634">
        <v>234.7</v>
      </c>
      <c r="H634">
        <v>780643</v>
      </c>
      <c r="I634">
        <v>11874</v>
      </c>
      <c r="J634">
        <v>21420458980</v>
      </c>
      <c r="K634">
        <v>96228477</v>
      </c>
      <c r="L634">
        <f>(Table1[[#This Row],[CLOSE_PRICE]] - Table1[[#This Row],[PREV_CL_PR]]) / Table1[[#This Row],[PREV_CL_PR]] * 100</f>
        <v>-5.15551768214742</v>
      </c>
      <c r="M634">
        <f>Table1[[#This Row],[HIGH_PRICE]]-Table1[[#This Row],[LOW_PRICE]]</f>
        <v>12.430000000000007</v>
      </c>
      <c r="N634" t="str">
        <f>IF(Table1[[#This Row],[CLOSE_PRICE]]&gt;Table1[[#This Row],[OPEN_PRICE]],"Gain","Loss")</f>
        <v>Loss</v>
      </c>
      <c r="O634" t="str">
        <f>IF(Table1[[#This Row],[MARKET_CAP]]&gt;200000000000,"Large Cap",
IF(Table1[[#This Row],[MARKET_CAP]]&gt;50000000000,"Mid Cap","Small Cap"))</f>
        <v>Small Cap</v>
      </c>
      <c r="P634" t="str">
        <f>IF(Table1[[#This Row],[NET_TRDQTY]]&gt;1000000,"High Volume","Low Volume")</f>
        <v>Low Volume</v>
      </c>
    </row>
    <row r="635" spans="1:16" x14ac:dyDescent="0.3">
      <c r="A635" t="s">
        <v>1276</v>
      </c>
      <c r="B635" t="s">
        <v>1277</v>
      </c>
      <c r="C635">
        <v>144.61000000000001</v>
      </c>
      <c r="D635">
        <v>146.43</v>
      </c>
      <c r="E635">
        <v>141.24</v>
      </c>
      <c r="F635">
        <v>141.5</v>
      </c>
      <c r="G635">
        <v>148.66999999999999</v>
      </c>
      <c r="H635">
        <v>454005</v>
      </c>
      <c r="I635">
        <v>4119</v>
      </c>
      <c r="J635">
        <v>14213957576</v>
      </c>
      <c r="K635">
        <v>100451997</v>
      </c>
      <c r="L635">
        <f>(Table1[[#This Row],[CLOSE_PRICE]] - Table1[[#This Row],[PREV_CL_PR]]) / Table1[[#This Row],[PREV_CL_PR]] * 100</f>
        <v>-4.822761821483815</v>
      </c>
      <c r="M635">
        <f>Table1[[#This Row],[HIGH_PRICE]]-Table1[[#This Row],[LOW_PRICE]]</f>
        <v>5.1899999999999977</v>
      </c>
      <c r="N635" t="str">
        <f>IF(Table1[[#This Row],[CLOSE_PRICE]]&gt;Table1[[#This Row],[OPEN_PRICE]],"Gain","Loss")</f>
        <v>Loss</v>
      </c>
      <c r="O635" t="str">
        <f>IF(Table1[[#This Row],[MARKET_CAP]]&gt;200000000000,"Large Cap",
IF(Table1[[#This Row],[MARKET_CAP]]&gt;50000000000,"Mid Cap","Small Cap"))</f>
        <v>Small Cap</v>
      </c>
      <c r="P635" t="str">
        <f>IF(Table1[[#This Row],[NET_TRDQTY]]&gt;1000000,"High Volume","Low Volume")</f>
        <v>Low Volume</v>
      </c>
    </row>
    <row r="636" spans="1:16" x14ac:dyDescent="0.3">
      <c r="A636" t="s">
        <v>1278</v>
      </c>
      <c r="B636" t="s">
        <v>1279</v>
      </c>
      <c r="C636">
        <v>837.7</v>
      </c>
      <c r="D636">
        <v>851</v>
      </c>
      <c r="E636">
        <v>811.7</v>
      </c>
      <c r="F636">
        <v>818.5</v>
      </c>
      <c r="G636">
        <v>845.7</v>
      </c>
      <c r="H636">
        <v>71157</v>
      </c>
      <c r="I636">
        <v>4036</v>
      </c>
      <c r="J636">
        <v>35311185153</v>
      </c>
      <c r="K636">
        <v>43141338</v>
      </c>
      <c r="L636">
        <f>(Table1[[#This Row],[CLOSE_PRICE]] - Table1[[#This Row],[PREV_CL_PR]]) / Table1[[#This Row],[PREV_CL_PR]] * 100</f>
        <v>-3.2162705451105644</v>
      </c>
      <c r="M636">
        <f>Table1[[#This Row],[HIGH_PRICE]]-Table1[[#This Row],[LOW_PRICE]]</f>
        <v>39.299999999999955</v>
      </c>
      <c r="N636" t="str">
        <f>IF(Table1[[#This Row],[CLOSE_PRICE]]&gt;Table1[[#This Row],[OPEN_PRICE]],"Gain","Loss")</f>
        <v>Loss</v>
      </c>
      <c r="O636" t="str">
        <f>IF(Table1[[#This Row],[MARKET_CAP]]&gt;200000000000,"Large Cap",
IF(Table1[[#This Row],[MARKET_CAP]]&gt;50000000000,"Mid Cap","Small Cap"))</f>
        <v>Small Cap</v>
      </c>
      <c r="P636" t="str">
        <f>IF(Table1[[#This Row],[NET_TRDQTY]]&gt;1000000,"High Volume","Low Volume")</f>
        <v>Low Volume</v>
      </c>
    </row>
    <row r="637" spans="1:16" x14ac:dyDescent="0.3">
      <c r="A637" t="s">
        <v>1280</v>
      </c>
      <c r="B637" t="s">
        <v>1281</v>
      </c>
      <c r="C637">
        <v>187.04</v>
      </c>
      <c r="D637">
        <v>187.82</v>
      </c>
      <c r="E637">
        <v>182.06</v>
      </c>
      <c r="F637">
        <v>183.53</v>
      </c>
      <c r="G637">
        <v>190.68</v>
      </c>
      <c r="H637">
        <v>401979</v>
      </c>
      <c r="I637">
        <v>11182</v>
      </c>
      <c r="J637">
        <v>58780258868</v>
      </c>
      <c r="K637">
        <v>320276025</v>
      </c>
      <c r="L637">
        <f>(Table1[[#This Row],[CLOSE_PRICE]] - Table1[[#This Row],[PREV_CL_PR]]) / Table1[[#This Row],[PREV_CL_PR]] * 100</f>
        <v>-3.7497377805747876</v>
      </c>
      <c r="M637">
        <f>Table1[[#This Row],[HIGH_PRICE]]-Table1[[#This Row],[LOW_PRICE]]</f>
        <v>5.7599999999999909</v>
      </c>
      <c r="N637" t="str">
        <f>IF(Table1[[#This Row],[CLOSE_PRICE]]&gt;Table1[[#This Row],[OPEN_PRICE]],"Gain","Loss")</f>
        <v>Loss</v>
      </c>
      <c r="O637" t="str">
        <f>IF(Table1[[#This Row],[MARKET_CAP]]&gt;200000000000,"Large Cap",
IF(Table1[[#This Row],[MARKET_CAP]]&gt;50000000000,"Mid Cap","Small Cap"))</f>
        <v>Mid Cap</v>
      </c>
      <c r="P637" t="str">
        <f>IF(Table1[[#This Row],[NET_TRDQTY]]&gt;1000000,"High Volume","Low Volume")</f>
        <v>Low Volume</v>
      </c>
    </row>
    <row r="638" spans="1:16" x14ac:dyDescent="0.3">
      <c r="A638" t="s">
        <v>1282</v>
      </c>
      <c r="B638" t="s">
        <v>1283</v>
      </c>
      <c r="C638">
        <v>56</v>
      </c>
      <c r="D638">
        <v>56</v>
      </c>
      <c r="E638">
        <v>53.26</v>
      </c>
      <c r="F638">
        <v>54.48</v>
      </c>
      <c r="G638">
        <v>57.01</v>
      </c>
      <c r="H638">
        <v>3491379</v>
      </c>
      <c r="I638">
        <v>18573</v>
      </c>
      <c r="J638">
        <v>62146419771</v>
      </c>
      <c r="K638">
        <v>1140719893</v>
      </c>
      <c r="L638">
        <f>(Table1[[#This Row],[CLOSE_PRICE]] - Table1[[#This Row],[PREV_CL_PR]]) / Table1[[#This Row],[PREV_CL_PR]] * 100</f>
        <v>-4.4378179266795321</v>
      </c>
      <c r="M638">
        <f>Table1[[#This Row],[HIGH_PRICE]]-Table1[[#This Row],[LOW_PRICE]]</f>
        <v>2.740000000000002</v>
      </c>
      <c r="N638" t="str">
        <f>IF(Table1[[#This Row],[CLOSE_PRICE]]&gt;Table1[[#This Row],[OPEN_PRICE]],"Gain","Loss")</f>
        <v>Loss</v>
      </c>
      <c r="O638" t="str">
        <f>IF(Table1[[#This Row],[MARKET_CAP]]&gt;200000000000,"Large Cap",
IF(Table1[[#This Row],[MARKET_CAP]]&gt;50000000000,"Mid Cap","Small Cap"))</f>
        <v>Mid Cap</v>
      </c>
      <c r="P638" t="str">
        <f>IF(Table1[[#This Row],[NET_TRDQTY]]&gt;1000000,"High Volume","Low Volume")</f>
        <v>High Volume</v>
      </c>
    </row>
    <row r="639" spans="1:16" x14ac:dyDescent="0.3">
      <c r="A639" t="s">
        <v>1284</v>
      </c>
      <c r="B639" t="s">
        <v>1285</v>
      </c>
      <c r="C639">
        <v>1291.7</v>
      </c>
      <c r="D639">
        <v>1295</v>
      </c>
      <c r="E639">
        <v>1236</v>
      </c>
      <c r="F639">
        <v>1271</v>
      </c>
      <c r="G639">
        <v>1284.9000000000001</v>
      </c>
      <c r="H639">
        <v>79989</v>
      </c>
      <c r="I639">
        <v>12192</v>
      </c>
      <c r="J639">
        <v>173000000000</v>
      </c>
      <c r="K639">
        <v>136216891</v>
      </c>
      <c r="L639">
        <f>(Table1[[#This Row],[CLOSE_PRICE]] - Table1[[#This Row],[PREV_CL_PR]]) / Table1[[#This Row],[PREV_CL_PR]] * 100</f>
        <v>-1.0817962487353172</v>
      </c>
      <c r="M639">
        <f>Table1[[#This Row],[HIGH_PRICE]]-Table1[[#This Row],[LOW_PRICE]]</f>
        <v>59</v>
      </c>
      <c r="N639" t="str">
        <f>IF(Table1[[#This Row],[CLOSE_PRICE]]&gt;Table1[[#This Row],[OPEN_PRICE]],"Gain","Loss")</f>
        <v>Loss</v>
      </c>
      <c r="O639" t="str">
        <f>IF(Table1[[#This Row],[MARKET_CAP]]&gt;200000000000,"Large Cap",
IF(Table1[[#This Row],[MARKET_CAP]]&gt;50000000000,"Mid Cap","Small Cap"))</f>
        <v>Mid Cap</v>
      </c>
      <c r="P639" t="str">
        <f>IF(Table1[[#This Row],[NET_TRDQTY]]&gt;1000000,"High Volume","Low Volume")</f>
        <v>Low Volume</v>
      </c>
    </row>
    <row r="640" spans="1:16" x14ac:dyDescent="0.3">
      <c r="A640" t="s">
        <v>1286</v>
      </c>
      <c r="B640" t="s">
        <v>1287</v>
      </c>
      <c r="C640">
        <v>5325</v>
      </c>
      <c r="D640">
        <v>5379</v>
      </c>
      <c r="E640">
        <v>5127</v>
      </c>
      <c r="F640">
        <v>5153.5</v>
      </c>
      <c r="G640">
        <v>5406</v>
      </c>
      <c r="H640">
        <v>4430</v>
      </c>
      <c r="I640">
        <v>1375</v>
      </c>
      <c r="J640">
        <v>79327928570</v>
      </c>
      <c r="K640">
        <v>15393020</v>
      </c>
      <c r="L640">
        <f>(Table1[[#This Row],[CLOSE_PRICE]] - Table1[[#This Row],[PREV_CL_PR]]) / Table1[[#This Row],[PREV_CL_PR]] * 100</f>
        <v>-4.6707362190159083</v>
      </c>
      <c r="M640">
        <f>Table1[[#This Row],[HIGH_PRICE]]-Table1[[#This Row],[LOW_PRICE]]</f>
        <v>252</v>
      </c>
      <c r="N640" t="str">
        <f>IF(Table1[[#This Row],[CLOSE_PRICE]]&gt;Table1[[#This Row],[OPEN_PRICE]],"Gain","Loss")</f>
        <v>Loss</v>
      </c>
      <c r="O640" t="str">
        <f>IF(Table1[[#This Row],[MARKET_CAP]]&gt;200000000000,"Large Cap",
IF(Table1[[#This Row],[MARKET_CAP]]&gt;50000000000,"Mid Cap","Small Cap"))</f>
        <v>Mid Cap</v>
      </c>
      <c r="P640" t="str">
        <f>IF(Table1[[#This Row],[NET_TRDQTY]]&gt;1000000,"High Volume","Low Volume")</f>
        <v>Low Volume</v>
      </c>
    </row>
    <row r="641" spans="1:16" x14ac:dyDescent="0.3">
      <c r="A641" t="s">
        <v>1288</v>
      </c>
      <c r="B641" t="s">
        <v>1289</v>
      </c>
      <c r="C641">
        <v>23</v>
      </c>
      <c r="D641">
        <v>23.06</v>
      </c>
      <c r="E641">
        <v>22.57</v>
      </c>
      <c r="F641">
        <v>22.73</v>
      </c>
      <c r="G641">
        <v>23.06</v>
      </c>
      <c r="H641">
        <v>505210</v>
      </c>
      <c r="I641">
        <v>2207</v>
      </c>
      <c r="J641">
        <v>11718968403</v>
      </c>
      <c r="K641">
        <v>515572741</v>
      </c>
      <c r="L641">
        <f>(Table1[[#This Row],[CLOSE_PRICE]] - Table1[[#This Row],[PREV_CL_PR]]) / Table1[[#This Row],[PREV_CL_PR]] * 100</f>
        <v>-1.4310494362532451</v>
      </c>
      <c r="M641">
        <f>Table1[[#This Row],[HIGH_PRICE]]-Table1[[#This Row],[LOW_PRICE]]</f>
        <v>0.48999999999999844</v>
      </c>
      <c r="N641" t="str">
        <f>IF(Table1[[#This Row],[CLOSE_PRICE]]&gt;Table1[[#This Row],[OPEN_PRICE]],"Gain","Loss")</f>
        <v>Loss</v>
      </c>
      <c r="O641" t="str">
        <f>IF(Table1[[#This Row],[MARKET_CAP]]&gt;200000000000,"Large Cap",
IF(Table1[[#This Row],[MARKET_CAP]]&gt;50000000000,"Mid Cap","Small Cap"))</f>
        <v>Small Cap</v>
      </c>
      <c r="P641" t="str">
        <f>IF(Table1[[#This Row],[NET_TRDQTY]]&gt;1000000,"High Volume","Low Volume")</f>
        <v>Low Volume</v>
      </c>
    </row>
    <row r="642" spans="1:16" x14ac:dyDescent="0.3">
      <c r="A642" t="s">
        <v>1290</v>
      </c>
      <c r="B642" t="s">
        <v>1291</v>
      </c>
      <c r="C642">
        <v>3023</v>
      </c>
      <c r="D642">
        <v>3032.2</v>
      </c>
      <c r="E642">
        <v>2835</v>
      </c>
      <c r="F642">
        <v>2871.6</v>
      </c>
      <c r="G642">
        <v>3059.4</v>
      </c>
      <c r="H642">
        <v>172724</v>
      </c>
      <c r="I642">
        <v>22015</v>
      </c>
      <c r="J642">
        <v>321000000000</v>
      </c>
      <c r="K642">
        <v>111877754</v>
      </c>
      <c r="L642">
        <f>(Table1[[#This Row],[CLOSE_PRICE]] - Table1[[#This Row],[PREV_CL_PR]]) / Table1[[#This Row],[PREV_CL_PR]] * 100</f>
        <v>-6.1384585212786877</v>
      </c>
      <c r="M642">
        <f>Table1[[#This Row],[HIGH_PRICE]]-Table1[[#This Row],[LOW_PRICE]]</f>
        <v>197.19999999999982</v>
      </c>
      <c r="N642" t="str">
        <f>IF(Table1[[#This Row],[CLOSE_PRICE]]&gt;Table1[[#This Row],[OPEN_PRICE]],"Gain","Loss")</f>
        <v>Loss</v>
      </c>
      <c r="O642" t="str">
        <f>IF(Table1[[#This Row],[MARKET_CAP]]&gt;200000000000,"Large Cap",
IF(Table1[[#This Row],[MARKET_CAP]]&gt;50000000000,"Mid Cap","Small Cap"))</f>
        <v>Large Cap</v>
      </c>
      <c r="P642" t="str">
        <f>IF(Table1[[#This Row],[NET_TRDQTY]]&gt;1000000,"High Volume","Low Volume")</f>
        <v>Low Volume</v>
      </c>
    </row>
    <row r="643" spans="1:16" x14ac:dyDescent="0.3">
      <c r="A643" t="s">
        <v>1292</v>
      </c>
      <c r="B643" t="s">
        <v>1293</v>
      </c>
      <c r="C643">
        <v>23.21</v>
      </c>
      <c r="D643">
        <v>23.49</v>
      </c>
      <c r="E643">
        <v>21.96</v>
      </c>
      <c r="F643">
        <v>22.06</v>
      </c>
      <c r="G643">
        <v>23.59</v>
      </c>
      <c r="H643">
        <v>280368</v>
      </c>
      <c r="I643">
        <v>1676</v>
      </c>
      <c r="J643">
        <v>4565892148</v>
      </c>
      <c r="K643">
        <v>206976072</v>
      </c>
      <c r="L643">
        <f>(Table1[[#This Row],[CLOSE_PRICE]] - Table1[[#This Row],[PREV_CL_PR]]) / Table1[[#This Row],[PREV_CL_PR]] * 100</f>
        <v>-6.4857990674014463</v>
      </c>
      <c r="M643">
        <f>Table1[[#This Row],[HIGH_PRICE]]-Table1[[#This Row],[LOW_PRICE]]</f>
        <v>1.5299999999999976</v>
      </c>
      <c r="N643" t="str">
        <f>IF(Table1[[#This Row],[CLOSE_PRICE]]&gt;Table1[[#This Row],[OPEN_PRICE]],"Gain","Loss")</f>
        <v>Loss</v>
      </c>
      <c r="O643" t="str">
        <f>IF(Table1[[#This Row],[MARKET_CAP]]&gt;200000000000,"Large Cap",
IF(Table1[[#This Row],[MARKET_CAP]]&gt;50000000000,"Mid Cap","Small Cap"))</f>
        <v>Small Cap</v>
      </c>
      <c r="P643" t="str">
        <f>IF(Table1[[#This Row],[NET_TRDQTY]]&gt;1000000,"High Volume","Low Volume")</f>
        <v>Low Volume</v>
      </c>
    </row>
    <row r="644" spans="1:16" x14ac:dyDescent="0.3">
      <c r="A644" t="s">
        <v>1294</v>
      </c>
      <c r="B644" t="s">
        <v>1295</v>
      </c>
      <c r="C644">
        <v>1.25</v>
      </c>
      <c r="D644">
        <v>1.26</v>
      </c>
      <c r="E644">
        <v>1.1599999999999999</v>
      </c>
      <c r="F644">
        <v>1.18</v>
      </c>
      <c r="G644">
        <v>1.25</v>
      </c>
      <c r="H644">
        <v>2160540</v>
      </c>
      <c r="I644">
        <v>1444</v>
      </c>
      <c r="J644">
        <v>1259874842</v>
      </c>
      <c r="K644">
        <v>1067690544</v>
      </c>
      <c r="L644">
        <f>(Table1[[#This Row],[CLOSE_PRICE]] - Table1[[#This Row],[PREV_CL_PR]]) / Table1[[#This Row],[PREV_CL_PR]] * 100</f>
        <v>-5.600000000000005</v>
      </c>
      <c r="M644">
        <f>Table1[[#This Row],[HIGH_PRICE]]-Table1[[#This Row],[LOW_PRICE]]</f>
        <v>0.10000000000000009</v>
      </c>
      <c r="N644" t="str">
        <f>IF(Table1[[#This Row],[CLOSE_PRICE]]&gt;Table1[[#This Row],[OPEN_PRICE]],"Gain","Loss")</f>
        <v>Loss</v>
      </c>
      <c r="O644" t="str">
        <f>IF(Table1[[#This Row],[MARKET_CAP]]&gt;200000000000,"Large Cap",
IF(Table1[[#This Row],[MARKET_CAP]]&gt;50000000000,"Mid Cap","Small Cap"))</f>
        <v>Small Cap</v>
      </c>
      <c r="P644" t="str">
        <f>IF(Table1[[#This Row],[NET_TRDQTY]]&gt;1000000,"High Volume","Low Volume")</f>
        <v>High Volume</v>
      </c>
    </row>
    <row r="645" spans="1:16" x14ac:dyDescent="0.3">
      <c r="A645" t="s">
        <v>1296</v>
      </c>
      <c r="B645" t="s">
        <v>1297</v>
      </c>
      <c r="C645">
        <v>92.4</v>
      </c>
      <c r="D645">
        <v>92.84</v>
      </c>
      <c r="E645">
        <v>88.15</v>
      </c>
      <c r="F645">
        <v>88.76</v>
      </c>
      <c r="G645">
        <v>91.52</v>
      </c>
      <c r="H645">
        <v>156994</v>
      </c>
      <c r="I645">
        <v>1717</v>
      </c>
      <c r="J645">
        <v>8661750313</v>
      </c>
      <c r="K645">
        <v>97586191</v>
      </c>
      <c r="L645">
        <f>(Table1[[#This Row],[CLOSE_PRICE]] - Table1[[#This Row],[PREV_CL_PR]]) / Table1[[#This Row],[PREV_CL_PR]] * 100</f>
        <v>-3.0157342657342561</v>
      </c>
      <c r="M645">
        <f>Table1[[#This Row],[HIGH_PRICE]]-Table1[[#This Row],[LOW_PRICE]]</f>
        <v>4.6899999999999977</v>
      </c>
      <c r="N645" t="str">
        <f>IF(Table1[[#This Row],[CLOSE_PRICE]]&gt;Table1[[#This Row],[OPEN_PRICE]],"Gain","Loss")</f>
        <v>Loss</v>
      </c>
      <c r="O645" t="str">
        <f>IF(Table1[[#This Row],[MARKET_CAP]]&gt;200000000000,"Large Cap",
IF(Table1[[#This Row],[MARKET_CAP]]&gt;50000000000,"Mid Cap","Small Cap"))</f>
        <v>Small Cap</v>
      </c>
      <c r="P645" t="str">
        <f>IF(Table1[[#This Row],[NET_TRDQTY]]&gt;1000000,"High Volume","Low Volume")</f>
        <v>Low Volume</v>
      </c>
    </row>
    <row r="646" spans="1:16" x14ac:dyDescent="0.3">
      <c r="A646" t="s">
        <v>1298</v>
      </c>
      <c r="B646" t="s">
        <v>1299</v>
      </c>
      <c r="C646">
        <v>2228</v>
      </c>
      <c r="D646">
        <v>2228</v>
      </c>
      <c r="E646">
        <v>2109.1999999999998</v>
      </c>
      <c r="F646">
        <v>2152.5</v>
      </c>
      <c r="G646">
        <v>2237</v>
      </c>
      <c r="H646">
        <v>38929</v>
      </c>
      <c r="I646">
        <v>6887</v>
      </c>
      <c r="J646">
        <v>57595934183</v>
      </c>
      <c r="K646">
        <v>26757693</v>
      </c>
      <c r="L646">
        <f>(Table1[[#This Row],[CLOSE_PRICE]] - Table1[[#This Row],[PREV_CL_PR]]) / Table1[[#This Row],[PREV_CL_PR]] * 100</f>
        <v>-3.7773804202056325</v>
      </c>
      <c r="M646">
        <f>Table1[[#This Row],[HIGH_PRICE]]-Table1[[#This Row],[LOW_PRICE]]</f>
        <v>118.80000000000018</v>
      </c>
      <c r="N646" t="str">
        <f>IF(Table1[[#This Row],[CLOSE_PRICE]]&gt;Table1[[#This Row],[OPEN_PRICE]],"Gain","Loss")</f>
        <v>Loss</v>
      </c>
      <c r="O646" t="str">
        <f>IF(Table1[[#This Row],[MARKET_CAP]]&gt;200000000000,"Large Cap",
IF(Table1[[#This Row],[MARKET_CAP]]&gt;50000000000,"Mid Cap","Small Cap"))</f>
        <v>Mid Cap</v>
      </c>
      <c r="P646" t="str">
        <f>IF(Table1[[#This Row],[NET_TRDQTY]]&gt;1000000,"High Volume","Low Volume")</f>
        <v>Low Volume</v>
      </c>
    </row>
    <row r="647" spans="1:16" x14ac:dyDescent="0.3">
      <c r="A647" t="s">
        <v>1300</v>
      </c>
      <c r="B647" t="s">
        <v>1301</v>
      </c>
      <c r="C647">
        <v>459</v>
      </c>
      <c r="D647">
        <v>459.8</v>
      </c>
      <c r="E647">
        <v>428</v>
      </c>
      <c r="F647">
        <v>435.6</v>
      </c>
      <c r="G647">
        <v>462.5</v>
      </c>
      <c r="H647">
        <v>303438</v>
      </c>
      <c r="I647">
        <v>20605</v>
      </c>
      <c r="J647">
        <v>84246647800</v>
      </c>
      <c r="K647">
        <v>193403691</v>
      </c>
      <c r="L647">
        <f>(Table1[[#This Row],[CLOSE_PRICE]] - Table1[[#This Row],[PREV_CL_PR]]) / Table1[[#This Row],[PREV_CL_PR]] * 100</f>
        <v>-5.816216216216211</v>
      </c>
      <c r="M647">
        <f>Table1[[#This Row],[HIGH_PRICE]]-Table1[[#This Row],[LOW_PRICE]]</f>
        <v>31.800000000000011</v>
      </c>
      <c r="N647" t="str">
        <f>IF(Table1[[#This Row],[CLOSE_PRICE]]&gt;Table1[[#This Row],[OPEN_PRICE]],"Gain","Loss")</f>
        <v>Loss</v>
      </c>
      <c r="O647" t="str">
        <f>IF(Table1[[#This Row],[MARKET_CAP]]&gt;200000000000,"Large Cap",
IF(Table1[[#This Row],[MARKET_CAP]]&gt;50000000000,"Mid Cap","Small Cap"))</f>
        <v>Mid Cap</v>
      </c>
      <c r="P647" t="str">
        <f>IF(Table1[[#This Row],[NET_TRDQTY]]&gt;1000000,"High Volume","Low Volume")</f>
        <v>Low Volume</v>
      </c>
    </row>
    <row r="648" spans="1:16" x14ac:dyDescent="0.3">
      <c r="A648" t="s">
        <v>1302</v>
      </c>
      <c r="B648" t="s">
        <v>1303</v>
      </c>
      <c r="C648">
        <v>146.6</v>
      </c>
      <c r="D648">
        <v>153.49</v>
      </c>
      <c r="E648">
        <v>138</v>
      </c>
      <c r="F648">
        <v>139.06</v>
      </c>
      <c r="G648">
        <v>146.6</v>
      </c>
      <c r="H648">
        <v>161830</v>
      </c>
      <c r="I648">
        <v>416</v>
      </c>
      <c r="J648">
        <v>3406970000</v>
      </c>
      <c r="K648">
        <v>24500000</v>
      </c>
      <c r="L648">
        <f>(Table1[[#This Row],[CLOSE_PRICE]] - Table1[[#This Row],[PREV_CL_PR]]) / Table1[[#This Row],[PREV_CL_PR]] * 100</f>
        <v>-5.1432469304229143</v>
      </c>
      <c r="M648">
        <f>Table1[[#This Row],[HIGH_PRICE]]-Table1[[#This Row],[LOW_PRICE]]</f>
        <v>15.490000000000009</v>
      </c>
      <c r="N648" t="str">
        <f>IF(Table1[[#This Row],[CLOSE_PRICE]]&gt;Table1[[#This Row],[OPEN_PRICE]],"Gain","Loss")</f>
        <v>Loss</v>
      </c>
      <c r="O648" t="str">
        <f>IF(Table1[[#This Row],[MARKET_CAP]]&gt;200000000000,"Large Cap",
IF(Table1[[#This Row],[MARKET_CAP]]&gt;50000000000,"Mid Cap","Small Cap"))</f>
        <v>Small Cap</v>
      </c>
      <c r="P648" t="str">
        <f>IF(Table1[[#This Row],[NET_TRDQTY]]&gt;1000000,"High Volume","Low Volume")</f>
        <v>Low Volume</v>
      </c>
    </row>
    <row r="649" spans="1:16" x14ac:dyDescent="0.3">
      <c r="A649" t="s">
        <v>1304</v>
      </c>
      <c r="B649" t="s">
        <v>1305</v>
      </c>
      <c r="C649">
        <v>217.7</v>
      </c>
      <c r="D649">
        <v>219</v>
      </c>
      <c r="E649">
        <v>207.8</v>
      </c>
      <c r="F649">
        <v>210.85</v>
      </c>
      <c r="G649">
        <v>214.65</v>
      </c>
      <c r="H649">
        <v>318613</v>
      </c>
      <c r="I649">
        <v>7539</v>
      </c>
      <c r="J649">
        <v>21548870000</v>
      </c>
      <c r="K649">
        <v>102200000</v>
      </c>
      <c r="L649">
        <f>(Table1[[#This Row],[CLOSE_PRICE]] - Table1[[#This Row],[PREV_CL_PR]]) / Table1[[#This Row],[PREV_CL_PR]] * 100</f>
        <v>-1.7703237829024043</v>
      </c>
      <c r="M649">
        <f>Table1[[#This Row],[HIGH_PRICE]]-Table1[[#This Row],[LOW_PRICE]]</f>
        <v>11.199999999999989</v>
      </c>
      <c r="N649" t="str">
        <f>IF(Table1[[#This Row],[CLOSE_PRICE]]&gt;Table1[[#This Row],[OPEN_PRICE]],"Gain","Loss")</f>
        <v>Loss</v>
      </c>
      <c r="O649" t="str">
        <f>IF(Table1[[#This Row],[MARKET_CAP]]&gt;200000000000,"Large Cap",
IF(Table1[[#This Row],[MARKET_CAP]]&gt;50000000000,"Mid Cap","Small Cap"))</f>
        <v>Small Cap</v>
      </c>
      <c r="P649" t="str">
        <f>IF(Table1[[#This Row],[NET_TRDQTY]]&gt;1000000,"High Volume","Low Volume")</f>
        <v>Low Volume</v>
      </c>
    </row>
    <row r="650" spans="1:16" x14ac:dyDescent="0.3">
      <c r="A650" t="s">
        <v>1306</v>
      </c>
      <c r="B650" t="s">
        <v>1307</v>
      </c>
      <c r="C650">
        <v>13.06</v>
      </c>
      <c r="D650">
        <v>13.76</v>
      </c>
      <c r="E650">
        <v>13.05</v>
      </c>
      <c r="F650">
        <v>13.37</v>
      </c>
      <c r="G650">
        <v>13.2</v>
      </c>
      <c r="H650">
        <v>1107</v>
      </c>
      <c r="I650">
        <v>135</v>
      </c>
      <c r="J650">
        <v>116985695.09999999</v>
      </c>
      <c r="K650">
        <v>8749865</v>
      </c>
      <c r="L650">
        <f>(Table1[[#This Row],[CLOSE_PRICE]] - Table1[[#This Row],[PREV_CL_PR]]) / Table1[[#This Row],[PREV_CL_PR]] * 100</f>
        <v>1.2878787878787874</v>
      </c>
      <c r="M650">
        <f>Table1[[#This Row],[HIGH_PRICE]]-Table1[[#This Row],[LOW_PRICE]]</f>
        <v>0.70999999999999908</v>
      </c>
      <c r="N650" t="str">
        <f>IF(Table1[[#This Row],[CLOSE_PRICE]]&gt;Table1[[#This Row],[OPEN_PRICE]],"Gain","Loss")</f>
        <v>Gain</v>
      </c>
      <c r="O650" t="str">
        <f>IF(Table1[[#This Row],[MARKET_CAP]]&gt;200000000000,"Large Cap",
IF(Table1[[#This Row],[MARKET_CAP]]&gt;50000000000,"Mid Cap","Small Cap"))</f>
        <v>Small Cap</v>
      </c>
      <c r="P650" t="str">
        <f>IF(Table1[[#This Row],[NET_TRDQTY]]&gt;1000000,"High Volume","Low Volume")</f>
        <v>Low Volume</v>
      </c>
    </row>
    <row r="651" spans="1:16" x14ac:dyDescent="0.3">
      <c r="A651" t="s">
        <v>1308</v>
      </c>
      <c r="B651" t="s">
        <v>1309</v>
      </c>
      <c r="C651">
        <v>299.7</v>
      </c>
      <c r="D651">
        <v>299.7</v>
      </c>
      <c r="E651">
        <v>279</v>
      </c>
      <c r="F651">
        <v>281.14999999999998</v>
      </c>
      <c r="G651">
        <v>300.7</v>
      </c>
      <c r="H651">
        <v>152525</v>
      </c>
      <c r="I651">
        <v>4421</v>
      </c>
      <c r="J651">
        <v>20436023149</v>
      </c>
      <c r="K651">
        <v>72687260</v>
      </c>
      <c r="L651">
        <f>(Table1[[#This Row],[CLOSE_PRICE]] - Table1[[#This Row],[PREV_CL_PR]]) / Table1[[#This Row],[PREV_CL_PR]] * 100</f>
        <v>-6.5014965081476594</v>
      </c>
      <c r="M651">
        <f>Table1[[#This Row],[HIGH_PRICE]]-Table1[[#This Row],[LOW_PRICE]]</f>
        <v>20.699999999999989</v>
      </c>
      <c r="N651" t="str">
        <f>IF(Table1[[#This Row],[CLOSE_PRICE]]&gt;Table1[[#This Row],[OPEN_PRICE]],"Gain","Loss")</f>
        <v>Loss</v>
      </c>
      <c r="O651" t="str">
        <f>IF(Table1[[#This Row],[MARKET_CAP]]&gt;200000000000,"Large Cap",
IF(Table1[[#This Row],[MARKET_CAP]]&gt;50000000000,"Mid Cap","Small Cap"))</f>
        <v>Small Cap</v>
      </c>
      <c r="P651" t="str">
        <f>IF(Table1[[#This Row],[NET_TRDQTY]]&gt;1000000,"High Volume","Low Volume")</f>
        <v>Low Volume</v>
      </c>
    </row>
    <row r="652" spans="1:16" x14ac:dyDescent="0.3">
      <c r="A652" t="s">
        <v>1310</v>
      </c>
      <c r="B652" t="s">
        <v>1311</v>
      </c>
      <c r="C652">
        <v>325.75</v>
      </c>
      <c r="D652">
        <v>325.75</v>
      </c>
      <c r="E652">
        <v>294.5</v>
      </c>
      <c r="F652">
        <v>298.7</v>
      </c>
      <c r="G652">
        <v>325.75</v>
      </c>
      <c r="H652">
        <v>28131</v>
      </c>
      <c r="I652">
        <v>1945</v>
      </c>
      <c r="J652">
        <v>4736113720</v>
      </c>
      <c r="K652">
        <v>15855754</v>
      </c>
      <c r="L652">
        <f>(Table1[[#This Row],[CLOSE_PRICE]] - Table1[[#This Row],[PREV_CL_PR]]) / Table1[[#This Row],[PREV_CL_PR]] * 100</f>
        <v>-8.3039140445126662</v>
      </c>
      <c r="M652">
        <f>Table1[[#This Row],[HIGH_PRICE]]-Table1[[#This Row],[LOW_PRICE]]</f>
        <v>31.25</v>
      </c>
      <c r="N652" t="str">
        <f>IF(Table1[[#This Row],[CLOSE_PRICE]]&gt;Table1[[#This Row],[OPEN_PRICE]],"Gain","Loss")</f>
        <v>Loss</v>
      </c>
      <c r="O652" t="str">
        <f>IF(Table1[[#This Row],[MARKET_CAP]]&gt;200000000000,"Large Cap",
IF(Table1[[#This Row],[MARKET_CAP]]&gt;50000000000,"Mid Cap","Small Cap"))</f>
        <v>Small Cap</v>
      </c>
      <c r="P652" t="str">
        <f>IF(Table1[[#This Row],[NET_TRDQTY]]&gt;1000000,"High Volume","Low Volume")</f>
        <v>Low Volume</v>
      </c>
    </row>
    <row r="653" spans="1:16" x14ac:dyDescent="0.3">
      <c r="A653" t="s">
        <v>1312</v>
      </c>
      <c r="B653" t="s">
        <v>1313</v>
      </c>
      <c r="C653">
        <v>1.01</v>
      </c>
      <c r="D653">
        <v>1.03</v>
      </c>
      <c r="E653">
        <v>0.98</v>
      </c>
      <c r="F653">
        <v>1</v>
      </c>
      <c r="G653">
        <v>1.03</v>
      </c>
      <c r="H653">
        <v>6100520</v>
      </c>
      <c r="I653">
        <v>1899</v>
      </c>
      <c r="J653">
        <v>1410695055</v>
      </c>
      <c r="K653">
        <v>1410695055</v>
      </c>
      <c r="L653">
        <f>(Table1[[#This Row],[CLOSE_PRICE]] - Table1[[#This Row],[PREV_CL_PR]]) / Table1[[#This Row],[PREV_CL_PR]] * 100</f>
        <v>-2.9126213592233037</v>
      </c>
      <c r="M653">
        <f>Table1[[#This Row],[HIGH_PRICE]]-Table1[[#This Row],[LOW_PRICE]]</f>
        <v>5.0000000000000044E-2</v>
      </c>
      <c r="N653" t="str">
        <f>IF(Table1[[#This Row],[CLOSE_PRICE]]&gt;Table1[[#This Row],[OPEN_PRICE]],"Gain","Loss")</f>
        <v>Loss</v>
      </c>
      <c r="O653" t="str">
        <f>IF(Table1[[#This Row],[MARKET_CAP]]&gt;200000000000,"Large Cap",
IF(Table1[[#This Row],[MARKET_CAP]]&gt;50000000000,"Mid Cap","Small Cap"))</f>
        <v>Small Cap</v>
      </c>
      <c r="P653" t="str">
        <f>IF(Table1[[#This Row],[NET_TRDQTY]]&gt;1000000,"High Volume","Low Volume")</f>
        <v>High Volume</v>
      </c>
    </row>
    <row r="654" spans="1:16" x14ac:dyDescent="0.3">
      <c r="A654" t="s">
        <v>1314</v>
      </c>
      <c r="B654" t="s">
        <v>1315</v>
      </c>
      <c r="C654">
        <v>861.05</v>
      </c>
      <c r="D654">
        <v>874.95</v>
      </c>
      <c r="E654">
        <v>835</v>
      </c>
      <c r="F654">
        <v>842.2</v>
      </c>
      <c r="G654">
        <v>874.45</v>
      </c>
      <c r="H654">
        <v>18118</v>
      </c>
      <c r="I654">
        <v>1169</v>
      </c>
      <c r="J654">
        <v>10587036802</v>
      </c>
      <c r="K654">
        <v>12570692</v>
      </c>
      <c r="L654">
        <f>(Table1[[#This Row],[CLOSE_PRICE]] - Table1[[#This Row],[PREV_CL_PR]]) / Table1[[#This Row],[PREV_CL_PR]] * 100</f>
        <v>-3.6880324775573214</v>
      </c>
      <c r="M654">
        <f>Table1[[#This Row],[HIGH_PRICE]]-Table1[[#This Row],[LOW_PRICE]]</f>
        <v>39.950000000000045</v>
      </c>
      <c r="N654" t="str">
        <f>IF(Table1[[#This Row],[CLOSE_PRICE]]&gt;Table1[[#This Row],[OPEN_PRICE]],"Gain","Loss")</f>
        <v>Loss</v>
      </c>
      <c r="O654" t="str">
        <f>IF(Table1[[#This Row],[MARKET_CAP]]&gt;200000000000,"Large Cap",
IF(Table1[[#This Row],[MARKET_CAP]]&gt;50000000000,"Mid Cap","Small Cap"))</f>
        <v>Small Cap</v>
      </c>
      <c r="P654" t="str">
        <f>IF(Table1[[#This Row],[NET_TRDQTY]]&gt;1000000,"High Volume","Low Volume")</f>
        <v>Low Volume</v>
      </c>
    </row>
    <row r="655" spans="1:16" x14ac:dyDescent="0.3">
      <c r="A655" t="s">
        <v>1316</v>
      </c>
      <c r="B655" t="s">
        <v>1317</v>
      </c>
      <c r="C655">
        <v>75.2</v>
      </c>
      <c r="D655">
        <v>76.5</v>
      </c>
      <c r="E655">
        <v>70.55</v>
      </c>
      <c r="F655">
        <v>71.88</v>
      </c>
      <c r="G655">
        <v>76.540000000000006</v>
      </c>
      <c r="H655">
        <v>1149507</v>
      </c>
      <c r="I655">
        <v>4274</v>
      </c>
      <c r="J655">
        <v>8272249708</v>
      </c>
      <c r="K655">
        <v>115084164</v>
      </c>
      <c r="L655">
        <f>(Table1[[#This Row],[CLOSE_PRICE]] - Table1[[#This Row],[PREV_CL_PR]]) / Table1[[#This Row],[PREV_CL_PR]] * 100</f>
        <v>-6.0883198327671941</v>
      </c>
      <c r="M655">
        <f>Table1[[#This Row],[HIGH_PRICE]]-Table1[[#This Row],[LOW_PRICE]]</f>
        <v>5.9500000000000028</v>
      </c>
      <c r="N655" t="str">
        <f>IF(Table1[[#This Row],[CLOSE_PRICE]]&gt;Table1[[#This Row],[OPEN_PRICE]],"Gain","Loss")</f>
        <v>Loss</v>
      </c>
      <c r="O655" t="str">
        <f>IF(Table1[[#This Row],[MARKET_CAP]]&gt;200000000000,"Large Cap",
IF(Table1[[#This Row],[MARKET_CAP]]&gt;50000000000,"Mid Cap","Small Cap"))</f>
        <v>Small Cap</v>
      </c>
      <c r="P655" t="str">
        <f>IF(Table1[[#This Row],[NET_TRDQTY]]&gt;1000000,"High Volume","Low Volume")</f>
        <v>High Volume</v>
      </c>
    </row>
    <row r="656" spans="1:16" x14ac:dyDescent="0.3">
      <c r="A656" t="s">
        <v>1318</v>
      </c>
      <c r="B656" t="s">
        <v>1319</v>
      </c>
      <c r="C656">
        <v>87.5</v>
      </c>
      <c r="D656">
        <v>87.5</v>
      </c>
      <c r="E656">
        <v>83</v>
      </c>
      <c r="F656">
        <v>83.16</v>
      </c>
      <c r="G656">
        <v>88.46</v>
      </c>
      <c r="H656">
        <v>365773</v>
      </c>
      <c r="I656">
        <v>4141</v>
      </c>
      <c r="J656">
        <v>11565873756</v>
      </c>
      <c r="K656">
        <v>139079771</v>
      </c>
      <c r="L656">
        <f>(Table1[[#This Row],[CLOSE_PRICE]] - Table1[[#This Row],[PREV_CL_PR]]) / Table1[[#This Row],[PREV_CL_PR]] * 100</f>
        <v>-5.9914085462355837</v>
      </c>
      <c r="M656">
        <f>Table1[[#This Row],[HIGH_PRICE]]-Table1[[#This Row],[LOW_PRICE]]</f>
        <v>4.5</v>
      </c>
      <c r="N656" t="str">
        <f>IF(Table1[[#This Row],[CLOSE_PRICE]]&gt;Table1[[#This Row],[OPEN_PRICE]],"Gain","Loss")</f>
        <v>Loss</v>
      </c>
      <c r="O656" t="str">
        <f>IF(Table1[[#This Row],[MARKET_CAP]]&gt;200000000000,"Large Cap",
IF(Table1[[#This Row],[MARKET_CAP]]&gt;50000000000,"Mid Cap","Small Cap"))</f>
        <v>Small Cap</v>
      </c>
      <c r="P656" t="str">
        <f>IF(Table1[[#This Row],[NET_TRDQTY]]&gt;1000000,"High Volume","Low Volume")</f>
        <v>Low Volume</v>
      </c>
    </row>
    <row r="657" spans="1:16" x14ac:dyDescent="0.3">
      <c r="A657" t="s">
        <v>1320</v>
      </c>
      <c r="B657" t="s">
        <v>1321</v>
      </c>
      <c r="C657">
        <v>298.2</v>
      </c>
      <c r="D657">
        <v>299.55</v>
      </c>
      <c r="E657">
        <v>290</v>
      </c>
      <c r="F657">
        <v>290.75</v>
      </c>
      <c r="G657">
        <v>302.64999999999998</v>
      </c>
      <c r="H657">
        <v>1794922</v>
      </c>
      <c r="I657">
        <v>30573</v>
      </c>
      <c r="J657">
        <v>247000000000</v>
      </c>
      <c r="K657">
        <v>850000000</v>
      </c>
      <c r="L657">
        <f>(Table1[[#This Row],[CLOSE_PRICE]] - Table1[[#This Row],[PREV_CL_PR]]) / Table1[[#This Row],[PREV_CL_PR]] * 100</f>
        <v>-3.9319345778952512</v>
      </c>
      <c r="M657">
        <f>Table1[[#This Row],[HIGH_PRICE]]-Table1[[#This Row],[LOW_PRICE]]</f>
        <v>9.5500000000000114</v>
      </c>
      <c r="N657" t="str">
        <f>IF(Table1[[#This Row],[CLOSE_PRICE]]&gt;Table1[[#This Row],[OPEN_PRICE]],"Gain","Loss")</f>
        <v>Loss</v>
      </c>
      <c r="O657" t="str">
        <f>IF(Table1[[#This Row],[MARKET_CAP]]&gt;200000000000,"Large Cap",
IF(Table1[[#This Row],[MARKET_CAP]]&gt;50000000000,"Mid Cap","Small Cap"))</f>
        <v>Large Cap</v>
      </c>
      <c r="P657" t="str">
        <f>IF(Table1[[#This Row],[NET_TRDQTY]]&gt;1000000,"High Volume","Low Volume")</f>
        <v>High Volume</v>
      </c>
    </row>
    <row r="658" spans="1:16" x14ac:dyDescent="0.3">
      <c r="A658" t="s">
        <v>1322</v>
      </c>
      <c r="B658" t="s">
        <v>1323</v>
      </c>
      <c r="C658">
        <v>711</v>
      </c>
      <c r="D658">
        <v>719.95</v>
      </c>
      <c r="E658">
        <v>685.1</v>
      </c>
      <c r="F658">
        <v>701.2</v>
      </c>
      <c r="G658">
        <v>720.3</v>
      </c>
      <c r="H658">
        <v>33417</v>
      </c>
      <c r="I658">
        <v>2506</v>
      </c>
      <c r="J658">
        <v>10882440987</v>
      </c>
      <c r="K658">
        <v>15519739</v>
      </c>
      <c r="L658">
        <f>(Table1[[#This Row],[CLOSE_PRICE]] - Table1[[#This Row],[PREV_CL_PR]]) / Table1[[#This Row],[PREV_CL_PR]] * 100</f>
        <v>-2.651672914063572</v>
      </c>
      <c r="M658">
        <f>Table1[[#This Row],[HIGH_PRICE]]-Table1[[#This Row],[LOW_PRICE]]</f>
        <v>34.850000000000023</v>
      </c>
      <c r="N658" t="str">
        <f>IF(Table1[[#This Row],[CLOSE_PRICE]]&gt;Table1[[#This Row],[OPEN_PRICE]],"Gain","Loss")</f>
        <v>Loss</v>
      </c>
      <c r="O658" t="str">
        <f>IF(Table1[[#This Row],[MARKET_CAP]]&gt;200000000000,"Large Cap",
IF(Table1[[#This Row],[MARKET_CAP]]&gt;50000000000,"Mid Cap","Small Cap"))</f>
        <v>Small Cap</v>
      </c>
      <c r="P658" t="str">
        <f>IF(Table1[[#This Row],[NET_TRDQTY]]&gt;1000000,"High Volume","Low Volume")</f>
        <v>Low Volume</v>
      </c>
    </row>
    <row r="659" spans="1:16" x14ac:dyDescent="0.3">
      <c r="A659" t="s">
        <v>1324</v>
      </c>
      <c r="B659" t="s">
        <v>1325</v>
      </c>
      <c r="C659">
        <v>6.97</v>
      </c>
      <c r="D659">
        <v>6.97</v>
      </c>
      <c r="E659">
        <v>6.57</v>
      </c>
      <c r="F659">
        <v>6.66</v>
      </c>
      <c r="G659">
        <v>6.84</v>
      </c>
      <c r="H659">
        <v>105786</v>
      </c>
      <c r="I659">
        <v>439</v>
      </c>
      <c r="J659">
        <v>2979755262</v>
      </c>
      <c r="K659">
        <v>447410700</v>
      </c>
      <c r="L659">
        <f>(Table1[[#This Row],[CLOSE_PRICE]] - Table1[[#This Row],[PREV_CL_PR]]) / Table1[[#This Row],[PREV_CL_PR]] * 100</f>
        <v>-2.6315789473684172</v>
      </c>
      <c r="M659">
        <f>Table1[[#This Row],[HIGH_PRICE]]-Table1[[#This Row],[LOW_PRICE]]</f>
        <v>0.39999999999999947</v>
      </c>
      <c r="N659" t="str">
        <f>IF(Table1[[#This Row],[CLOSE_PRICE]]&gt;Table1[[#This Row],[OPEN_PRICE]],"Gain","Loss")</f>
        <v>Loss</v>
      </c>
      <c r="O659" t="str">
        <f>IF(Table1[[#This Row],[MARKET_CAP]]&gt;200000000000,"Large Cap",
IF(Table1[[#This Row],[MARKET_CAP]]&gt;50000000000,"Mid Cap","Small Cap"))</f>
        <v>Small Cap</v>
      </c>
      <c r="P659" t="str">
        <f>IF(Table1[[#This Row],[NET_TRDQTY]]&gt;1000000,"High Volume","Low Volume")</f>
        <v>Low Volume</v>
      </c>
    </row>
    <row r="660" spans="1:16" x14ac:dyDescent="0.3">
      <c r="A660" t="s">
        <v>1326</v>
      </c>
      <c r="B660" t="s">
        <v>1327</v>
      </c>
      <c r="C660">
        <v>144.91999999999999</v>
      </c>
      <c r="D660">
        <v>144.91999999999999</v>
      </c>
      <c r="E660">
        <v>132.69999999999999</v>
      </c>
      <c r="F660">
        <v>133.9</v>
      </c>
      <c r="G660">
        <v>145.62</v>
      </c>
      <c r="H660">
        <v>234183</v>
      </c>
      <c r="I660">
        <v>3094</v>
      </c>
      <c r="J660">
        <v>5951961317</v>
      </c>
      <c r="K660">
        <v>44450794</v>
      </c>
      <c r="L660">
        <f>(Table1[[#This Row],[CLOSE_PRICE]] - Table1[[#This Row],[PREV_CL_PR]]) / Table1[[#This Row],[PREV_CL_PR]] * 100</f>
        <v>-8.0483450075539054</v>
      </c>
      <c r="M660">
        <f>Table1[[#This Row],[HIGH_PRICE]]-Table1[[#This Row],[LOW_PRICE]]</f>
        <v>12.219999999999999</v>
      </c>
      <c r="N660" t="str">
        <f>IF(Table1[[#This Row],[CLOSE_PRICE]]&gt;Table1[[#This Row],[OPEN_PRICE]],"Gain","Loss")</f>
        <v>Loss</v>
      </c>
      <c r="O660" t="str">
        <f>IF(Table1[[#This Row],[MARKET_CAP]]&gt;200000000000,"Large Cap",
IF(Table1[[#This Row],[MARKET_CAP]]&gt;50000000000,"Mid Cap","Small Cap"))</f>
        <v>Small Cap</v>
      </c>
      <c r="P660" t="str">
        <f>IF(Table1[[#This Row],[NET_TRDQTY]]&gt;1000000,"High Volume","Low Volume")</f>
        <v>Low Volume</v>
      </c>
    </row>
    <row r="661" spans="1:16" x14ac:dyDescent="0.3">
      <c r="A661" t="s">
        <v>1328</v>
      </c>
      <c r="B661" t="s">
        <v>1329</v>
      </c>
      <c r="C661">
        <v>783</v>
      </c>
      <c r="D661">
        <v>784</v>
      </c>
      <c r="E661">
        <v>748</v>
      </c>
      <c r="F661">
        <v>760.45</v>
      </c>
      <c r="G661">
        <v>791.45</v>
      </c>
      <c r="H661">
        <v>368196</v>
      </c>
      <c r="I661">
        <v>23658</v>
      </c>
      <c r="J661">
        <v>492000000000</v>
      </c>
      <c r="K661">
        <v>647071974</v>
      </c>
      <c r="L661">
        <f>(Table1[[#This Row],[CLOSE_PRICE]] - Table1[[#This Row],[PREV_CL_PR]]) / Table1[[#This Row],[PREV_CL_PR]] * 100</f>
        <v>-3.9168614568197611</v>
      </c>
      <c r="M661">
        <f>Table1[[#This Row],[HIGH_PRICE]]-Table1[[#This Row],[LOW_PRICE]]</f>
        <v>36</v>
      </c>
      <c r="N661" t="str">
        <f>IF(Table1[[#This Row],[CLOSE_PRICE]]&gt;Table1[[#This Row],[OPEN_PRICE]],"Gain","Loss")</f>
        <v>Loss</v>
      </c>
      <c r="O661" t="str">
        <f>IF(Table1[[#This Row],[MARKET_CAP]]&gt;200000000000,"Large Cap",
IF(Table1[[#This Row],[MARKET_CAP]]&gt;50000000000,"Mid Cap","Small Cap"))</f>
        <v>Large Cap</v>
      </c>
      <c r="P661" t="str">
        <f>IF(Table1[[#This Row],[NET_TRDQTY]]&gt;1000000,"High Volume","Low Volume")</f>
        <v>Low Volume</v>
      </c>
    </row>
    <row r="662" spans="1:16" x14ac:dyDescent="0.3">
      <c r="A662" t="s">
        <v>1330</v>
      </c>
      <c r="B662" t="s">
        <v>1331</v>
      </c>
      <c r="C662">
        <v>488</v>
      </c>
      <c r="D662">
        <v>491.95</v>
      </c>
      <c r="E662">
        <v>463</v>
      </c>
      <c r="F662">
        <v>466.4</v>
      </c>
      <c r="G662">
        <v>493.3</v>
      </c>
      <c r="H662">
        <v>16391</v>
      </c>
      <c r="I662">
        <v>1083</v>
      </c>
      <c r="J662">
        <v>6072948693</v>
      </c>
      <c r="K662">
        <v>13020902</v>
      </c>
      <c r="L662">
        <f>(Table1[[#This Row],[CLOSE_PRICE]] - Table1[[#This Row],[PREV_CL_PR]]) / Table1[[#This Row],[PREV_CL_PR]] * 100</f>
        <v>-5.4530711534563219</v>
      </c>
      <c r="M662">
        <f>Table1[[#This Row],[HIGH_PRICE]]-Table1[[#This Row],[LOW_PRICE]]</f>
        <v>28.949999999999989</v>
      </c>
      <c r="N662" t="str">
        <f>IF(Table1[[#This Row],[CLOSE_PRICE]]&gt;Table1[[#This Row],[OPEN_PRICE]],"Gain","Loss")</f>
        <v>Loss</v>
      </c>
      <c r="O662" t="str">
        <f>IF(Table1[[#This Row],[MARKET_CAP]]&gt;200000000000,"Large Cap",
IF(Table1[[#This Row],[MARKET_CAP]]&gt;50000000000,"Mid Cap","Small Cap"))</f>
        <v>Small Cap</v>
      </c>
      <c r="P662" t="str">
        <f>IF(Table1[[#This Row],[NET_TRDQTY]]&gt;1000000,"High Volume","Low Volume")</f>
        <v>Low Volume</v>
      </c>
    </row>
    <row r="663" spans="1:16" x14ac:dyDescent="0.3">
      <c r="A663" t="s">
        <v>1332</v>
      </c>
      <c r="B663" t="s">
        <v>1333</v>
      </c>
      <c r="C663">
        <v>21.44</v>
      </c>
      <c r="D663">
        <v>21.6</v>
      </c>
      <c r="E663">
        <v>20.6</v>
      </c>
      <c r="F663">
        <v>20.81</v>
      </c>
      <c r="G663">
        <v>21.77</v>
      </c>
      <c r="H663">
        <v>1871859</v>
      </c>
      <c r="I663">
        <v>5736</v>
      </c>
      <c r="J663">
        <v>23843076229</v>
      </c>
      <c r="K663">
        <v>1145750900</v>
      </c>
      <c r="L663">
        <f>(Table1[[#This Row],[CLOSE_PRICE]] - Table1[[#This Row],[PREV_CL_PR]]) / Table1[[#This Row],[PREV_CL_PR]] * 100</f>
        <v>-4.4097381717960538</v>
      </c>
      <c r="M663">
        <f>Table1[[#This Row],[HIGH_PRICE]]-Table1[[#This Row],[LOW_PRICE]]</f>
        <v>1</v>
      </c>
      <c r="N663" t="str">
        <f>IF(Table1[[#This Row],[CLOSE_PRICE]]&gt;Table1[[#This Row],[OPEN_PRICE]],"Gain","Loss")</f>
        <v>Loss</v>
      </c>
      <c r="O663" t="str">
        <f>IF(Table1[[#This Row],[MARKET_CAP]]&gt;200000000000,"Large Cap",
IF(Table1[[#This Row],[MARKET_CAP]]&gt;50000000000,"Mid Cap","Small Cap"))</f>
        <v>Small Cap</v>
      </c>
      <c r="P663" t="str">
        <f>IF(Table1[[#This Row],[NET_TRDQTY]]&gt;1000000,"High Volume","Low Volume")</f>
        <v>High Volume</v>
      </c>
    </row>
    <row r="664" spans="1:16" x14ac:dyDescent="0.3">
      <c r="A664" t="s">
        <v>1334</v>
      </c>
      <c r="B664" t="s">
        <v>1335</v>
      </c>
      <c r="C664">
        <v>1.44</v>
      </c>
      <c r="D664">
        <v>1.45</v>
      </c>
      <c r="E664">
        <v>1.35</v>
      </c>
      <c r="F664">
        <v>1.36</v>
      </c>
      <c r="G664">
        <v>1.44</v>
      </c>
      <c r="H664">
        <v>2791720</v>
      </c>
      <c r="I664">
        <v>2281</v>
      </c>
      <c r="J664">
        <v>2324992216</v>
      </c>
      <c r="K664">
        <v>1709553100</v>
      </c>
      <c r="L664">
        <f>(Table1[[#This Row],[CLOSE_PRICE]] - Table1[[#This Row],[PREV_CL_PR]]) / Table1[[#This Row],[PREV_CL_PR]] * 100</f>
        <v>-5.5555555555555456</v>
      </c>
      <c r="M664">
        <f>Table1[[#This Row],[HIGH_PRICE]]-Table1[[#This Row],[LOW_PRICE]]</f>
        <v>9.9999999999999867E-2</v>
      </c>
      <c r="N664" t="str">
        <f>IF(Table1[[#This Row],[CLOSE_PRICE]]&gt;Table1[[#This Row],[OPEN_PRICE]],"Gain","Loss")</f>
        <v>Loss</v>
      </c>
      <c r="O664" t="str">
        <f>IF(Table1[[#This Row],[MARKET_CAP]]&gt;200000000000,"Large Cap",
IF(Table1[[#This Row],[MARKET_CAP]]&gt;50000000000,"Mid Cap","Small Cap"))</f>
        <v>Small Cap</v>
      </c>
      <c r="P664" t="str">
        <f>IF(Table1[[#This Row],[NET_TRDQTY]]&gt;1000000,"High Volume","Low Volume")</f>
        <v>High Volume</v>
      </c>
    </row>
    <row r="665" spans="1:16" x14ac:dyDescent="0.3">
      <c r="A665" t="s">
        <v>1336</v>
      </c>
      <c r="B665" t="s">
        <v>1337</v>
      </c>
      <c r="C665">
        <v>330.6</v>
      </c>
      <c r="D665">
        <v>332</v>
      </c>
      <c r="E665">
        <v>325</v>
      </c>
      <c r="F665">
        <v>328.05</v>
      </c>
      <c r="G665">
        <v>332.85</v>
      </c>
      <c r="H665">
        <v>172330</v>
      </c>
      <c r="I665">
        <v>6061</v>
      </c>
      <c r="J665">
        <v>53409848056</v>
      </c>
      <c r="K665">
        <v>162810084</v>
      </c>
      <c r="L665">
        <f>(Table1[[#This Row],[CLOSE_PRICE]] - Table1[[#This Row],[PREV_CL_PR]]) / Table1[[#This Row],[PREV_CL_PR]] * 100</f>
        <v>-1.442091031996398</v>
      </c>
      <c r="M665">
        <f>Table1[[#This Row],[HIGH_PRICE]]-Table1[[#This Row],[LOW_PRICE]]</f>
        <v>7</v>
      </c>
      <c r="N665" t="str">
        <f>IF(Table1[[#This Row],[CLOSE_PRICE]]&gt;Table1[[#This Row],[OPEN_PRICE]],"Gain","Loss")</f>
        <v>Loss</v>
      </c>
      <c r="O665" t="str">
        <f>IF(Table1[[#This Row],[MARKET_CAP]]&gt;200000000000,"Large Cap",
IF(Table1[[#This Row],[MARKET_CAP]]&gt;50000000000,"Mid Cap","Small Cap"))</f>
        <v>Mid Cap</v>
      </c>
      <c r="P665" t="str">
        <f>IF(Table1[[#This Row],[NET_TRDQTY]]&gt;1000000,"High Volume","Low Volume")</f>
        <v>Low Volume</v>
      </c>
    </row>
    <row r="666" spans="1:16" x14ac:dyDescent="0.3">
      <c r="A666" t="s">
        <v>1338</v>
      </c>
      <c r="B666" t="s">
        <v>1339</v>
      </c>
      <c r="C666">
        <v>263</v>
      </c>
      <c r="D666">
        <v>263.3</v>
      </c>
      <c r="E666">
        <v>253.3</v>
      </c>
      <c r="F666">
        <v>254.35</v>
      </c>
      <c r="G666">
        <v>267.10000000000002</v>
      </c>
      <c r="H666">
        <v>13966492</v>
      </c>
      <c r="I666">
        <v>112686</v>
      </c>
      <c r="J666">
        <v>626000000000</v>
      </c>
      <c r="K666">
        <v>2462945660</v>
      </c>
      <c r="L666">
        <f>(Table1[[#This Row],[CLOSE_PRICE]] - Table1[[#This Row],[PREV_CL_PR]]) / Table1[[#This Row],[PREV_CL_PR]] * 100</f>
        <v>-4.7734930737551586</v>
      </c>
      <c r="M666">
        <f>Table1[[#This Row],[HIGH_PRICE]]-Table1[[#This Row],[LOW_PRICE]]</f>
        <v>10</v>
      </c>
      <c r="N666" t="str">
        <f>IF(Table1[[#This Row],[CLOSE_PRICE]]&gt;Table1[[#This Row],[OPEN_PRICE]],"Gain","Loss")</f>
        <v>Loss</v>
      </c>
      <c r="O666" t="str">
        <f>IF(Table1[[#This Row],[MARKET_CAP]]&gt;200000000000,"Large Cap",
IF(Table1[[#This Row],[MARKET_CAP]]&gt;50000000000,"Mid Cap","Small Cap"))</f>
        <v>Large Cap</v>
      </c>
      <c r="P666" t="str">
        <f>IF(Table1[[#This Row],[NET_TRDQTY]]&gt;1000000,"High Volume","Low Volume")</f>
        <v>High Volume</v>
      </c>
    </row>
    <row r="667" spans="1:16" x14ac:dyDescent="0.3">
      <c r="A667" t="s">
        <v>1340</v>
      </c>
      <c r="B667" t="s">
        <v>1341</v>
      </c>
      <c r="C667">
        <v>133.51</v>
      </c>
      <c r="D667">
        <v>133.51</v>
      </c>
      <c r="E667">
        <v>122.25</v>
      </c>
      <c r="F667">
        <v>124.1</v>
      </c>
      <c r="G667">
        <v>134.18</v>
      </c>
      <c r="H667">
        <v>944366</v>
      </c>
      <c r="I667">
        <v>16286</v>
      </c>
      <c r="J667">
        <v>46422930880</v>
      </c>
      <c r="K667">
        <v>374076800</v>
      </c>
      <c r="L667">
        <f>(Table1[[#This Row],[CLOSE_PRICE]] - Table1[[#This Row],[PREV_CL_PR]]) / Table1[[#This Row],[PREV_CL_PR]] * 100</f>
        <v>-7.5122969145923477</v>
      </c>
      <c r="M667">
        <f>Table1[[#This Row],[HIGH_PRICE]]-Table1[[#This Row],[LOW_PRICE]]</f>
        <v>11.259999999999991</v>
      </c>
      <c r="N667" t="str">
        <f>IF(Table1[[#This Row],[CLOSE_PRICE]]&gt;Table1[[#This Row],[OPEN_PRICE]],"Gain","Loss")</f>
        <v>Loss</v>
      </c>
      <c r="O667" t="str">
        <f>IF(Table1[[#This Row],[MARKET_CAP]]&gt;200000000000,"Large Cap",
IF(Table1[[#This Row],[MARKET_CAP]]&gt;50000000000,"Mid Cap","Small Cap"))</f>
        <v>Small Cap</v>
      </c>
      <c r="P667" t="str">
        <f>IF(Table1[[#This Row],[NET_TRDQTY]]&gt;1000000,"High Volume","Low Volume")</f>
        <v>Low Volume</v>
      </c>
    </row>
    <row r="668" spans="1:16" x14ac:dyDescent="0.3">
      <c r="A668" t="s">
        <v>1342</v>
      </c>
      <c r="B668" t="s">
        <v>1343</v>
      </c>
      <c r="C668">
        <v>2001</v>
      </c>
      <c r="D668">
        <v>2020</v>
      </c>
      <c r="E668">
        <v>1933.8</v>
      </c>
      <c r="F668">
        <v>1944.7</v>
      </c>
      <c r="G668">
        <v>2026.8</v>
      </c>
      <c r="H668">
        <v>66011</v>
      </c>
      <c r="I668">
        <v>11425</v>
      </c>
      <c r="J668">
        <v>51183842802</v>
      </c>
      <c r="K668">
        <v>26319660</v>
      </c>
      <c r="L668">
        <f>(Table1[[#This Row],[CLOSE_PRICE]] - Table1[[#This Row],[PREV_CL_PR]]) / Table1[[#This Row],[PREV_CL_PR]] * 100</f>
        <v>-4.0507203473455649</v>
      </c>
      <c r="M668">
        <f>Table1[[#This Row],[HIGH_PRICE]]-Table1[[#This Row],[LOW_PRICE]]</f>
        <v>86.200000000000045</v>
      </c>
      <c r="N668" t="str">
        <f>IF(Table1[[#This Row],[CLOSE_PRICE]]&gt;Table1[[#This Row],[OPEN_PRICE]],"Gain","Loss")</f>
        <v>Loss</v>
      </c>
      <c r="O668" t="str">
        <f>IF(Table1[[#This Row],[MARKET_CAP]]&gt;200000000000,"Large Cap",
IF(Table1[[#This Row],[MARKET_CAP]]&gt;50000000000,"Mid Cap","Small Cap"))</f>
        <v>Mid Cap</v>
      </c>
      <c r="P668" t="str">
        <f>IF(Table1[[#This Row],[NET_TRDQTY]]&gt;1000000,"High Volume","Low Volume")</f>
        <v>Low Volume</v>
      </c>
    </row>
    <row r="669" spans="1:16" x14ac:dyDescent="0.3">
      <c r="A669" t="s">
        <v>1344</v>
      </c>
      <c r="B669" t="s">
        <v>1345</v>
      </c>
      <c r="C669">
        <v>40</v>
      </c>
      <c r="D669">
        <v>40</v>
      </c>
      <c r="E669">
        <v>38.15</v>
      </c>
      <c r="F669">
        <v>38.340000000000003</v>
      </c>
      <c r="G669">
        <v>40.68</v>
      </c>
      <c r="H669">
        <v>650545</v>
      </c>
      <c r="I669">
        <v>4347</v>
      </c>
      <c r="J669">
        <v>17025198098</v>
      </c>
      <c r="K669">
        <v>444058375</v>
      </c>
      <c r="L669">
        <f>(Table1[[#This Row],[CLOSE_PRICE]] - Table1[[#This Row],[PREV_CL_PR]]) / Table1[[#This Row],[PREV_CL_PR]] * 100</f>
        <v>-5.7522123893805217</v>
      </c>
      <c r="M669">
        <f>Table1[[#This Row],[HIGH_PRICE]]-Table1[[#This Row],[LOW_PRICE]]</f>
        <v>1.8500000000000014</v>
      </c>
      <c r="N669" t="str">
        <f>IF(Table1[[#This Row],[CLOSE_PRICE]]&gt;Table1[[#This Row],[OPEN_PRICE]],"Gain","Loss")</f>
        <v>Loss</v>
      </c>
      <c r="O669" t="str">
        <f>IF(Table1[[#This Row],[MARKET_CAP]]&gt;200000000000,"Large Cap",
IF(Table1[[#This Row],[MARKET_CAP]]&gt;50000000000,"Mid Cap","Small Cap"))</f>
        <v>Small Cap</v>
      </c>
      <c r="P669" t="str">
        <f>IF(Table1[[#This Row],[NET_TRDQTY]]&gt;1000000,"High Volume","Low Volume")</f>
        <v>Low Volume</v>
      </c>
    </row>
    <row r="670" spans="1:16" x14ac:dyDescent="0.3">
      <c r="A670" t="s">
        <v>1346</v>
      </c>
      <c r="B670" t="s">
        <v>1347</v>
      </c>
      <c r="C670">
        <v>0.17</v>
      </c>
      <c r="D670">
        <v>0.17</v>
      </c>
      <c r="E670">
        <v>0.16</v>
      </c>
      <c r="F670">
        <v>0.16</v>
      </c>
      <c r="G670">
        <v>0.17</v>
      </c>
      <c r="H670">
        <v>56508814</v>
      </c>
      <c r="I670">
        <v>5056</v>
      </c>
      <c r="J670">
        <v>1333451636</v>
      </c>
      <c r="K670">
        <v>8334072725</v>
      </c>
      <c r="L670">
        <f>(Table1[[#This Row],[CLOSE_PRICE]] - Table1[[#This Row],[PREV_CL_PR]]) / Table1[[#This Row],[PREV_CL_PR]] * 100</f>
        <v>-5.8823529411764754</v>
      </c>
      <c r="M670">
        <f>Table1[[#This Row],[HIGH_PRICE]]-Table1[[#This Row],[LOW_PRICE]]</f>
        <v>1.0000000000000009E-2</v>
      </c>
      <c r="N670" t="str">
        <f>IF(Table1[[#This Row],[CLOSE_PRICE]]&gt;Table1[[#This Row],[OPEN_PRICE]],"Gain","Loss")</f>
        <v>Loss</v>
      </c>
      <c r="O670" t="str">
        <f>IF(Table1[[#This Row],[MARKET_CAP]]&gt;200000000000,"Large Cap",
IF(Table1[[#This Row],[MARKET_CAP]]&gt;50000000000,"Mid Cap","Small Cap"))</f>
        <v>Small Cap</v>
      </c>
      <c r="P670" t="str">
        <f>IF(Table1[[#This Row],[NET_TRDQTY]]&gt;1000000,"High Volume","Low Volume")</f>
        <v>High Volume</v>
      </c>
    </row>
    <row r="671" spans="1:16" x14ac:dyDescent="0.3">
      <c r="A671" t="s">
        <v>1348</v>
      </c>
      <c r="B671" t="s">
        <v>1349</v>
      </c>
      <c r="C671">
        <v>867.3</v>
      </c>
      <c r="D671">
        <v>867.3</v>
      </c>
      <c r="E671">
        <v>805.2</v>
      </c>
      <c r="F671">
        <v>808.6</v>
      </c>
      <c r="G671">
        <v>878.15</v>
      </c>
      <c r="H671">
        <v>551310</v>
      </c>
      <c r="I671">
        <v>32340</v>
      </c>
      <c r="J671">
        <v>124000000000</v>
      </c>
      <c r="K671">
        <v>152939345</v>
      </c>
      <c r="L671">
        <f>(Table1[[#This Row],[CLOSE_PRICE]] - Table1[[#This Row],[PREV_CL_PR]]) / Table1[[#This Row],[PREV_CL_PR]] * 100</f>
        <v>-7.9200592153959981</v>
      </c>
      <c r="M671">
        <f>Table1[[#This Row],[HIGH_PRICE]]-Table1[[#This Row],[LOW_PRICE]]</f>
        <v>62.099999999999909</v>
      </c>
      <c r="N671" t="str">
        <f>IF(Table1[[#This Row],[CLOSE_PRICE]]&gt;Table1[[#This Row],[OPEN_PRICE]],"Gain","Loss")</f>
        <v>Loss</v>
      </c>
      <c r="O671" t="str">
        <f>IF(Table1[[#This Row],[MARKET_CAP]]&gt;200000000000,"Large Cap",
IF(Table1[[#This Row],[MARKET_CAP]]&gt;50000000000,"Mid Cap","Small Cap"))</f>
        <v>Mid Cap</v>
      </c>
      <c r="P671" t="str">
        <f>IF(Table1[[#This Row],[NET_TRDQTY]]&gt;1000000,"High Volume","Low Volume")</f>
        <v>Low Volume</v>
      </c>
    </row>
    <row r="672" spans="1:16" x14ac:dyDescent="0.3">
      <c r="A672" t="s">
        <v>1350</v>
      </c>
      <c r="B672" t="s">
        <v>1351</v>
      </c>
      <c r="C672">
        <v>4250</v>
      </c>
      <c r="D672">
        <v>4250</v>
      </c>
      <c r="E672">
        <v>3951</v>
      </c>
      <c r="F672">
        <v>4008.5</v>
      </c>
      <c r="G672">
        <v>4256.1000000000004</v>
      </c>
      <c r="H672">
        <v>23396</v>
      </c>
      <c r="I672">
        <v>4667</v>
      </c>
      <c r="J672">
        <v>123000000000</v>
      </c>
      <c r="K672">
        <v>30659976</v>
      </c>
      <c r="L672">
        <f>(Table1[[#This Row],[CLOSE_PRICE]] - Table1[[#This Row],[PREV_CL_PR]]) / Table1[[#This Row],[PREV_CL_PR]] * 100</f>
        <v>-5.8175324827894164</v>
      </c>
      <c r="M672">
        <f>Table1[[#This Row],[HIGH_PRICE]]-Table1[[#This Row],[LOW_PRICE]]</f>
        <v>299</v>
      </c>
      <c r="N672" t="str">
        <f>IF(Table1[[#This Row],[CLOSE_PRICE]]&gt;Table1[[#This Row],[OPEN_PRICE]],"Gain","Loss")</f>
        <v>Loss</v>
      </c>
      <c r="O672" t="str">
        <f>IF(Table1[[#This Row],[MARKET_CAP]]&gt;200000000000,"Large Cap",
IF(Table1[[#This Row],[MARKET_CAP]]&gt;50000000000,"Mid Cap","Small Cap"))</f>
        <v>Mid Cap</v>
      </c>
      <c r="P672" t="str">
        <f>IF(Table1[[#This Row],[NET_TRDQTY]]&gt;1000000,"High Volume","Low Volume")</f>
        <v>Low Volume</v>
      </c>
    </row>
    <row r="673" spans="1:16" x14ac:dyDescent="0.3">
      <c r="A673" t="s">
        <v>1352</v>
      </c>
      <c r="B673" t="s">
        <v>1353</v>
      </c>
      <c r="C673">
        <v>54.81</v>
      </c>
      <c r="D673">
        <v>60.11</v>
      </c>
      <c r="E673">
        <v>51.47</v>
      </c>
      <c r="F673">
        <v>56.94</v>
      </c>
      <c r="G673">
        <v>55.36</v>
      </c>
      <c r="H673">
        <v>876359</v>
      </c>
      <c r="I673">
        <v>8683</v>
      </c>
      <c r="J673">
        <v>7974474787</v>
      </c>
      <c r="K673">
        <v>140050488</v>
      </c>
      <c r="L673">
        <f>(Table1[[#This Row],[CLOSE_PRICE]] - Table1[[#This Row],[PREV_CL_PR]]) / Table1[[#This Row],[PREV_CL_PR]] * 100</f>
        <v>2.8540462427745634</v>
      </c>
      <c r="M673">
        <f>Table1[[#This Row],[HIGH_PRICE]]-Table1[[#This Row],[LOW_PRICE]]</f>
        <v>8.64</v>
      </c>
      <c r="N673" t="str">
        <f>IF(Table1[[#This Row],[CLOSE_PRICE]]&gt;Table1[[#This Row],[OPEN_PRICE]],"Gain","Loss")</f>
        <v>Gain</v>
      </c>
      <c r="O673" t="str">
        <f>IF(Table1[[#This Row],[MARKET_CAP]]&gt;200000000000,"Large Cap",
IF(Table1[[#This Row],[MARKET_CAP]]&gt;50000000000,"Mid Cap","Small Cap"))</f>
        <v>Small Cap</v>
      </c>
      <c r="P673" t="str">
        <f>IF(Table1[[#This Row],[NET_TRDQTY]]&gt;1000000,"High Volume","Low Volume")</f>
        <v>Low Volume</v>
      </c>
    </row>
    <row r="674" spans="1:16" x14ac:dyDescent="0.3">
      <c r="A674" t="s">
        <v>1354</v>
      </c>
      <c r="B674" t="s">
        <v>1355</v>
      </c>
      <c r="C674">
        <v>150</v>
      </c>
      <c r="D674">
        <v>150</v>
      </c>
      <c r="E674">
        <v>136.65</v>
      </c>
      <c r="F674">
        <v>140.57</v>
      </c>
      <c r="G674">
        <v>150.82</v>
      </c>
      <c r="H674">
        <v>1416364</v>
      </c>
      <c r="I674">
        <v>13821</v>
      </c>
      <c r="J674">
        <v>11698010769</v>
      </c>
      <c r="K674">
        <v>83218402</v>
      </c>
      <c r="L674">
        <f>(Table1[[#This Row],[CLOSE_PRICE]] - Table1[[#This Row],[PREV_CL_PR]]) / Table1[[#This Row],[PREV_CL_PR]] * 100</f>
        <v>-6.7961808778676565</v>
      </c>
      <c r="M674">
        <f>Table1[[#This Row],[HIGH_PRICE]]-Table1[[#This Row],[LOW_PRICE]]</f>
        <v>13.349999999999994</v>
      </c>
      <c r="N674" t="str">
        <f>IF(Table1[[#This Row],[CLOSE_PRICE]]&gt;Table1[[#This Row],[OPEN_PRICE]],"Gain","Loss")</f>
        <v>Loss</v>
      </c>
      <c r="O674" t="str">
        <f>IF(Table1[[#This Row],[MARKET_CAP]]&gt;200000000000,"Large Cap",
IF(Table1[[#This Row],[MARKET_CAP]]&gt;50000000000,"Mid Cap","Small Cap"))</f>
        <v>Small Cap</v>
      </c>
      <c r="P674" t="str">
        <f>IF(Table1[[#This Row],[NET_TRDQTY]]&gt;1000000,"High Volume","Low Volume")</f>
        <v>High Volume</v>
      </c>
    </row>
    <row r="675" spans="1:16" x14ac:dyDescent="0.3">
      <c r="A675" t="s">
        <v>1356</v>
      </c>
      <c r="B675" t="s">
        <v>1357</v>
      </c>
      <c r="C675">
        <v>171.3</v>
      </c>
      <c r="D675">
        <v>172.96</v>
      </c>
      <c r="E675">
        <v>166.01</v>
      </c>
      <c r="F675">
        <v>168.17</v>
      </c>
      <c r="G675">
        <v>174.63</v>
      </c>
      <c r="H675">
        <v>691186</v>
      </c>
      <c r="I675">
        <v>25072</v>
      </c>
      <c r="J675">
        <v>104000000000</v>
      </c>
      <c r="K675">
        <v>620476905</v>
      </c>
      <c r="L675">
        <f>(Table1[[#This Row],[CLOSE_PRICE]] - Table1[[#This Row],[PREV_CL_PR]]) / Table1[[#This Row],[PREV_CL_PR]] * 100</f>
        <v>-3.6992498425241984</v>
      </c>
      <c r="M675">
        <f>Table1[[#This Row],[HIGH_PRICE]]-Table1[[#This Row],[LOW_PRICE]]</f>
        <v>6.9500000000000171</v>
      </c>
      <c r="N675" t="str">
        <f>IF(Table1[[#This Row],[CLOSE_PRICE]]&gt;Table1[[#This Row],[OPEN_PRICE]],"Gain","Loss")</f>
        <v>Loss</v>
      </c>
      <c r="O675" t="str">
        <f>IF(Table1[[#This Row],[MARKET_CAP]]&gt;200000000000,"Large Cap",
IF(Table1[[#This Row],[MARKET_CAP]]&gt;50000000000,"Mid Cap","Small Cap"))</f>
        <v>Mid Cap</v>
      </c>
      <c r="P675" t="str">
        <f>IF(Table1[[#This Row],[NET_TRDQTY]]&gt;1000000,"High Volume","Low Volume")</f>
        <v>Low Volume</v>
      </c>
    </row>
    <row r="676" spans="1:16" x14ac:dyDescent="0.3">
      <c r="A676" t="s">
        <v>1358</v>
      </c>
      <c r="B676" t="s">
        <v>1359</v>
      </c>
      <c r="C676">
        <v>245</v>
      </c>
      <c r="D676">
        <v>245.85</v>
      </c>
      <c r="E676">
        <v>218.02</v>
      </c>
      <c r="F676">
        <v>220.97</v>
      </c>
      <c r="G676">
        <v>250.87</v>
      </c>
      <c r="H676">
        <v>29542839</v>
      </c>
      <c r="I676">
        <v>245492</v>
      </c>
      <c r="J676">
        <v>115000000000</v>
      </c>
      <c r="K676">
        <v>521992685</v>
      </c>
      <c r="L676">
        <f>(Table1[[#This Row],[CLOSE_PRICE]] - Table1[[#This Row],[PREV_CL_PR]]) / Table1[[#This Row],[PREV_CL_PR]] * 100</f>
        <v>-11.918523538087458</v>
      </c>
      <c r="M676">
        <f>Table1[[#This Row],[HIGH_PRICE]]-Table1[[#This Row],[LOW_PRICE]]</f>
        <v>27.829999999999984</v>
      </c>
      <c r="N676" t="str">
        <f>IF(Table1[[#This Row],[CLOSE_PRICE]]&gt;Table1[[#This Row],[OPEN_PRICE]],"Gain","Loss")</f>
        <v>Loss</v>
      </c>
      <c r="O676" t="str">
        <f>IF(Table1[[#This Row],[MARKET_CAP]]&gt;200000000000,"Large Cap",
IF(Table1[[#This Row],[MARKET_CAP]]&gt;50000000000,"Mid Cap","Small Cap"))</f>
        <v>Mid Cap</v>
      </c>
      <c r="P676" t="str">
        <f>IF(Table1[[#This Row],[NET_TRDQTY]]&gt;1000000,"High Volume","Low Volume")</f>
        <v>High Volume</v>
      </c>
    </row>
    <row r="677" spans="1:16" x14ac:dyDescent="0.3">
      <c r="A677" t="s">
        <v>1360</v>
      </c>
      <c r="B677" t="s">
        <v>1361</v>
      </c>
      <c r="C677">
        <v>35.450000000000003</v>
      </c>
      <c r="D677">
        <v>35.450000000000003</v>
      </c>
      <c r="E677">
        <v>33.65</v>
      </c>
      <c r="F677">
        <v>33.65</v>
      </c>
      <c r="G677">
        <v>35.42</v>
      </c>
      <c r="H677">
        <v>874481</v>
      </c>
      <c r="I677">
        <v>1614</v>
      </c>
      <c r="J677">
        <v>21822545566</v>
      </c>
      <c r="K677">
        <v>648515470</v>
      </c>
      <c r="L677">
        <f>(Table1[[#This Row],[CLOSE_PRICE]] - Table1[[#This Row],[PREV_CL_PR]]) / Table1[[#This Row],[PREV_CL_PR]] * 100</f>
        <v>-4.9971767363071793</v>
      </c>
      <c r="M677">
        <f>Table1[[#This Row],[HIGH_PRICE]]-Table1[[#This Row],[LOW_PRICE]]</f>
        <v>1.8000000000000043</v>
      </c>
      <c r="N677" t="str">
        <f>IF(Table1[[#This Row],[CLOSE_PRICE]]&gt;Table1[[#This Row],[OPEN_PRICE]],"Gain","Loss")</f>
        <v>Loss</v>
      </c>
      <c r="O677" t="str">
        <f>IF(Table1[[#This Row],[MARKET_CAP]]&gt;200000000000,"Large Cap",
IF(Table1[[#This Row],[MARKET_CAP]]&gt;50000000000,"Mid Cap","Small Cap"))</f>
        <v>Small Cap</v>
      </c>
      <c r="P677" t="str">
        <f>IF(Table1[[#This Row],[NET_TRDQTY]]&gt;1000000,"High Volume","Low Volume")</f>
        <v>Low Volume</v>
      </c>
    </row>
    <row r="678" spans="1:16" x14ac:dyDescent="0.3">
      <c r="A678" t="s">
        <v>1362</v>
      </c>
      <c r="B678" t="s">
        <v>1363</v>
      </c>
      <c r="C678">
        <v>349</v>
      </c>
      <c r="D678">
        <v>351</v>
      </c>
      <c r="E678">
        <v>338.15</v>
      </c>
      <c r="F678">
        <v>347.3</v>
      </c>
      <c r="G678">
        <v>350.65</v>
      </c>
      <c r="H678">
        <v>1172905</v>
      </c>
      <c r="I678">
        <v>27263</v>
      </c>
      <c r="J678">
        <v>102000000000</v>
      </c>
      <c r="K678">
        <v>294533548</v>
      </c>
      <c r="L678">
        <f>(Table1[[#This Row],[CLOSE_PRICE]] - Table1[[#This Row],[PREV_CL_PR]]) / Table1[[#This Row],[PREV_CL_PR]] * 100</f>
        <v>-0.95536860116924738</v>
      </c>
      <c r="M678">
        <f>Table1[[#This Row],[HIGH_PRICE]]-Table1[[#This Row],[LOW_PRICE]]</f>
        <v>12.850000000000023</v>
      </c>
      <c r="N678" t="str">
        <f>IF(Table1[[#This Row],[CLOSE_PRICE]]&gt;Table1[[#This Row],[OPEN_PRICE]],"Gain","Loss")</f>
        <v>Loss</v>
      </c>
      <c r="O678" t="str">
        <f>IF(Table1[[#This Row],[MARKET_CAP]]&gt;200000000000,"Large Cap",
IF(Table1[[#This Row],[MARKET_CAP]]&gt;50000000000,"Mid Cap","Small Cap"))</f>
        <v>Mid Cap</v>
      </c>
      <c r="P678" t="str">
        <f>IF(Table1[[#This Row],[NET_TRDQTY]]&gt;1000000,"High Volume","Low Volume")</f>
        <v>High Volume</v>
      </c>
    </row>
    <row r="679" spans="1:16" x14ac:dyDescent="0.3">
      <c r="A679" t="s">
        <v>1364</v>
      </c>
      <c r="B679" t="s">
        <v>1365</v>
      </c>
      <c r="C679">
        <v>302</v>
      </c>
      <c r="D679">
        <v>305.64999999999998</v>
      </c>
      <c r="E679">
        <v>293</v>
      </c>
      <c r="F679">
        <v>294.39999999999998</v>
      </c>
      <c r="G679">
        <v>307.39999999999998</v>
      </c>
      <c r="H679">
        <v>70165</v>
      </c>
      <c r="I679">
        <v>1490</v>
      </c>
      <c r="J679">
        <v>31028399283</v>
      </c>
      <c r="K679">
        <v>105395378</v>
      </c>
      <c r="L679">
        <f>(Table1[[#This Row],[CLOSE_PRICE]] - Table1[[#This Row],[PREV_CL_PR]]) / Table1[[#This Row],[PREV_CL_PR]] * 100</f>
        <v>-4.2290175666883538</v>
      </c>
      <c r="M679">
        <f>Table1[[#This Row],[HIGH_PRICE]]-Table1[[#This Row],[LOW_PRICE]]</f>
        <v>12.649999999999977</v>
      </c>
      <c r="N679" t="str">
        <f>IF(Table1[[#This Row],[CLOSE_PRICE]]&gt;Table1[[#This Row],[OPEN_PRICE]],"Gain","Loss")</f>
        <v>Loss</v>
      </c>
      <c r="O679" t="str">
        <f>IF(Table1[[#This Row],[MARKET_CAP]]&gt;200000000000,"Large Cap",
IF(Table1[[#This Row],[MARKET_CAP]]&gt;50000000000,"Mid Cap","Small Cap"))</f>
        <v>Small Cap</v>
      </c>
      <c r="P679" t="str">
        <f>IF(Table1[[#This Row],[NET_TRDQTY]]&gt;1000000,"High Volume","Low Volume")</f>
        <v>Low Volume</v>
      </c>
    </row>
    <row r="680" spans="1:16" x14ac:dyDescent="0.3">
      <c r="A680" t="s">
        <v>1366</v>
      </c>
      <c r="B680" t="s">
        <v>1367</v>
      </c>
      <c r="C680">
        <v>6.56</v>
      </c>
      <c r="D680">
        <v>6.56</v>
      </c>
      <c r="E680">
        <v>6.31</v>
      </c>
      <c r="F680">
        <v>6.48</v>
      </c>
      <c r="G680">
        <v>6.4</v>
      </c>
      <c r="H680">
        <v>61826</v>
      </c>
      <c r="I680">
        <v>74</v>
      </c>
      <c r="J680">
        <v>212691782.90000001</v>
      </c>
      <c r="K680">
        <v>32822806</v>
      </c>
      <c r="L680">
        <f>(Table1[[#This Row],[CLOSE_PRICE]] - Table1[[#This Row],[PREV_CL_PR]]) / Table1[[#This Row],[PREV_CL_PR]] * 100</f>
        <v>1.2500000000000011</v>
      </c>
      <c r="M680">
        <f>Table1[[#This Row],[HIGH_PRICE]]-Table1[[#This Row],[LOW_PRICE]]</f>
        <v>0.25</v>
      </c>
      <c r="N680" t="str">
        <f>IF(Table1[[#This Row],[CLOSE_PRICE]]&gt;Table1[[#This Row],[OPEN_PRICE]],"Gain","Loss")</f>
        <v>Loss</v>
      </c>
      <c r="O680" t="str">
        <f>IF(Table1[[#This Row],[MARKET_CAP]]&gt;200000000000,"Large Cap",
IF(Table1[[#This Row],[MARKET_CAP]]&gt;50000000000,"Mid Cap","Small Cap"))</f>
        <v>Small Cap</v>
      </c>
      <c r="P680" t="str">
        <f>IF(Table1[[#This Row],[NET_TRDQTY]]&gt;1000000,"High Volume","Low Volume")</f>
        <v>Low Volume</v>
      </c>
    </row>
    <row r="681" spans="1:16" x14ac:dyDescent="0.3">
      <c r="A681" t="s">
        <v>1368</v>
      </c>
      <c r="B681" t="s">
        <v>1369</v>
      </c>
      <c r="C681">
        <v>3175.1</v>
      </c>
      <c r="D681">
        <v>3271.7</v>
      </c>
      <c r="E681">
        <v>3076.1</v>
      </c>
      <c r="F681">
        <v>3248.2</v>
      </c>
      <c r="G681">
        <v>3183.9</v>
      </c>
      <c r="H681">
        <v>126206</v>
      </c>
      <c r="I681">
        <v>20725</v>
      </c>
      <c r="J681">
        <v>357000000000</v>
      </c>
      <c r="K681">
        <v>109850000</v>
      </c>
      <c r="L681">
        <f>(Table1[[#This Row],[CLOSE_PRICE]] - Table1[[#This Row],[PREV_CL_PR]]) / Table1[[#This Row],[PREV_CL_PR]] * 100</f>
        <v>2.0195357894406145</v>
      </c>
      <c r="M681">
        <f>Table1[[#This Row],[HIGH_PRICE]]-Table1[[#This Row],[LOW_PRICE]]</f>
        <v>195.59999999999991</v>
      </c>
      <c r="N681" t="str">
        <f>IF(Table1[[#This Row],[CLOSE_PRICE]]&gt;Table1[[#This Row],[OPEN_PRICE]],"Gain","Loss")</f>
        <v>Gain</v>
      </c>
      <c r="O681" t="str">
        <f>IF(Table1[[#This Row],[MARKET_CAP]]&gt;200000000000,"Large Cap",
IF(Table1[[#This Row],[MARKET_CAP]]&gt;50000000000,"Mid Cap","Small Cap"))</f>
        <v>Large Cap</v>
      </c>
      <c r="P681" t="str">
        <f>IF(Table1[[#This Row],[NET_TRDQTY]]&gt;1000000,"High Volume","Low Volume")</f>
        <v>Low Volume</v>
      </c>
    </row>
    <row r="682" spans="1:16" x14ac:dyDescent="0.3">
      <c r="A682" t="s">
        <v>1370</v>
      </c>
      <c r="B682" t="s">
        <v>1371</v>
      </c>
      <c r="C682">
        <v>381.2</v>
      </c>
      <c r="D682">
        <v>381.25</v>
      </c>
      <c r="E682">
        <v>358</v>
      </c>
      <c r="F682">
        <v>360.9</v>
      </c>
      <c r="G682">
        <v>382.05</v>
      </c>
      <c r="H682">
        <v>52422</v>
      </c>
      <c r="I682">
        <v>1794</v>
      </c>
      <c r="J682">
        <v>20077635717</v>
      </c>
      <c r="K682">
        <v>55632130</v>
      </c>
      <c r="L682">
        <f>(Table1[[#This Row],[CLOSE_PRICE]] - Table1[[#This Row],[PREV_CL_PR]]) / Table1[[#This Row],[PREV_CL_PR]] * 100</f>
        <v>-5.5359246171967111</v>
      </c>
      <c r="M682">
        <f>Table1[[#This Row],[HIGH_PRICE]]-Table1[[#This Row],[LOW_PRICE]]</f>
        <v>23.25</v>
      </c>
      <c r="N682" t="str">
        <f>IF(Table1[[#This Row],[CLOSE_PRICE]]&gt;Table1[[#This Row],[OPEN_PRICE]],"Gain","Loss")</f>
        <v>Loss</v>
      </c>
      <c r="O682" t="str">
        <f>IF(Table1[[#This Row],[MARKET_CAP]]&gt;200000000000,"Large Cap",
IF(Table1[[#This Row],[MARKET_CAP]]&gt;50000000000,"Mid Cap","Small Cap"))</f>
        <v>Small Cap</v>
      </c>
      <c r="P682" t="str">
        <f>IF(Table1[[#This Row],[NET_TRDQTY]]&gt;1000000,"High Volume","Low Volume")</f>
        <v>Low Volume</v>
      </c>
    </row>
    <row r="683" spans="1:16" x14ac:dyDescent="0.3">
      <c r="A683" t="s">
        <v>1372</v>
      </c>
      <c r="B683" t="s">
        <v>1373</v>
      </c>
      <c r="C683">
        <v>7.68</v>
      </c>
      <c r="D683">
        <v>7.78</v>
      </c>
      <c r="E683">
        <v>7.2</v>
      </c>
      <c r="F683">
        <v>7.25</v>
      </c>
      <c r="G683">
        <v>7.53</v>
      </c>
      <c r="H683">
        <v>25902</v>
      </c>
      <c r="I683">
        <v>182</v>
      </c>
      <c r="J683">
        <v>439671762.30000001</v>
      </c>
      <c r="K683">
        <v>60644381</v>
      </c>
      <c r="L683">
        <f>(Table1[[#This Row],[CLOSE_PRICE]] - Table1[[#This Row],[PREV_CL_PR]]) / Table1[[#This Row],[PREV_CL_PR]] * 100</f>
        <v>-3.7184594953519285</v>
      </c>
      <c r="M683">
        <f>Table1[[#This Row],[HIGH_PRICE]]-Table1[[#This Row],[LOW_PRICE]]</f>
        <v>0.58000000000000007</v>
      </c>
      <c r="N683" t="str">
        <f>IF(Table1[[#This Row],[CLOSE_PRICE]]&gt;Table1[[#This Row],[OPEN_PRICE]],"Gain","Loss")</f>
        <v>Loss</v>
      </c>
      <c r="O683" t="str">
        <f>IF(Table1[[#This Row],[MARKET_CAP]]&gt;200000000000,"Large Cap",
IF(Table1[[#This Row],[MARKET_CAP]]&gt;50000000000,"Mid Cap","Small Cap"))</f>
        <v>Small Cap</v>
      </c>
      <c r="P683" t="str">
        <f>IF(Table1[[#This Row],[NET_TRDQTY]]&gt;1000000,"High Volume","Low Volume")</f>
        <v>Low Volume</v>
      </c>
    </row>
    <row r="684" spans="1:16" x14ac:dyDescent="0.3">
      <c r="A684" t="s">
        <v>1374</v>
      </c>
      <c r="B684" t="s">
        <v>1375</v>
      </c>
      <c r="C684">
        <v>66.56</v>
      </c>
      <c r="D684">
        <v>66.569999999999993</v>
      </c>
      <c r="E684">
        <v>64.5</v>
      </c>
      <c r="F684">
        <v>64.91</v>
      </c>
      <c r="G684">
        <v>66.56</v>
      </c>
      <c r="H684">
        <v>274071</v>
      </c>
      <c r="I684">
        <v>588</v>
      </c>
      <c r="J684">
        <v>4377851705</v>
      </c>
      <c r="K684">
        <v>67444950</v>
      </c>
      <c r="L684">
        <f>(Table1[[#This Row],[CLOSE_PRICE]] - Table1[[#This Row],[PREV_CL_PR]]) / Table1[[#This Row],[PREV_CL_PR]] * 100</f>
        <v>-2.4789663461538547</v>
      </c>
      <c r="M684">
        <f>Table1[[#This Row],[HIGH_PRICE]]-Table1[[#This Row],[LOW_PRICE]]</f>
        <v>2.0699999999999932</v>
      </c>
      <c r="N684" t="str">
        <f>IF(Table1[[#This Row],[CLOSE_PRICE]]&gt;Table1[[#This Row],[OPEN_PRICE]],"Gain","Loss")</f>
        <v>Loss</v>
      </c>
      <c r="O684" t="str">
        <f>IF(Table1[[#This Row],[MARKET_CAP]]&gt;200000000000,"Large Cap",
IF(Table1[[#This Row],[MARKET_CAP]]&gt;50000000000,"Mid Cap","Small Cap"))</f>
        <v>Small Cap</v>
      </c>
      <c r="P684" t="str">
        <f>IF(Table1[[#This Row],[NET_TRDQTY]]&gt;1000000,"High Volume","Low Volume")</f>
        <v>Low Volume</v>
      </c>
    </row>
    <row r="685" spans="1:16" x14ac:dyDescent="0.3">
      <c r="A685" t="s">
        <v>1376</v>
      </c>
      <c r="B685" t="s">
        <v>1377</v>
      </c>
      <c r="C685">
        <v>53.02</v>
      </c>
      <c r="D685">
        <v>53.35</v>
      </c>
      <c r="E685">
        <v>50.34</v>
      </c>
      <c r="F685">
        <v>50.72</v>
      </c>
      <c r="G685">
        <v>53.83</v>
      </c>
      <c r="H685">
        <v>224392</v>
      </c>
      <c r="I685">
        <v>1907</v>
      </c>
      <c r="J685">
        <v>3723589729</v>
      </c>
      <c r="K685">
        <v>73414624</v>
      </c>
      <c r="L685">
        <f>(Table1[[#This Row],[CLOSE_PRICE]] - Table1[[#This Row],[PREV_CL_PR]]) / Table1[[#This Row],[PREV_CL_PR]] * 100</f>
        <v>-5.7774475199702762</v>
      </c>
      <c r="M685">
        <f>Table1[[#This Row],[HIGH_PRICE]]-Table1[[#This Row],[LOW_PRICE]]</f>
        <v>3.009999999999998</v>
      </c>
      <c r="N685" t="str">
        <f>IF(Table1[[#This Row],[CLOSE_PRICE]]&gt;Table1[[#This Row],[OPEN_PRICE]],"Gain","Loss")</f>
        <v>Loss</v>
      </c>
      <c r="O685" t="str">
        <f>IF(Table1[[#This Row],[MARKET_CAP]]&gt;200000000000,"Large Cap",
IF(Table1[[#This Row],[MARKET_CAP]]&gt;50000000000,"Mid Cap","Small Cap"))</f>
        <v>Small Cap</v>
      </c>
      <c r="P685" t="str">
        <f>IF(Table1[[#This Row],[NET_TRDQTY]]&gt;1000000,"High Volume","Low Volume")</f>
        <v>Low Volume</v>
      </c>
    </row>
    <row r="686" spans="1:16" x14ac:dyDescent="0.3">
      <c r="A686" t="s">
        <v>1378</v>
      </c>
      <c r="B686" t="s">
        <v>1379</v>
      </c>
      <c r="C686">
        <v>21200</v>
      </c>
      <c r="D686">
        <v>21210</v>
      </c>
      <c r="E686">
        <v>20150</v>
      </c>
      <c r="F686">
        <v>20395</v>
      </c>
      <c r="G686">
        <v>21585</v>
      </c>
      <c r="H686">
        <v>68323</v>
      </c>
      <c r="I686">
        <v>18532</v>
      </c>
      <c r="J686">
        <v>266000000000</v>
      </c>
      <c r="K686">
        <v>13032914</v>
      </c>
      <c r="L686">
        <f>(Table1[[#This Row],[CLOSE_PRICE]] - Table1[[#This Row],[PREV_CL_PR]]) / Table1[[#This Row],[PREV_CL_PR]] * 100</f>
        <v>-5.5130877924484594</v>
      </c>
      <c r="M686">
        <f>Table1[[#This Row],[HIGH_PRICE]]-Table1[[#This Row],[LOW_PRICE]]</f>
        <v>1060</v>
      </c>
      <c r="N686" t="str">
        <f>IF(Table1[[#This Row],[CLOSE_PRICE]]&gt;Table1[[#This Row],[OPEN_PRICE]],"Gain","Loss")</f>
        <v>Loss</v>
      </c>
      <c r="O686" t="str">
        <f>IF(Table1[[#This Row],[MARKET_CAP]]&gt;200000000000,"Large Cap",
IF(Table1[[#This Row],[MARKET_CAP]]&gt;50000000000,"Mid Cap","Small Cap"))</f>
        <v>Large Cap</v>
      </c>
      <c r="P686" t="str">
        <f>IF(Table1[[#This Row],[NET_TRDQTY]]&gt;1000000,"High Volume","Low Volume")</f>
        <v>Low Volume</v>
      </c>
    </row>
    <row r="687" spans="1:16" x14ac:dyDescent="0.3">
      <c r="A687" t="s">
        <v>1380</v>
      </c>
      <c r="B687" t="s">
        <v>1381</v>
      </c>
      <c r="C687">
        <v>812.75</v>
      </c>
      <c r="D687">
        <v>814.3</v>
      </c>
      <c r="E687">
        <v>779.55</v>
      </c>
      <c r="F687">
        <v>799.2</v>
      </c>
      <c r="G687">
        <v>822.05</v>
      </c>
      <c r="H687">
        <v>2080433</v>
      </c>
      <c r="I687">
        <v>79849</v>
      </c>
      <c r="J687">
        <v>603000000000</v>
      </c>
      <c r="K687">
        <v>754958148</v>
      </c>
      <c r="L687">
        <f>(Table1[[#This Row],[CLOSE_PRICE]] - Table1[[#This Row],[PREV_CL_PR]]) / Table1[[#This Row],[PREV_CL_PR]] * 100</f>
        <v>-2.7796362751657333</v>
      </c>
      <c r="M687">
        <f>Table1[[#This Row],[HIGH_PRICE]]-Table1[[#This Row],[LOW_PRICE]]</f>
        <v>34.75</v>
      </c>
      <c r="N687" t="str">
        <f>IF(Table1[[#This Row],[CLOSE_PRICE]]&gt;Table1[[#This Row],[OPEN_PRICE]],"Gain","Loss")</f>
        <v>Loss</v>
      </c>
      <c r="O687" t="str">
        <f>IF(Table1[[#This Row],[MARKET_CAP]]&gt;200000000000,"Large Cap",
IF(Table1[[#This Row],[MARKET_CAP]]&gt;50000000000,"Mid Cap","Small Cap"))</f>
        <v>Large Cap</v>
      </c>
      <c r="P687" t="str">
        <f>IF(Table1[[#This Row],[NET_TRDQTY]]&gt;1000000,"High Volume","Low Volume")</f>
        <v>High Volume</v>
      </c>
    </row>
    <row r="688" spans="1:16" x14ac:dyDescent="0.3">
      <c r="A688" t="s">
        <v>1382</v>
      </c>
      <c r="B688" t="s">
        <v>1383</v>
      </c>
      <c r="C688">
        <v>5227.5</v>
      </c>
      <c r="D688">
        <v>5227.5</v>
      </c>
      <c r="E688">
        <v>4945.5</v>
      </c>
      <c r="F688">
        <v>5044</v>
      </c>
      <c r="G688">
        <v>5247</v>
      </c>
      <c r="H688">
        <v>1730</v>
      </c>
      <c r="I688">
        <v>582</v>
      </c>
      <c r="J688">
        <v>38017934396</v>
      </c>
      <c r="K688">
        <v>7537259</v>
      </c>
      <c r="L688">
        <f>(Table1[[#This Row],[CLOSE_PRICE]] - Table1[[#This Row],[PREV_CL_PR]]) / Table1[[#This Row],[PREV_CL_PR]] * 100</f>
        <v>-3.8688774537831141</v>
      </c>
      <c r="M688">
        <f>Table1[[#This Row],[HIGH_PRICE]]-Table1[[#This Row],[LOW_PRICE]]</f>
        <v>282</v>
      </c>
      <c r="N688" t="str">
        <f>IF(Table1[[#This Row],[CLOSE_PRICE]]&gt;Table1[[#This Row],[OPEN_PRICE]],"Gain","Loss")</f>
        <v>Loss</v>
      </c>
      <c r="O688" t="str">
        <f>IF(Table1[[#This Row],[MARKET_CAP]]&gt;200000000000,"Large Cap",
IF(Table1[[#This Row],[MARKET_CAP]]&gt;50000000000,"Mid Cap","Small Cap"))</f>
        <v>Small Cap</v>
      </c>
      <c r="P688" t="str">
        <f>IF(Table1[[#This Row],[NET_TRDQTY]]&gt;1000000,"High Volume","Low Volume")</f>
        <v>Low Volume</v>
      </c>
    </row>
    <row r="689" spans="1:16" x14ac:dyDescent="0.3">
      <c r="A689" t="s">
        <v>1384</v>
      </c>
      <c r="B689" t="s">
        <v>1385</v>
      </c>
      <c r="C689">
        <v>808</v>
      </c>
      <c r="D689">
        <v>815</v>
      </c>
      <c r="E689">
        <v>776.1</v>
      </c>
      <c r="F689">
        <v>800.9</v>
      </c>
      <c r="G689">
        <v>823.1</v>
      </c>
      <c r="H689">
        <v>223676</v>
      </c>
      <c r="I689">
        <v>11961</v>
      </c>
      <c r="J689">
        <v>138000000000</v>
      </c>
      <c r="K689">
        <v>171965112</v>
      </c>
      <c r="L689">
        <f>(Table1[[#This Row],[CLOSE_PRICE]] - Table1[[#This Row],[PREV_CL_PR]]) / Table1[[#This Row],[PREV_CL_PR]] * 100</f>
        <v>-2.6971206414773472</v>
      </c>
      <c r="M689">
        <f>Table1[[#This Row],[HIGH_PRICE]]-Table1[[#This Row],[LOW_PRICE]]</f>
        <v>38.899999999999977</v>
      </c>
      <c r="N689" t="str">
        <f>IF(Table1[[#This Row],[CLOSE_PRICE]]&gt;Table1[[#This Row],[OPEN_PRICE]],"Gain","Loss")</f>
        <v>Loss</v>
      </c>
      <c r="O689" t="str">
        <f>IF(Table1[[#This Row],[MARKET_CAP]]&gt;200000000000,"Large Cap",
IF(Table1[[#This Row],[MARKET_CAP]]&gt;50000000000,"Mid Cap","Small Cap"))</f>
        <v>Mid Cap</v>
      </c>
      <c r="P689" t="str">
        <f>IF(Table1[[#This Row],[NET_TRDQTY]]&gt;1000000,"High Volume","Low Volume")</f>
        <v>Low Volume</v>
      </c>
    </row>
    <row r="690" spans="1:16" x14ac:dyDescent="0.3">
      <c r="A690" t="s">
        <v>1386</v>
      </c>
      <c r="B690" t="s">
        <v>1387</v>
      </c>
      <c r="C690">
        <v>215</v>
      </c>
      <c r="D690">
        <v>215</v>
      </c>
      <c r="E690">
        <v>204.15</v>
      </c>
      <c r="F690">
        <v>207.18</v>
      </c>
      <c r="G690">
        <v>216.97</v>
      </c>
      <c r="H690">
        <v>916616</v>
      </c>
      <c r="I690">
        <v>20945</v>
      </c>
      <c r="J690">
        <v>144000000000</v>
      </c>
      <c r="K690">
        <v>696990826</v>
      </c>
      <c r="L690">
        <f>(Table1[[#This Row],[CLOSE_PRICE]] - Table1[[#This Row],[PREV_CL_PR]]) / Table1[[#This Row],[PREV_CL_PR]] * 100</f>
        <v>-4.5121445361109789</v>
      </c>
      <c r="M690">
        <f>Table1[[#This Row],[HIGH_PRICE]]-Table1[[#This Row],[LOW_PRICE]]</f>
        <v>10.849999999999994</v>
      </c>
      <c r="N690" t="str">
        <f>IF(Table1[[#This Row],[CLOSE_PRICE]]&gt;Table1[[#This Row],[OPEN_PRICE]],"Gain","Loss")</f>
        <v>Loss</v>
      </c>
      <c r="O690" t="str">
        <f>IF(Table1[[#This Row],[MARKET_CAP]]&gt;200000000000,"Large Cap",
IF(Table1[[#This Row],[MARKET_CAP]]&gt;50000000000,"Mid Cap","Small Cap"))</f>
        <v>Mid Cap</v>
      </c>
      <c r="P690" t="str">
        <f>IF(Table1[[#This Row],[NET_TRDQTY]]&gt;1000000,"High Volume","Low Volume")</f>
        <v>Low Volume</v>
      </c>
    </row>
    <row r="691" spans="1:16" x14ac:dyDescent="0.3">
      <c r="A691" t="s">
        <v>1388</v>
      </c>
      <c r="B691" t="s">
        <v>1389</v>
      </c>
      <c r="C691">
        <v>156.21</v>
      </c>
      <c r="D691">
        <v>156.96</v>
      </c>
      <c r="E691">
        <v>148.24</v>
      </c>
      <c r="F691">
        <v>151.29</v>
      </c>
      <c r="G691">
        <v>159.01</v>
      </c>
      <c r="H691">
        <v>459015</v>
      </c>
      <c r="I691">
        <v>9026</v>
      </c>
      <c r="J691">
        <v>24325078381</v>
      </c>
      <c r="K691">
        <v>160784443</v>
      </c>
      <c r="L691">
        <f>(Table1[[#This Row],[CLOSE_PRICE]] - Table1[[#This Row],[PREV_CL_PR]]) / Table1[[#This Row],[PREV_CL_PR]] * 100</f>
        <v>-4.8550405634865728</v>
      </c>
      <c r="M691">
        <f>Table1[[#This Row],[HIGH_PRICE]]-Table1[[#This Row],[LOW_PRICE]]</f>
        <v>8.7199999999999989</v>
      </c>
      <c r="N691" t="str">
        <f>IF(Table1[[#This Row],[CLOSE_PRICE]]&gt;Table1[[#This Row],[OPEN_PRICE]],"Gain","Loss")</f>
        <v>Loss</v>
      </c>
      <c r="O691" t="str">
        <f>IF(Table1[[#This Row],[MARKET_CAP]]&gt;200000000000,"Large Cap",
IF(Table1[[#This Row],[MARKET_CAP]]&gt;50000000000,"Mid Cap","Small Cap"))</f>
        <v>Small Cap</v>
      </c>
      <c r="P691" t="str">
        <f>IF(Table1[[#This Row],[NET_TRDQTY]]&gt;1000000,"High Volume","Low Volume")</f>
        <v>Low Volume</v>
      </c>
    </row>
    <row r="692" spans="1:16" x14ac:dyDescent="0.3">
      <c r="A692" t="s">
        <v>1390</v>
      </c>
      <c r="B692" t="s">
        <v>1391</v>
      </c>
      <c r="C692">
        <v>846.7</v>
      </c>
      <c r="D692">
        <v>849.95</v>
      </c>
      <c r="E692">
        <v>823.3</v>
      </c>
      <c r="F692">
        <v>831</v>
      </c>
      <c r="G692">
        <v>862.95</v>
      </c>
      <c r="H692">
        <v>293461</v>
      </c>
      <c r="I692">
        <v>16114</v>
      </c>
      <c r="J692">
        <v>119000000000</v>
      </c>
      <c r="K692">
        <v>143643940</v>
      </c>
      <c r="L692">
        <f>(Table1[[#This Row],[CLOSE_PRICE]] - Table1[[#This Row],[PREV_CL_PR]]) / Table1[[#This Row],[PREV_CL_PR]] * 100</f>
        <v>-3.7024161307144152</v>
      </c>
      <c r="M692">
        <f>Table1[[#This Row],[HIGH_PRICE]]-Table1[[#This Row],[LOW_PRICE]]</f>
        <v>26.650000000000091</v>
      </c>
      <c r="N692" t="str">
        <f>IF(Table1[[#This Row],[CLOSE_PRICE]]&gt;Table1[[#This Row],[OPEN_PRICE]],"Gain","Loss")</f>
        <v>Loss</v>
      </c>
      <c r="O692" t="str">
        <f>IF(Table1[[#This Row],[MARKET_CAP]]&gt;200000000000,"Large Cap",
IF(Table1[[#This Row],[MARKET_CAP]]&gt;50000000000,"Mid Cap","Small Cap"))</f>
        <v>Mid Cap</v>
      </c>
      <c r="P692" t="str">
        <f>IF(Table1[[#This Row],[NET_TRDQTY]]&gt;1000000,"High Volume","Low Volume")</f>
        <v>Low Volume</v>
      </c>
    </row>
    <row r="693" spans="1:16" x14ac:dyDescent="0.3">
      <c r="A693" t="s">
        <v>1392</v>
      </c>
      <c r="B693" t="s">
        <v>1393</v>
      </c>
      <c r="C693">
        <v>131.56</v>
      </c>
      <c r="D693">
        <v>133.99</v>
      </c>
      <c r="E693">
        <v>127.58</v>
      </c>
      <c r="F693">
        <v>127.98</v>
      </c>
      <c r="G693">
        <v>134.51</v>
      </c>
      <c r="H693">
        <v>446158</v>
      </c>
      <c r="I693">
        <v>7000</v>
      </c>
      <c r="J693">
        <v>58700671067</v>
      </c>
      <c r="K693">
        <v>458670660</v>
      </c>
      <c r="L693">
        <f>(Table1[[#This Row],[CLOSE_PRICE]] - Table1[[#This Row],[PREV_CL_PR]]) / Table1[[#This Row],[PREV_CL_PR]] * 100</f>
        <v>-4.8546576462716438</v>
      </c>
      <c r="M693">
        <f>Table1[[#This Row],[HIGH_PRICE]]-Table1[[#This Row],[LOW_PRICE]]</f>
        <v>6.4100000000000108</v>
      </c>
      <c r="N693" t="str">
        <f>IF(Table1[[#This Row],[CLOSE_PRICE]]&gt;Table1[[#This Row],[OPEN_PRICE]],"Gain","Loss")</f>
        <v>Loss</v>
      </c>
      <c r="O693" t="str">
        <f>IF(Table1[[#This Row],[MARKET_CAP]]&gt;200000000000,"Large Cap",
IF(Table1[[#This Row],[MARKET_CAP]]&gt;50000000000,"Mid Cap","Small Cap"))</f>
        <v>Mid Cap</v>
      </c>
      <c r="P693" t="str">
        <f>IF(Table1[[#This Row],[NET_TRDQTY]]&gt;1000000,"High Volume","Low Volume")</f>
        <v>Low Volume</v>
      </c>
    </row>
    <row r="694" spans="1:16" x14ac:dyDescent="0.3">
      <c r="A694" t="s">
        <v>1394</v>
      </c>
      <c r="B694" t="s">
        <v>1395</v>
      </c>
      <c r="C694">
        <v>745</v>
      </c>
      <c r="D694">
        <v>749</v>
      </c>
      <c r="E694">
        <v>722.05</v>
      </c>
      <c r="F694">
        <v>741.05</v>
      </c>
      <c r="G694">
        <v>749.9</v>
      </c>
      <c r="H694">
        <v>19422</v>
      </c>
      <c r="I694">
        <v>1121</v>
      </c>
      <c r="J694">
        <v>9448591289</v>
      </c>
      <c r="K694">
        <v>12750275</v>
      </c>
      <c r="L694">
        <f>(Table1[[#This Row],[CLOSE_PRICE]] - Table1[[#This Row],[PREV_CL_PR]]) / Table1[[#This Row],[PREV_CL_PR]] * 100</f>
        <v>-1.1801573543139117</v>
      </c>
      <c r="M694">
        <f>Table1[[#This Row],[HIGH_PRICE]]-Table1[[#This Row],[LOW_PRICE]]</f>
        <v>26.950000000000045</v>
      </c>
      <c r="N694" t="str">
        <f>IF(Table1[[#This Row],[CLOSE_PRICE]]&gt;Table1[[#This Row],[OPEN_PRICE]],"Gain","Loss")</f>
        <v>Loss</v>
      </c>
      <c r="O694" t="str">
        <f>IF(Table1[[#This Row],[MARKET_CAP]]&gt;200000000000,"Large Cap",
IF(Table1[[#This Row],[MARKET_CAP]]&gt;50000000000,"Mid Cap","Small Cap"))</f>
        <v>Small Cap</v>
      </c>
      <c r="P694" t="str">
        <f>IF(Table1[[#This Row],[NET_TRDQTY]]&gt;1000000,"High Volume","Low Volume")</f>
        <v>Low Volume</v>
      </c>
    </row>
    <row r="695" spans="1:16" x14ac:dyDescent="0.3">
      <c r="A695" t="s">
        <v>1396</v>
      </c>
      <c r="B695" t="s">
        <v>1397</v>
      </c>
      <c r="C695">
        <v>1634</v>
      </c>
      <c r="D695">
        <v>1651.7</v>
      </c>
      <c r="E695">
        <v>1557</v>
      </c>
      <c r="F695">
        <v>1567.4</v>
      </c>
      <c r="G695">
        <v>1641</v>
      </c>
      <c r="H695">
        <v>25777</v>
      </c>
      <c r="I695">
        <v>6524</v>
      </c>
      <c r="J695">
        <v>55571778285</v>
      </c>
      <c r="K695">
        <v>35454752</v>
      </c>
      <c r="L695">
        <f>(Table1[[#This Row],[CLOSE_PRICE]] - Table1[[#This Row],[PREV_CL_PR]]) / Table1[[#This Row],[PREV_CL_PR]] * 100</f>
        <v>-4.485070079219982</v>
      </c>
      <c r="M695">
        <f>Table1[[#This Row],[HIGH_PRICE]]-Table1[[#This Row],[LOW_PRICE]]</f>
        <v>94.700000000000045</v>
      </c>
      <c r="N695" t="str">
        <f>IF(Table1[[#This Row],[CLOSE_PRICE]]&gt;Table1[[#This Row],[OPEN_PRICE]],"Gain","Loss")</f>
        <v>Loss</v>
      </c>
      <c r="O695" t="str">
        <f>IF(Table1[[#This Row],[MARKET_CAP]]&gt;200000000000,"Large Cap",
IF(Table1[[#This Row],[MARKET_CAP]]&gt;50000000000,"Mid Cap","Small Cap"))</f>
        <v>Mid Cap</v>
      </c>
      <c r="P695" t="str">
        <f>IF(Table1[[#This Row],[NET_TRDQTY]]&gt;1000000,"High Volume","Low Volume")</f>
        <v>Low Volume</v>
      </c>
    </row>
    <row r="696" spans="1:16" x14ac:dyDescent="0.3">
      <c r="A696" t="s">
        <v>1398</v>
      </c>
      <c r="B696" t="s">
        <v>1399</v>
      </c>
      <c r="C696">
        <v>553</v>
      </c>
      <c r="D696">
        <v>553.20000000000005</v>
      </c>
      <c r="E696">
        <v>530.04999999999995</v>
      </c>
      <c r="F696">
        <v>532.20000000000005</v>
      </c>
      <c r="G696">
        <v>555.95000000000005</v>
      </c>
      <c r="H696">
        <v>113379</v>
      </c>
      <c r="I696">
        <v>5681</v>
      </c>
      <c r="J696">
        <v>128000000000</v>
      </c>
      <c r="K696">
        <v>241280945</v>
      </c>
      <c r="L696">
        <f>(Table1[[#This Row],[CLOSE_PRICE]] - Table1[[#This Row],[PREV_CL_PR]]) / Table1[[#This Row],[PREV_CL_PR]] * 100</f>
        <v>-4.2719669034985159</v>
      </c>
      <c r="M696">
        <f>Table1[[#This Row],[HIGH_PRICE]]-Table1[[#This Row],[LOW_PRICE]]</f>
        <v>23.150000000000091</v>
      </c>
      <c r="N696" t="str">
        <f>IF(Table1[[#This Row],[CLOSE_PRICE]]&gt;Table1[[#This Row],[OPEN_PRICE]],"Gain","Loss")</f>
        <v>Loss</v>
      </c>
      <c r="O696" t="str">
        <f>IF(Table1[[#This Row],[MARKET_CAP]]&gt;200000000000,"Large Cap",
IF(Table1[[#This Row],[MARKET_CAP]]&gt;50000000000,"Mid Cap","Small Cap"))</f>
        <v>Mid Cap</v>
      </c>
      <c r="P696" t="str">
        <f>IF(Table1[[#This Row],[NET_TRDQTY]]&gt;1000000,"High Volume","Low Volume")</f>
        <v>Low Volume</v>
      </c>
    </row>
    <row r="697" spans="1:16" x14ac:dyDescent="0.3">
      <c r="A697" t="s">
        <v>1400</v>
      </c>
      <c r="B697" t="s">
        <v>1401</v>
      </c>
      <c r="C697">
        <v>130</v>
      </c>
      <c r="D697">
        <v>130.35</v>
      </c>
      <c r="E697">
        <v>127</v>
      </c>
      <c r="F697">
        <v>127.21</v>
      </c>
      <c r="G697">
        <v>132.38</v>
      </c>
      <c r="H697">
        <v>200462</v>
      </c>
      <c r="I697">
        <v>2700</v>
      </c>
      <c r="J697">
        <v>12451255011</v>
      </c>
      <c r="K697">
        <v>97879530</v>
      </c>
      <c r="L697">
        <f>(Table1[[#This Row],[CLOSE_PRICE]] - Table1[[#This Row],[PREV_CL_PR]]) / Table1[[#This Row],[PREV_CL_PR]] * 100</f>
        <v>-3.905423780027196</v>
      </c>
      <c r="M697">
        <f>Table1[[#This Row],[HIGH_PRICE]]-Table1[[#This Row],[LOW_PRICE]]</f>
        <v>3.3499999999999943</v>
      </c>
      <c r="N697" t="str">
        <f>IF(Table1[[#This Row],[CLOSE_PRICE]]&gt;Table1[[#This Row],[OPEN_PRICE]],"Gain","Loss")</f>
        <v>Loss</v>
      </c>
      <c r="O697" t="str">
        <f>IF(Table1[[#This Row],[MARKET_CAP]]&gt;200000000000,"Large Cap",
IF(Table1[[#This Row],[MARKET_CAP]]&gt;50000000000,"Mid Cap","Small Cap"))</f>
        <v>Small Cap</v>
      </c>
      <c r="P697" t="str">
        <f>IF(Table1[[#This Row],[NET_TRDQTY]]&gt;1000000,"High Volume","Low Volume")</f>
        <v>Low Volume</v>
      </c>
    </row>
    <row r="698" spans="1:16" x14ac:dyDescent="0.3">
      <c r="A698" t="s">
        <v>1402</v>
      </c>
      <c r="B698" t="s">
        <v>1403</v>
      </c>
      <c r="C698">
        <v>803.2</v>
      </c>
      <c r="D698">
        <v>808.1</v>
      </c>
      <c r="E698">
        <v>773.5</v>
      </c>
      <c r="F698">
        <v>779.55</v>
      </c>
      <c r="G698">
        <v>803.2</v>
      </c>
      <c r="H698">
        <v>8241</v>
      </c>
      <c r="I698">
        <v>606</v>
      </c>
      <c r="J698">
        <v>9473091600</v>
      </c>
      <c r="K698">
        <v>12152000</v>
      </c>
      <c r="L698">
        <f>(Table1[[#This Row],[CLOSE_PRICE]] - Table1[[#This Row],[PREV_CL_PR]]) / Table1[[#This Row],[PREV_CL_PR]] * 100</f>
        <v>-2.9444721115537962</v>
      </c>
      <c r="M698">
        <f>Table1[[#This Row],[HIGH_PRICE]]-Table1[[#This Row],[LOW_PRICE]]</f>
        <v>34.600000000000023</v>
      </c>
      <c r="N698" t="str">
        <f>IF(Table1[[#This Row],[CLOSE_PRICE]]&gt;Table1[[#This Row],[OPEN_PRICE]],"Gain","Loss")</f>
        <v>Loss</v>
      </c>
      <c r="O698" t="str">
        <f>IF(Table1[[#This Row],[MARKET_CAP]]&gt;200000000000,"Large Cap",
IF(Table1[[#This Row],[MARKET_CAP]]&gt;50000000000,"Mid Cap","Small Cap"))</f>
        <v>Small Cap</v>
      </c>
      <c r="P698" t="str">
        <f>IF(Table1[[#This Row],[NET_TRDQTY]]&gt;1000000,"High Volume","Low Volume")</f>
        <v>Low Volume</v>
      </c>
    </row>
    <row r="699" spans="1:16" x14ac:dyDescent="0.3">
      <c r="A699" t="s">
        <v>1404</v>
      </c>
      <c r="B699" t="s">
        <v>1405</v>
      </c>
      <c r="C699">
        <v>805.15</v>
      </c>
      <c r="D699">
        <v>806.45</v>
      </c>
      <c r="E699">
        <v>752.7</v>
      </c>
      <c r="F699">
        <v>765.1</v>
      </c>
      <c r="G699">
        <v>805.2</v>
      </c>
      <c r="H699">
        <v>92067</v>
      </c>
      <c r="I699">
        <v>7934</v>
      </c>
      <c r="J699">
        <v>20501607358</v>
      </c>
      <c r="K699">
        <v>26795984</v>
      </c>
      <c r="L699">
        <f>(Table1[[#This Row],[CLOSE_PRICE]] - Table1[[#This Row],[PREV_CL_PR]]) / Table1[[#This Row],[PREV_CL_PR]] * 100</f>
        <v>-4.9801291604570324</v>
      </c>
      <c r="M699">
        <f>Table1[[#This Row],[HIGH_PRICE]]-Table1[[#This Row],[LOW_PRICE]]</f>
        <v>53.75</v>
      </c>
      <c r="N699" t="str">
        <f>IF(Table1[[#This Row],[CLOSE_PRICE]]&gt;Table1[[#This Row],[OPEN_PRICE]],"Gain","Loss")</f>
        <v>Loss</v>
      </c>
      <c r="O699" t="str">
        <f>IF(Table1[[#This Row],[MARKET_CAP]]&gt;200000000000,"Large Cap",
IF(Table1[[#This Row],[MARKET_CAP]]&gt;50000000000,"Mid Cap","Small Cap"))</f>
        <v>Small Cap</v>
      </c>
      <c r="P699" t="str">
        <f>IF(Table1[[#This Row],[NET_TRDQTY]]&gt;1000000,"High Volume","Low Volume")</f>
        <v>Low Volume</v>
      </c>
    </row>
    <row r="700" spans="1:16" x14ac:dyDescent="0.3">
      <c r="A700" t="s">
        <v>1406</v>
      </c>
      <c r="B700" t="s">
        <v>1407</v>
      </c>
      <c r="C700">
        <v>75</v>
      </c>
      <c r="D700">
        <v>80</v>
      </c>
      <c r="E700">
        <v>74.260000000000005</v>
      </c>
      <c r="F700">
        <v>77.599999999999994</v>
      </c>
      <c r="G700">
        <v>76.39</v>
      </c>
      <c r="H700">
        <v>498284</v>
      </c>
      <c r="I700">
        <v>5896</v>
      </c>
      <c r="J700">
        <v>5586379070</v>
      </c>
      <c r="K700">
        <v>71989421</v>
      </c>
      <c r="L700">
        <f>(Table1[[#This Row],[CLOSE_PRICE]] - Table1[[#This Row],[PREV_CL_PR]]) / Table1[[#This Row],[PREV_CL_PR]] * 100</f>
        <v>1.5839769603351144</v>
      </c>
      <c r="M700">
        <f>Table1[[#This Row],[HIGH_PRICE]]-Table1[[#This Row],[LOW_PRICE]]</f>
        <v>5.7399999999999949</v>
      </c>
      <c r="N700" t="str">
        <f>IF(Table1[[#This Row],[CLOSE_PRICE]]&gt;Table1[[#This Row],[OPEN_PRICE]],"Gain","Loss")</f>
        <v>Gain</v>
      </c>
      <c r="O700" t="str">
        <f>IF(Table1[[#This Row],[MARKET_CAP]]&gt;200000000000,"Large Cap",
IF(Table1[[#This Row],[MARKET_CAP]]&gt;50000000000,"Mid Cap","Small Cap"))</f>
        <v>Small Cap</v>
      </c>
      <c r="P700" t="str">
        <f>IF(Table1[[#This Row],[NET_TRDQTY]]&gt;1000000,"High Volume","Low Volume")</f>
        <v>Low Volume</v>
      </c>
    </row>
    <row r="701" spans="1:16" x14ac:dyDescent="0.3">
      <c r="A701" t="s">
        <v>1408</v>
      </c>
      <c r="B701" t="s">
        <v>1409</v>
      </c>
      <c r="C701">
        <v>169.95</v>
      </c>
      <c r="D701">
        <v>171.9</v>
      </c>
      <c r="E701">
        <v>157.82</v>
      </c>
      <c r="F701">
        <v>161.62</v>
      </c>
      <c r="G701">
        <v>174.04</v>
      </c>
      <c r="H701">
        <v>247826</v>
      </c>
      <c r="I701">
        <v>3301</v>
      </c>
      <c r="J701">
        <v>6531540333</v>
      </c>
      <c r="K701">
        <v>40412946</v>
      </c>
      <c r="L701">
        <f>(Table1[[#This Row],[CLOSE_PRICE]] - Table1[[#This Row],[PREV_CL_PR]]) / Table1[[#This Row],[PREV_CL_PR]] * 100</f>
        <v>-7.1362905079292052</v>
      </c>
      <c r="M701">
        <f>Table1[[#This Row],[HIGH_PRICE]]-Table1[[#This Row],[LOW_PRICE]]</f>
        <v>14.080000000000013</v>
      </c>
      <c r="N701" t="str">
        <f>IF(Table1[[#This Row],[CLOSE_PRICE]]&gt;Table1[[#This Row],[OPEN_PRICE]],"Gain","Loss")</f>
        <v>Loss</v>
      </c>
      <c r="O701" t="str">
        <f>IF(Table1[[#This Row],[MARKET_CAP]]&gt;200000000000,"Large Cap",
IF(Table1[[#This Row],[MARKET_CAP]]&gt;50000000000,"Mid Cap","Small Cap"))</f>
        <v>Small Cap</v>
      </c>
      <c r="P701" t="str">
        <f>IF(Table1[[#This Row],[NET_TRDQTY]]&gt;1000000,"High Volume","Low Volume")</f>
        <v>Low Volume</v>
      </c>
    </row>
    <row r="702" spans="1:16" x14ac:dyDescent="0.3">
      <c r="A702" t="s">
        <v>1410</v>
      </c>
      <c r="B702" t="s">
        <v>1411</v>
      </c>
      <c r="C702">
        <v>587</v>
      </c>
      <c r="D702">
        <v>590.4</v>
      </c>
      <c r="E702">
        <v>552.1</v>
      </c>
      <c r="F702">
        <v>556.20000000000005</v>
      </c>
      <c r="G702">
        <v>590.5</v>
      </c>
      <c r="H702">
        <v>50534</v>
      </c>
      <c r="I702">
        <v>3212</v>
      </c>
      <c r="J702">
        <v>46379899458</v>
      </c>
      <c r="K702">
        <v>83387090</v>
      </c>
      <c r="L702">
        <f>(Table1[[#This Row],[CLOSE_PRICE]] - Table1[[#This Row],[PREV_CL_PR]]) / Table1[[#This Row],[PREV_CL_PR]] * 100</f>
        <v>-5.8086367485181967</v>
      </c>
      <c r="M702">
        <f>Table1[[#This Row],[HIGH_PRICE]]-Table1[[#This Row],[LOW_PRICE]]</f>
        <v>38.299999999999955</v>
      </c>
      <c r="N702" t="str">
        <f>IF(Table1[[#This Row],[CLOSE_PRICE]]&gt;Table1[[#This Row],[OPEN_PRICE]],"Gain","Loss")</f>
        <v>Loss</v>
      </c>
      <c r="O702" t="str">
        <f>IF(Table1[[#This Row],[MARKET_CAP]]&gt;200000000000,"Large Cap",
IF(Table1[[#This Row],[MARKET_CAP]]&gt;50000000000,"Mid Cap","Small Cap"))</f>
        <v>Small Cap</v>
      </c>
      <c r="P702" t="str">
        <f>IF(Table1[[#This Row],[NET_TRDQTY]]&gt;1000000,"High Volume","Low Volume")</f>
        <v>Low Volume</v>
      </c>
    </row>
    <row r="703" spans="1:16" x14ac:dyDescent="0.3">
      <c r="A703" t="s">
        <v>1412</v>
      </c>
      <c r="B703" t="s">
        <v>1413</v>
      </c>
      <c r="C703">
        <v>2.79</v>
      </c>
      <c r="D703">
        <v>2.82</v>
      </c>
      <c r="E703">
        <v>2.7</v>
      </c>
      <c r="F703">
        <v>2.72</v>
      </c>
      <c r="G703">
        <v>2.79</v>
      </c>
      <c r="H703">
        <v>169060</v>
      </c>
      <c r="I703">
        <v>302</v>
      </c>
      <c r="J703">
        <v>366662065.60000002</v>
      </c>
      <c r="K703">
        <v>134802230</v>
      </c>
      <c r="L703">
        <f>(Table1[[#This Row],[CLOSE_PRICE]] - Table1[[#This Row],[PREV_CL_PR]]) / Table1[[#This Row],[PREV_CL_PR]] * 100</f>
        <v>-2.5089605734766969</v>
      </c>
      <c r="M703">
        <f>Table1[[#This Row],[HIGH_PRICE]]-Table1[[#This Row],[LOW_PRICE]]</f>
        <v>0.11999999999999966</v>
      </c>
      <c r="N703" t="str">
        <f>IF(Table1[[#This Row],[CLOSE_PRICE]]&gt;Table1[[#This Row],[OPEN_PRICE]],"Gain","Loss")</f>
        <v>Loss</v>
      </c>
      <c r="O703" t="str">
        <f>IF(Table1[[#This Row],[MARKET_CAP]]&gt;200000000000,"Large Cap",
IF(Table1[[#This Row],[MARKET_CAP]]&gt;50000000000,"Mid Cap","Small Cap"))</f>
        <v>Small Cap</v>
      </c>
      <c r="P703" t="str">
        <f>IF(Table1[[#This Row],[NET_TRDQTY]]&gt;1000000,"High Volume","Low Volume")</f>
        <v>Low Volume</v>
      </c>
    </row>
    <row r="704" spans="1:16" x14ac:dyDescent="0.3">
      <c r="A704" t="s">
        <v>1414</v>
      </c>
      <c r="B704" t="s">
        <v>1415</v>
      </c>
      <c r="C704">
        <v>113.01</v>
      </c>
      <c r="D704">
        <v>113.01</v>
      </c>
      <c r="E704">
        <v>105.05</v>
      </c>
      <c r="F704">
        <v>107.04</v>
      </c>
      <c r="G704">
        <v>112.46</v>
      </c>
      <c r="H704">
        <v>1720</v>
      </c>
      <c r="I704">
        <v>194</v>
      </c>
      <c r="J704">
        <v>1070794657</v>
      </c>
      <c r="K704">
        <v>10003687</v>
      </c>
      <c r="L704">
        <f>(Table1[[#This Row],[CLOSE_PRICE]] - Table1[[#This Row],[PREV_CL_PR]]) / Table1[[#This Row],[PREV_CL_PR]] * 100</f>
        <v>-4.8194913747109975</v>
      </c>
      <c r="M704">
        <f>Table1[[#This Row],[HIGH_PRICE]]-Table1[[#This Row],[LOW_PRICE]]</f>
        <v>7.960000000000008</v>
      </c>
      <c r="N704" t="str">
        <f>IF(Table1[[#This Row],[CLOSE_PRICE]]&gt;Table1[[#This Row],[OPEN_PRICE]],"Gain","Loss")</f>
        <v>Loss</v>
      </c>
      <c r="O704" t="str">
        <f>IF(Table1[[#This Row],[MARKET_CAP]]&gt;200000000000,"Large Cap",
IF(Table1[[#This Row],[MARKET_CAP]]&gt;50000000000,"Mid Cap","Small Cap"))</f>
        <v>Small Cap</v>
      </c>
      <c r="P704" t="str">
        <f>IF(Table1[[#This Row],[NET_TRDQTY]]&gt;1000000,"High Volume","Low Volume")</f>
        <v>Low Volume</v>
      </c>
    </row>
    <row r="705" spans="1:16" x14ac:dyDescent="0.3">
      <c r="A705" t="s">
        <v>1416</v>
      </c>
      <c r="B705" t="s">
        <v>1417</v>
      </c>
      <c r="C705">
        <v>607.04999999999995</v>
      </c>
      <c r="D705">
        <v>607.04999999999995</v>
      </c>
      <c r="E705">
        <v>594</v>
      </c>
      <c r="F705">
        <v>600.5</v>
      </c>
      <c r="G705">
        <v>611.70000000000005</v>
      </c>
      <c r="H705">
        <v>61901</v>
      </c>
      <c r="I705">
        <v>4040</v>
      </c>
      <c r="J705">
        <v>59609139923</v>
      </c>
      <c r="K705">
        <v>99265845</v>
      </c>
      <c r="L705">
        <f>(Table1[[#This Row],[CLOSE_PRICE]] - Table1[[#This Row],[PREV_CL_PR]]) / Table1[[#This Row],[PREV_CL_PR]] * 100</f>
        <v>-1.8309628903057127</v>
      </c>
      <c r="M705">
        <f>Table1[[#This Row],[HIGH_PRICE]]-Table1[[#This Row],[LOW_PRICE]]</f>
        <v>13.049999999999955</v>
      </c>
      <c r="N705" t="str">
        <f>IF(Table1[[#This Row],[CLOSE_PRICE]]&gt;Table1[[#This Row],[OPEN_PRICE]],"Gain","Loss")</f>
        <v>Loss</v>
      </c>
      <c r="O705" t="str">
        <f>IF(Table1[[#This Row],[MARKET_CAP]]&gt;200000000000,"Large Cap",
IF(Table1[[#This Row],[MARKET_CAP]]&gt;50000000000,"Mid Cap","Small Cap"))</f>
        <v>Mid Cap</v>
      </c>
      <c r="P705" t="str">
        <f>IF(Table1[[#This Row],[NET_TRDQTY]]&gt;1000000,"High Volume","Low Volume")</f>
        <v>Low Volume</v>
      </c>
    </row>
    <row r="706" spans="1:16" x14ac:dyDescent="0.3">
      <c r="A706" t="s">
        <v>1418</v>
      </c>
      <c r="B706" t="s">
        <v>1419</v>
      </c>
      <c r="C706">
        <v>155.43</v>
      </c>
      <c r="D706">
        <v>157.44999999999999</v>
      </c>
      <c r="E706">
        <v>146</v>
      </c>
      <c r="F706">
        <v>150.28</v>
      </c>
      <c r="G706">
        <v>159.84</v>
      </c>
      <c r="H706">
        <v>1177399</v>
      </c>
      <c r="I706">
        <v>14955</v>
      </c>
      <c r="J706">
        <v>13982312988</v>
      </c>
      <c r="K706">
        <v>93041742</v>
      </c>
      <c r="L706">
        <f>(Table1[[#This Row],[CLOSE_PRICE]] - Table1[[#This Row],[PREV_CL_PR]]) / Table1[[#This Row],[PREV_CL_PR]] * 100</f>
        <v>-5.9809809809809824</v>
      </c>
      <c r="M706">
        <f>Table1[[#This Row],[HIGH_PRICE]]-Table1[[#This Row],[LOW_PRICE]]</f>
        <v>11.449999999999989</v>
      </c>
      <c r="N706" t="str">
        <f>IF(Table1[[#This Row],[CLOSE_PRICE]]&gt;Table1[[#This Row],[OPEN_PRICE]],"Gain","Loss")</f>
        <v>Loss</v>
      </c>
      <c r="O706" t="str">
        <f>IF(Table1[[#This Row],[MARKET_CAP]]&gt;200000000000,"Large Cap",
IF(Table1[[#This Row],[MARKET_CAP]]&gt;50000000000,"Mid Cap","Small Cap"))</f>
        <v>Small Cap</v>
      </c>
      <c r="P706" t="str">
        <f>IF(Table1[[#This Row],[NET_TRDQTY]]&gt;1000000,"High Volume","Low Volume")</f>
        <v>High Volume</v>
      </c>
    </row>
    <row r="707" spans="1:16" x14ac:dyDescent="0.3">
      <c r="A707" t="s">
        <v>1420</v>
      </c>
      <c r="B707" t="s">
        <v>1421</v>
      </c>
      <c r="C707">
        <v>0.47</v>
      </c>
      <c r="D707">
        <v>0.47</v>
      </c>
      <c r="E707">
        <v>0.44</v>
      </c>
      <c r="F707">
        <v>0.45</v>
      </c>
      <c r="G707">
        <v>0.46</v>
      </c>
      <c r="H707">
        <v>6285411</v>
      </c>
      <c r="I707">
        <v>1200</v>
      </c>
      <c r="J707">
        <v>496234006.19999999</v>
      </c>
      <c r="K707">
        <v>1102742236</v>
      </c>
      <c r="L707">
        <f>(Table1[[#This Row],[CLOSE_PRICE]] - Table1[[#This Row],[PREV_CL_PR]]) / Table1[[#This Row],[PREV_CL_PR]] * 100</f>
        <v>-2.1739130434782625</v>
      </c>
      <c r="M707">
        <f>Table1[[#This Row],[HIGH_PRICE]]-Table1[[#This Row],[LOW_PRICE]]</f>
        <v>2.9999999999999971E-2</v>
      </c>
      <c r="N707" t="str">
        <f>IF(Table1[[#This Row],[CLOSE_PRICE]]&gt;Table1[[#This Row],[OPEN_PRICE]],"Gain","Loss")</f>
        <v>Loss</v>
      </c>
      <c r="O707" t="str">
        <f>IF(Table1[[#This Row],[MARKET_CAP]]&gt;200000000000,"Large Cap",
IF(Table1[[#This Row],[MARKET_CAP]]&gt;50000000000,"Mid Cap","Small Cap"))</f>
        <v>Small Cap</v>
      </c>
      <c r="P707" t="str">
        <f>IF(Table1[[#This Row],[NET_TRDQTY]]&gt;1000000,"High Volume","Low Volume")</f>
        <v>High Volume</v>
      </c>
    </row>
    <row r="708" spans="1:16" x14ac:dyDescent="0.3">
      <c r="A708" t="s">
        <v>1422</v>
      </c>
      <c r="B708" t="s">
        <v>1421</v>
      </c>
      <c r="C708">
        <v>0.4</v>
      </c>
      <c r="D708">
        <v>0.41</v>
      </c>
      <c r="E708">
        <v>0.38</v>
      </c>
      <c r="F708">
        <v>0.38</v>
      </c>
      <c r="G708">
        <v>0.39</v>
      </c>
      <c r="H708">
        <v>355248</v>
      </c>
      <c r="I708">
        <v>266</v>
      </c>
      <c r="J708">
        <v>72073039.700000003</v>
      </c>
      <c r="K708">
        <v>189665894</v>
      </c>
      <c r="L708">
        <f>(Table1[[#This Row],[CLOSE_PRICE]] - Table1[[#This Row],[PREV_CL_PR]]) / Table1[[#This Row],[PREV_CL_PR]] * 100</f>
        <v>-2.5641025641025665</v>
      </c>
      <c r="M708">
        <f>Table1[[#This Row],[HIGH_PRICE]]-Table1[[#This Row],[LOW_PRICE]]</f>
        <v>2.9999999999999971E-2</v>
      </c>
      <c r="N708" t="str">
        <f>IF(Table1[[#This Row],[CLOSE_PRICE]]&gt;Table1[[#This Row],[OPEN_PRICE]],"Gain","Loss")</f>
        <v>Loss</v>
      </c>
      <c r="O708" t="str">
        <f>IF(Table1[[#This Row],[MARKET_CAP]]&gt;200000000000,"Large Cap",
IF(Table1[[#This Row],[MARKET_CAP]]&gt;50000000000,"Mid Cap","Small Cap"))</f>
        <v>Small Cap</v>
      </c>
      <c r="P708" t="str">
        <f>IF(Table1[[#This Row],[NET_TRDQTY]]&gt;1000000,"High Volume","Low Volume")</f>
        <v>Low Volume</v>
      </c>
    </row>
    <row r="709" spans="1:16" x14ac:dyDescent="0.3">
      <c r="A709" t="s">
        <v>1423</v>
      </c>
      <c r="B709" t="s">
        <v>1424</v>
      </c>
      <c r="C709">
        <v>50.8</v>
      </c>
      <c r="D709">
        <v>51</v>
      </c>
      <c r="E709">
        <v>48.1</v>
      </c>
      <c r="F709">
        <v>48.48</v>
      </c>
      <c r="G709">
        <v>51.07</v>
      </c>
      <c r="H709">
        <v>1376322</v>
      </c>
      <c r="I709">
        <v>13011</v>
      </c>
      <c r="J709">
        <v>24222733169</v>
      </c>
      <c r="K709">
        <v>499643836</v>
      </c>
      <c r="L709">
        <f>(Table1[[#This Row],[CLOSE_PRICE]] - Table1[[#This Row],[PREV_CL_PR]]) / Table1[[#This Row],[PREV_CL_PR]] * 100</f>
        <v>-5.0714705306442207</v>
      </c>
      <c r="M709">
        <f>Table1[[#This Row],[HIGH_PRICE]]-Table1[[#This Row],[LOW_PRICE]]</f>
        <v>2.8999999999999986</v>
      </c>
      <c r="N709" t="str">
        <f>IF(Table1[[#This Row],[CLOSE_PRICE]]&gt;Table1[[#This Row],[OPEN_PRICE]],"Gain","Loss")</f>
        <v>Loss</v>
      </c>
      <c r="O709" t="str">
        <f>IF(Table1[[#This Row],[MARKET_CAP]]&gt;200000000000,"Large Cap",
IF(Table1[[#This Row],[MARKET_CAP]]&gt;50000000000,"Mid Cap","Small Cap"))</f>
        <v>Small Cap</v>
      </c>
      <c r="P709" t="str">
        <f>IF(Table1[[#This Row],[NET_TRDQTY]]&gt;1000000,"High Volume","Low Volume")</f>
        <v>High Volume</v>
      </c>
    </row>
    <row r="710" spans="1:16" x14ac:dyDescent="0.3">
      <c r="A710" t="s">
        <v>1425</v>
      </c>
      <c r="B710" t="s">
        <v>1426</v>
      </c>
      <c r="C710">
        <v>77</v>
      </c>
      <c r="D710">
        <v>77.38</v>
      </c>
      <c r="E710">
        <v>69.180000000000007</v>
      </c>
      <c r="F710">
        <v>70.67</v>
      </c>
      <c r="G710">
        <v>77.040000000000006</v>
      </c>
      <c r="H710">
        <v>628770</v>
      </c>
      <c r="I710">
        <v>6462</v>
      </c>
      <c r="J710">
        <v>5143849092</v>
      </c>
      <c r="K710">
        <v>72786884</v>
      </c>
      <c r="L710">
        <f>(Table1[[#This Row],[CLOSE_PRICE]] - Table1[[#This Row],[PREV_CL_PR]]) / Table1[[#This Row],[PREV_CL_PR]] * 100</f>
        <v>-8.2684319833852591</v>
      </c>
      <c r="M710">
        <f>Table1[[#This Row],[HIGH_PRICE]]-Table1[[#This Row],[LOW_PRICE]]</f>
        <v>8.1999999999999886</v>
      </c>
      <c r="N710" t="str">
        <f>IF(Table1[[#This Row],[CLOSE_PRICE]]&gt;Table1[[#This Row],[OPEN_PRICE]],"Gain","Loss")</f>
        <v>Loss</v>
      </c>
      <c r="O710" t="str">
        <f>IF(Table1[[#This Row],[MARKET_CAP]]&gt;200000000000,"Large Cap",
IF(Table1[[#This Row],[MARKET_CAP]]&gt;50000000000,"Mid Cap","Small Cap"))</f>
        <v>Small Cap</v>
      </c>
      <c r="P710" t="str">
        <f>IF(Table1[[#This Row],[NET_TRDQTY]]&gt;1000000,"High Volume","Low Volume")</f>
        <v>Low Volume</v>
      </c>
    </row>
    <row r="711" spans="1:16" x14ac:dyDescent="0.3">
      <c r="A711" t="s">
        <v>1427</v>
      </c>
      <c r="B711" t="s">
        <v>1428</v>
      </c>
      <c r="C711">
        <v>2.1</v>
      </c>
      <c r="D711">
        <v>2.1</v>
      </c>
      <c r="E711">
        <v>2</v>
      </c>
      <c r="F711">
        <v>2</v>
      </c>
      <c r="G711">
        <v>2.1</v>
      </c>
      <c r="H711">
        <v>297945</v>
      </c>
      <c r="I711">
        <v>408</v>
      </c>
      <c r="J711">
        <v>479303800</v>
      </c>
      <c r="K711">
        <v>239651900</v>
      </c>
      <c r="L711">
        <f>(Table1[[#This Row],[CLOSE_PRICE]] - Table1[[#This Row],[PREV_CL_PR]]) / Table1[[#This Row],[PREV_CL_PR]] * 100</f>
        <v>-4.7619047619047654</v>
      </c>
      <c r="M711">
        <f>Table1[[#This Row],[HIGH_PRICE]]-Table1[[#This Row],[LOW_PRICE]]</f>
        <v>0.10000000000000009</v>
      </c>
      <c r="N711" t="str">
        <f>IF(Table1[[#This Row],[CLOSE_PRICE]]&gt;Table1[[#This Row],[OPEN_PRICE]],"Gain","Loss")</f>
        <v>Loss</v>
      </c>
      <c r="O711" t="str">
        <f>IF(Table1[[#This Row],[MARKET_CAP]]&gt;200000000000,"Large Cap",
IF(Table1[[#This Row],[MARKET_CAP]]&gt;50000000000,"Mid Cap","Small Cap"))</f>
        <v>Small Cap</v>
      </c>
      <c r="P711" t="str">
        <f>IF(Table1[[#This Row],[NET_TRDQTY]]&gt;1000000,"High Volume","Low Volume")</f>
        <v>Low Volume</v>
      </c>
    </row>
    <row r="712" spans="1:16" x14ac:dyDescent="0.3">
      <c r="A712" t="s">
        <v>1429</v>
      </c>
      <c r="B712" t="s">
        <v>1430</v>
      </c>
      <c r="C712">
        <v>260.10000000000002</v>
      </c>
      <c r="D712">
        <v>260.10000000000002</v>
      </c>
      <c r="E712">
        <v>244</v>
      </c>
      <c r="F712">
        <v>244.5</v>
      </c>
      <c r="G712">
        <v>263.2</v>
      </c>
      <c r="H712">
        <v>3501</v>
      </c>
      <c r="I712">
        <v>191</v>
      </c>
      <c r="J712">
        <v>5112917741</v>
      </c>
      <c r="K712">
        <v>20911729</v>
      </c>
      <c r="L712">
        <f>(Table1[[#This Row],[CLOSE_PRICE]] - Table1[[#This Row],[PREV_CL_PR]]) / Table1[[#This Row],[PREV_CL_PR]] * 100</f>
        <v>-7.1048632218844947</v>
      </c>
      <c r="M712">
        <f>Table1[[#This Row],[HIGH_PRICE]]-Table1[[#This Row],[LOW_PRICE]]</f>
        <v>16.100000000000023</v>
      </c>
      <c r="N712" t="str">
        <f>IF(Table1[[#This Row],[CLOSE_PRICE]]&gt;Table1[[#This Row],[OPEN_PRICE]],"Gain","Loss")</f>
        <v>Loss</v>
      </c>
      <c r="O712" t="str">
        <f>IF(Table1[[#This Row],[MARKET_CAP]]&gt;200000000000,"Large Cap",
IF(Table1[[#This Row],[MARKET_CAP]]&gt;50000000000,"Mid Cap","Small Cap"))</f>
        <v>Small Cap</v>
      </c>
      <c r="P712" t="str">
        <f>IF(Table1[[#This Row],[NET_TRDQTY]]&gt;1000000,"High Volume","Low Volume")</f>
        <v>Low Volume</v>
      </c>
    </row>
    <row r="713" spans="1:16" x14ac:dyDescent="0.3">
      <c r="A713" t="s">
        <v>1431</v>
      </c>
      <c r="B713" t="s">
        <v>1432</v>
      </c>
      <c r="C713">
        <v>20.6</v>
      </c>
      <c r="D713">
        <v>21.03</v>
      </c>
      <c r="E713">
        <v>20</v>
      </c>
      <c r="F713">
        <v>20.11</v>
      </c>
      <c r="G713">
        <v>20.96</v>
      </c>
      <c r="H713">
        <v>110729</v>
      </c>
      <c r="I713">
        <v>823</v>
      </c>
      <c r="J713">
        <v>2101897200</v>
      </c>
      <c r="K713">
        <v>104520000</v>
      </c>
      <c r="L713">
        <f>(Table1[[#This Row],[CLOSE_PRICE]] - Table1[[#This Row],[PREV_CL_PR]]) / Table1[[#This Row],[PREV_CL_PR]] * 100</f>
        <v>-4.0553435114503884</v>
      </c>
      <c r="M713">
        <f>Table1[[#This Row],[HIGH_PRICE]]-Table1[[#This Row],[LOW_PRICE]]</f>
        <v>1.0300000000000011</v>
      </c>
      <c r="N713" t="str">
        <f>IF(Table1[[#This Row],[CLOSE_PRICE]]&gt;Table1[[#This Row],[OPEN_PRICE]],"Gain","Loss")</f>
        <v>Loss</v>
      </c>
      <c r="O713" t="str">
        <f>IF(Table1[[#This Row],[MARKET_CAP]]&gt;200000000000,"Large Cap",
IF(Table1[[#This Row],[MARKET_CAP]]&gt;50000000000,"Mid Cap","Small Cap"))</f>
        <v>Small Cap</v>
      </c>
      <c r="P713" t="str">
        <f>IF(Table1[[#This Row],[NET_TRDQTY]]&gt;1000000,"High Volume","Low Volume")</f>
        <v>Low Volume</v>
      </c>
    </row>
    <row r="714" spans="1:16" x14ac:dyDescent="0.3">
      <c r="A714" t="s">
        <v>1433</v>
      </c>
      <c r="B714" t="s">
        <v>1434</v>
      </c>
      <c r="C714">
        <v>43.15</v>
      </c>
      <c r="D714">
        <v>43.5</v>
      </c>
      <c r="E714">
        <v>43.01</v>
      </c>
      <c r="F714">
        <v>43.13</v>
      </c>
      <c r="G714">
        <v>43.15</v>
      </c>
      <c r="H714">
        <v>1302628</v>
      </c>
      <c r="I714">
        <v>951</v>
      </c>
      <c r="J714">
        <v>2457815625</v>
      </c>
      <c r="K714">
        <v>56986219</v>
      </c>
      <c r="L714">
        <f>(Table1[[#This Row],[CLOSE_PRICE]] - Table1[[#This Row],[PREV_CL_PR]]) / Table1[[#This Row],[PREV_CL_PR]] * 100</f>
        <v>-4.6349942062563203E-2</v>
      </c>
      <c r="M714">
        <f>Table1[[#This Row],[HIGH_PRICE]]-Table1[[#This Row],[LOW_PRICE]]</f>
        <v>0.49000000000000199</v>
      </c>
      <c r="N714" t="str">
        <f>IF(Table1[[#This Row],[CLOSE_PRICE]]&gt;Table1[[#This Row],[OPEN_PRICE]],"Gain","Loss")</f>
        <v>Loss</v>
      </c>
      <c r="O714" t="str">
        <f>IF(Table1[[#This Row],[MARKET_CAP]]&gt;200000000000,"Large Cap",
IF(Table1[[#This Row],[MARKET_CAP]]&gt;50000000000,"Mid Cap","Small Cap"))</f>
        <v>Small Cap</v>
      </c>
      <c r="P714" t="str">
        <f>IF(Table1[[#This Row],[NET_TRDQTY]]&gt;1000000,"High Volume","Low Volume")</f>
        <v>High Volume</v>
      </c>
    </row>
    <row r="715" spans="1:16" x14ac:dyDescent="0.3">
      <c r="A715" t="s">
        <v>1435</v>
      </c>
      <c r="B715" t="s">
        <v>1436</v>
      </c>
      <c r="C715">
        <v>265</v>
      </c>
      <c r="D715">
        <v>267.55</v>
      </c>
      <c r="E715">
        <v>244</v>
      </c>
      <c r="F715">
        <v>247.2</v>
      </c>
      <c r="G715">
        <v>269.7</v>
      </c>
      <c r="H715">
        <v>642859</v>
      </c>
      <c r="I715">
        <v>13284</v>
      </c>
      <c r="J715">
        <v>10325596406</v>
      </c>
      <c r="K715">
        <v>41770212</v>
      </c>
      <c r="L715">
        <f>(Table1[[#This Row],[CLOSE_PRICE]] - Table1[[#This Row],[PREV_CL_PR]]) / Table1[[#This Row],[PREV_CL_PR]] * 100</f>
        <v>-8.3426028921023363</v>
      </c>
      <c r="M715">
        <f>Table1[[#This Row],[HIGH_PRICE]]-Table1[[#This Row],[LOW_PRICE]]</f>
        <v>23.550000000000011</v>
      </c>
      <c r="N715" t="str">
        <f>IF(Table1[[#This Row],[CLOSE_PRICE]]&gt;Table1[[#This Row],[OPEN_PRICE]],"Gain","Loss")</f>
        <v>Loss</v>
      </c>
      <c r="O715" t="str">
        <f>IF(Table1[[#This Row],[MARKET_CAP]]&gt;200000000000,"Large Cap",
IF(Table1[[#This Row],[MARKET_CAP]]&gt;50000000000,"Mid Cap","Small Cap"))</f>
        <v>Small Cap</v>
      </c>
      <c r="P715" t="str">
        <f>IF(Table1[[#This Row],[NET_TRDQTY]]&gt;1000000,"High Volume","Low Volume")</f>
        <v>Low Volume</v>
      </c>
    </row>
    <row r="716" spans="1:16" x14ac:dyDescent="0.3">
      <c r="A716" t="s">
        <v>1437</v>
      </c>
      <c r="B716" t="s">
        <v>1438</v>
      </c>
      <c r="C716">
        <v>10.85</v>
      </c>
      <c r="D716">
        <v>10.85</v>
      </c>
      <c r="E716">
        <v>10</v>
      </c>
      <c r="F716">
        <v>10.25</v>
      </c>
      <c r="G716">
        <v>10.72</v>
      </c>
      <c r="H716">
        <v>268305</v>
      </c>
      <c r="I716">
        <v>732</v>
      </c>
      <c r="J716">
        <v>2635540885</v>
      </c>
      <c r="K716">
        <v>257125940</v>
      </c>
      <c r="L716">
        <f>(Table1[[#This Row],[CLOSE_PRICE]] - Table1[[#This Row],[PREV_CL_PR]]) / Table1[[#This Row],[PREV_CL_PR]] * 100</f>
        <v>-4.3843283582089612</v>
      </c>
      <c r="M716">
        <f>Table1[[#This Row],[HIGH_PRICE]]-Table1[[#This Row],[LOW_PRICE]]</f>
        <v>0.84999999999999964</v>
      </c>
      <c r="N716" t="str">
        <f>IF(Table1[[#This Row],[CLOSE_PRICE]]&gt;Table1[[#This Row],[OPEN_PRICE]],"Gain","Loss")</f>
        <v>Loss</v>
      </c>
      <c r="O716" t="str">
        <f>IF(Table1[[#This Row],[MARKET_CAP]]&gt;200000000000,"Large Cap",
IF(Table1[[#This Row],[MARKET_CAP]]&gt;50000000000,"Mid Cap","Small Cap"))</f>
        <v>Small Cap</v>
      </c>
      <c r="P716" t="str">
        <f>IF(Table1[[#This Row],[NET_TRDQTY]]&gt;1000000,"High Volume","Low Volume")</f>
        <v>Low Volume</v>
      </c>
    </row>
    <row r="717" spans="1:16" x14ac:dyDescent="0.3">
      <c r="A717" t="s">
        <v>1439</v>
      </c>
      <c r="B717" t="s">
        <v>1440</v>
      </c>
      <c r="C717">
        <v>236</v>
      </c>
      <c r="D717">
        <v>236.8</v>
      </c>
      <c r="E717">
        <v>223.1</v>
      </c>
      <c r="F717">
        <v>229.85</v>
      </c>
      <c r="G717">
        <v>239.1</v>
      </c>
      <c r="H717">
        <v>769088</v>
      </c>
      <c r="I717">
        <v>25769</v>
      </c>
      <c r="J717">
        <v>69900039308</v>
      </c>
      <c r="K717">
        <v>304111548</v>
      </c>
      <c r="L717">
        <f>(Table1[[#This Row],[CLOSE_PRICE]] - Table1[[#This Row],[PREV_CL_PR]]) / Table1[[#This Row],[PREV_CL_PR]] * 100</f>
        <v>-3.8686741948975327</v>
      </c>
      <c r="M717">
        <f>Table1[[#This Row],[HIGH_PRICE]]-Table1[[#This Row],[LOW_PRICE]]</f>
        <v>13.700000000000017</v>
      </c>
      <c r="N717" t="str">
        <f>IF(Table1[[#This Row],[CLOSE_PRICE]]&gt;Table1[[#This Row],[OPEN_PRICE]],"Gain","Loss")</f>
        <v>Loss</v>
      </c>
      <c r="O717" t="str">
        <f>IF(Table1[[#This Row],[MARKET_CAP]]&gt;200000000000,"Large Cap",
IF(Table1[[#This Row],[MARKET_CAP]]&gt;50000000000,"Mid Cap","Small Cap"))</f>
        <v>Mid Cap</v>
      </c>
      <c r="P717" t="str">
        <f>IF(Table1[[#This Row],[NET_TRDQTY]]&gt;1000000,"High Volume","Low Volume")</f>
        <v>Low Volume</v>
      </c>
    </row>
    <row r="718" spans="1:16" x14ac:dyDescent="0.3">
      <c r="A718" t="s">
        <v>1441</v>
      </c>
      <c r="B718" t="s">
        <v>1442</v>
      </c>
      <c r="C718">
        <v>59.03</v>
      </c>
      <c r="D718">
        <v>59.51</v>
      </c>
      <c r="E718">
        <v>57.16</v>
      </c>
      <c r="F718">
        <v>57.34</v>
      </c>
      <c r="G718">
        <v>59.93</v>
      </c>
      <c r="H718">
        <v>659352</v>
      </c>
      <c r="I718">
        <v>4079</v>
      </c>
      <c r="J718">
        <v>16004862303</v>
      </c>
      <c r="K718">
        <v>279122119</v>
      </c>
      <c r="L718">
        <f>(Table1[[#This Row],[CLOSE_PRICE]] - Table1[[#This Row],[PREV_CL_PR]]) / Table1[[#This Row],[PREV_CL_PR]] * 100</f>
        <v>-4.3217086601034485</v>
      </c>
      <c r="M718">
        <f>Table1[[#This Row],[HIGH_PRICE]]-Table1[[#This Row],[LOW_PRICE]]</f>
        <v>2.3500000000000014</v>
      </c>
      <c r="N718" t="str">
        <f>IF(Table1[[#This Row],[CLOSE_PRICE]]&gt;Table1[[#This Row],[OPEN_PRICE]],"Gain","Loss")</f>
        <v>Loss</v>
      </c>
      <c r="O718" t="str">
        <f>IF(Table1[[#This Row],[MARKET_CAP]]&gt;200000000000,"Large Cap",
IF(Table1[[#This Row],[MARKET_CAP]]&gt;50000000000,"Mid Cap","Small Cap"))</f>
        <v>Small Cap</v>
      </c>
      <c r="P718" t="str">
        <f>IF(Table1[[#This Row],[NET_TRDQTY]]&gt;1000000,"High Volume","Low Volume")</f>
        <v>Low Volume</v>
      </c>
    </row>
    <row r="719" spans="1:16" x14ac:dyDescent="0.3">
      <c r="A719" t="s">
        <v>1443</v>
      </c>
      <c r="B719" t="s">
        <v>1444</v>
      </c>
      <c r="C719">
        <v>1425.5</v>
      </c>
      <c r="D719">
        <v>1425.5</v>
      </c>
      <c r="E719">
        <v>1346</v>
      </c>
      <c r="F719">
        <v>1360</v>
      </c>
      <c r="G719">
        <v>1429.7</v>
      </c>
      <c r="H719">
        <v>362189</v>
      </c>
      <c r="I719">
        <v>31440</v>
      </c>
      <c r="J719">
        <v>194000000000</v>
      </c>
      <c r="K719">
        <v>142767161</v>
      </c>
      <c r="L719">
        <f>(Table1[[#This Row],[CLOSE_PRICE]] - Table1[[#This Row],[PREV_CL_PR]]) / Table1[[#This Row],[PREV_CL_PR]] * 100</f>
        <v>-4.8751486325802649</v>
      </c>
      <c r="M719">
        <f>Table1[[#This Row],[HIGH_PRICE]]-Table1[[#This Row],[LOW_PRICE]]</f>
        <v>79.5</v>
      </c>
      <c r="N719" t="str">
        <f>IF(Table1[[#This Row],[CLOSE_PRICE]]&gt;Table1[[#This Row],[OPEN_PRICE]],"Gain","Loss")</f>
        <v>Loss</v>
      </c>
      <c r="O719" t="str">
        <f>IF(Table1[[#This Row],[MARKET_CAP]]&gt;200000000000,"Large Cap",
IF(Table1[[#This Row],[MARKET_CAP]]&gt;50000000000,"Mid Cap","Small Cap"))</f>
        <v>Mid Cap</v>
      </c>
      <c r="P719" t="str">
        <f>IF(Table1[[#This Row],[NET_TRDQTY]]&gt;1000000,"High Volume","Low Volume")</f>
        <v>Low Volume</v>
      </c>
    </row>
    <row r="720" spans="1:16" x14ac:dyDescent="0.3">
      <c r="A720" t="s">
        <v>1445</v>
      </c>
      <c r="B720" t="s">
        <v>1446</v>
      </c>
      <c r="C720">
        <v>41.65</v>
      </c>
      <c r="D720">
        <v>42.95</v>
      </c>
      <c r="E720">
        <v>41.65</v>
      </c>
      <c r="F720">
        <v>41.95</v>
      </c>
      <c r="G720">
        <v>42.86</v>
      </c>
      <c r="H720">
        <v>149084</v>
      </c>
      <c r="I720">
        <v>990</v>
      </c>
      <c r="J720">
        <v>4608207500</v>
      </c>
      <c r="K720">
        <v>109850000</v>
      </c>
      <c r="L720">
        <f>(Table1[[#This Row],[CLOSE_PRICE]] - Table1[[#This Row],[PREV_CL_PR]]) / Table1[[#This Row],[PREV_CL_PR]] * 100</f>
        <v>-2.1231917872141777</v>
      </c>
      <c r="M720">
        <f>Table1[[#This Row],[HIGH_PRICE]]-Table1[[#This Row],[LOW_PRICE]]</f>
        <v>1.3000000000000043</v>
      </c>
      <c r="N720" t="str">
        <f>IF(Table1[[#This Row],[CLOSE_PRICE]]&gt;Table1[[#This Row],[OPEN_PRICE]],"Gain","Loss")</f>
        <v>Gain</v>
      </c>
      <c r="O720" t="str">
        <f>IF(Table1[[#This Row],[MARKET_CAP]]&gt;200000000000,"Large Cap",
IF(Table1[[#This Row],[MARKET_CAP]]&gt;50000000000,"Mid Cap","Small Cap"))</f>
        <v>Small Cap</v>
      </c>
      <c r="P720" t="str">
        <f>IF(Table1[[#This Row],[NET_TRDQTY]]&gt;1000000,"High Volume","Low Volume")</f>
        <v>Low Volume</v>
      </c>
    </row>
    <row r="721" spans="1:16" x14ac:dyDescent="0.3">
      <c r="A721" t="s">
        <v>1447</v>
      </c>
      <c r="B721" t="s">
        <v>1448</v>
      </c>
      <c r="C721">
        <v>424.3</v>
      </c>
      <c r="D721">
        <v>433.4</v>
      </c>
      <c r="E721">
        <v>419</v>
      </c>
      <c r="F721">
        <v>422</v>
      </c>
      <c r="G721">
        <v>433.45</v>
      </c>
      <c r="H721">
        <v>239610</v>
      </c>
      <c r="I721">
        <v>16188</v>
      </c>
      <c r="J721">
        <v>38796213410</v>
      </c>
      <c r="K721">
        <v>91934155</v>
      </c>
      <c r="L721">
        <f>(Table1[[#This Row],[CLOSE_PRICE]] - Table1[[#This Row],[PREV_CL_PR]]) / Table1[[#This Row],[PREV_CL_PR]] * 100</f>
        <v>-2.6415964932518143</v>
      </c>
      <c r="M721">
        <f>Table1[[#This Row],[HIGH_PRICE]]-Table1[[#This Row],[LOW_PRICE]]</f>
        <v>14.399999999999977</v>
      </c>
      <c r="N721" t="str">
        <f>IF(Table1[[#This Row],[CLOSE_PRICE]]&gt;Table1[[#This Row],[OPEN_PRICE]],"Gain","Loss")</f>
        <v>Loss</v>
      </c>
      <c r="O721" t="str">
        <f>IF(Table1[[#This Row],[MARKET_CAP]]&gt;200000000000,"Large Cap",
IF(Table1[[#This Row],[MARKET_CAP]]&gt;50000000000,"Mid Cap","Small Cap"))</f>
        <v>Small Cap</v>
      </c>
      <c r="P721" t="str">
        <f>IF(Table1[[#This Row],[NET_TRDQTY]]&gt;1000000,"High Volume","Low Volume")</f>
        <v>Low Volume</v>
      </c>
    </row>
    <row r="722" spans="1:16" x14ac:dyDescent="0.3">
      <c r="A722" t="s">
        <v>1449</v>
      </c>
      <c r="B722" t="s">
        <v>1450</v>
      </c>
      <c r="C722">
        <v>75.69</v>
      </c>
      <c r="D722">
        <v>75.75</v>
      </c>
      <c r="E722">
        <v>72.05</v>
      </c>
      <c r="F722">
        <v>72.41</v>
      </c>
      <c r="G722">
        <v>75.69</v>
      </c>
      <c r="H722">
        <v>120534</v>
      </c>
      <c r="I722">
        <v>1431</v>
      </c>
      <c r="J722">
        <v>6921366764</v>
      </c>
      <c r="K722">
        <v>95585786</v>
      </c>
      <c r="L722">
        <f>(Table1[[#This Row],[CLOSE_PRICE]] - Table1[[#This Row],[PREV_CL_PR]]) / Table1[[#This Row],[PREV_CL_PR]] * 100</f>
        <v>-4.3334654511824562</v>
      </c>
      <c r="M722">
        <f>Table1[[#This Row],[HIGH_PRICE]]-Table1[[#This Row],[LOW_PRICE]]</f>
        <v>3.7000000000000028</v>
      </c>
      <c r="N722" t="str">
        <f>IF(Table1[[#This Row],[CLOSE_PRICE]]&gt;Table1[[#This Row],[OPEN_PRICE]],"Gain","Loss")</f>
        <v>Loss</v>
      </c>
      <c r="O722" t="str">
        <f>IF(Table1[[#This Row],[MARKET_CAP]]&gt;200000000000,"Large Cap",
IF(Table1[[#This Row],[MARKET_CAP]]&gt;50000000000,"Mid Cap","Small Cap"))</f>
        <v>Small Cap</v>
      </c>
      <c r="P722" t="str">
        <f>IF(Table1[[#This Row],[NET_TRDQTY]]&gt;1000000,"High Volume","Low Volume")</f>
        <v>Low Volume</v>
      </c>
    </row>
    <row r="723" spans="1:16" x14ac:dyDescent="0.3">
      <c r="A723" t="s">
        <v>1451</v>
      </c>
      <c r="B723" t="s">
        <v>1452</v>
      </c>
      <c r="C723">
        <v>140.4</v>
      </c>
      <c r="D723">
        <v>141.19</v>
      </c>
      <c r="E723">
        <v>135.80000000000001</v>
      </c>
      <c r="F723">
        <v>136.53</v>
      </c>
      <c r="G723">
        <v>142.31</v>
      </c>
      <c r="H723">
        <v>151207</v>
      </c>
      <c r="I723">
        <v>2875</v>
      </c>
      <c r="J723">
        <v>7352286041</v>
      </c>
      <c r="K723">
        <v>53851066</v>
      </c>
      <c r="L723">
        <f>(Table1[[#This Row],[CLOSE_PRICE]] - Table1[[#This Row],[PREV_CL_PR]]) / Table1[[#This Row],[PREV_CL_PR]] * 100</f>
        <v>-4.0615557585552668</v>
      </c>
      <c r="M723">
        <f>Table1[[#This Row],[HIGH_PRICE]]-Table1[[#This Row],[LOW_PRICE]]</f>
        <v>5.3899999999999864</v>
      </c>
      <c r="N723" t="str">
        <f>IF(Table1[[#This Row],[CLOSE_PRICE]]&gt;Table1[[#This Row],[OPEN_PRICE]],"Gain","Loss")</f>
        <v>Loss</v>
      </c>
      <c r="O723" t="str">
        <f>IF(Table1[[#This Row],[MARKET_CAP]]&gt;200000000000,"Large Cap",
IF(Table1[[#This Row],[MARKET_CAP]]&gt;50000000000,"Mid Cap","Small Cap"))</f>
        <v>Small Cap</v>
      </c>
      <c r="P723" t="str">
        <f>IF(Table1[[#This Row],[NET_TRDQTY]]&gt;1000000,"High Volume","Low Volume")</f>
        <v>Low Volume</v>
      </c>
    </row>
    <row r="724" spans="1:16" x14ac:dyDescent="0.3">
      <c r="A724" t="s">
        <v>1453</v>
      </c>
      <c r="B724" t="s">
        <v>1454</v>
      </c>
      <c r="C724">
        <v>42.66</v>
      </c>
      <c r="D724">
        <v>43.93</v>
      </c>
      <c r="E724">
        <v>37.049999999999997</v>
      </c>
      <c r="F724">
        <v>39.130000000000003</v>
      </c>
      <c r="G724">
        <v>42.66</v>
      </c>
      <c r="H724">
        <v>642836</v>
      </c>
      <c r="I724">
        <v>1618</v>
      </c>
      <c r="J724">
        <v>4380783028</v>
      </c>
      <c r="K724">
        <v>111954588</v>
      </c>
      <c r="L724">
        <f>(Table1[[#This Row],[CLOSE_PRICE]] - Table1[[#This Row],[PREV_CL_PR]]) / Table1[[#This Row],[PREV_CL_PR]] * 100</f>
        <v>-8.2747304266291462</v>
      </c>
      <c r="M724">
        <f>Table1[[#This Row],[HIGH_PRICE]]-Table1[[#This Row],[LOW_PRICE]]</f>
        <v>6.8800000000000026</v>
      </c>
      <c r="N724" t="str">
        <f>IF(Table1[[#This Row],[CLOSE_PRICE]]&gt;Table1[[#This Row],[OPEN_PRICE]],"Gain","Loss")</f>
        <v>Loss</v>
      </c>
      <c r="O724" t="str">
        <f>IF(Table1[[#This Row],[MARKET_CAP]]&gt;200000000000,"Large Cap",
IF(Table1[[#This Row],[MARKET_CAP]]&gt;50000000000,"Mid Cap","Small Cap"))</f>
        <v>Small Cap</v>
      </c>
      <c r="P724" t="str">
        <f>IF(Table1[[#This Row],[NET_TRDQTY]]&gt;1000000,"High Volume","Low Volume")</f>
        <v>Low Volume</v>
      </c>
    </row>
    <row r="725" spans="1:16" x14ac:dyDescent="0.3">
      <c r="A725" t="s">
        <v>1455</v>
      </c>
      <c r="B725" t="s">
        <v>1456</v>
      </c>
      <c r="C725">
        <v>368.75</v>
      </c>
      <c r="D725">
        <v>368.75</v>
      </c>
      <c r="E725">
        <v>356.5</v>
      </c>
      <c r="F725">
        <v>358.15</v>
      </c>
      <c r="G725">
        <v>372.15</v>
      </c>
      <c r="H725">
        <v>277202</v>
      </c>
      <c r="I725">
        <v>13198</v>
      </c>
      <c r="J725">
        <v>628000000000</v>
      </c>
      <c r="K725">
        <v>1754400000</v>
      </c>
      <c r="L725">
        <f>(Table1[[#This Row],[CLOSE_PRICE]] - Table1[[#This Row],[PREV_CL_PR]]) / Table1[[#This Row],[PREV_CL_PR]] * 100</f>
        <v>-3.7619239553943307</v>
      </c>
      <c r="M725">
        <f>Table1[[#This Row],[HIGH_PRICE]]-Table1[[#This Row],[LOW_PRICE]]</f>
        <v>12.25</v>
      </c>
      <c r="N725" t="str">
        <f>IF(Table1[[#This Row],[CLOSE_PRICE]]&gt;Table1[[#This Row],[OPEN_PRICE]],"Gain","Loss")</f>
        <v>Loss</v>
      </c>
      <c r="O725" t="str">
        <f>IF(Table1[[#This Row],[MARKET_CAP]]&gt;200000000000,"Large Cap",
IF(Table1[[#This Row],[MARKET_CAP]]&gt;50000000000,"Mid Cap","Small Cap"))</f>
        <v>Large Cap</v>
      </c>
      <c r="P725" t="str">
        <f>IF(Table1[[#This Row],[NET_TRDQTY]]&gt;1000000,"High Volume","Low Volume")</f>
        <v>Low Volume</v>
      </c>
    </row>
    <row r="726" spans="1:16" x14ac:dyDescent="0.3">
      <c r="A726" t="s">
        <v>1457</v>
      </c>
      <c r="B726" t="s">
        <v>1458</v>
      </c>
      <c r="C726">
        <v>79.510000000000005</v>
      </c>
      <c r="D726">
        <v>81</v>
      </c>
      <c r="E726">
        <v>76</v>
      </c>
      <c r="F726">
        <v>76.69</v>
      </c>
      <c r="G726">
        <v>79.22</v>
      </c>
      <c r="H726">
        <v>7266</v>
      </c>
      <c r="I726">
        <v>138</v>
      </c>
      <c r="J726">
        <v>1636744515</v>
      </c>
      <c r="K726">
        <v>21342346</v>
      </c>
      <c r="L726">
        <f>(Table1[[#This Row],[CLOSE_PRICE]] - Table1[[#This Row],[PREV_CL_PR]]) / Table1[[#This Row],[PREV_CL_PR]] * 100</f>
        <v>-3.1936379702095445</v>
      </c>
      <c r="M726">
        <f>Table1[[#This Row],[HIGH_PRICE]]-Table1[[#This Row],[LOW_PRICE]]</f>
        <v>5</v>
      </c>
      <c r="N726" t="str">
        <f>IF(Table1[[#This Row],[CLOSE_PRICE]]&gt;Table1[[#This Row],[OPEN_PRICE]],"Gain","Loss")</f>
        <v>Loss</v>
      </c>
      <c r="O726" t="str">
        <f>IF(Table1[[#This Row],[MARKET_CAP]]&gt;200000000000,"Large Cap",
IF(Table1[[#This Row],[MARKET_CAP]]&gt;50000000000,"Mid Cap","Small Cap"))</f>
        <v>Small Cap</v>
      </c>
      <c r="P726" t="str">
        <f>IF(Table1[[#This Row],[NET_TRDQTY]]&gt;1000000,"High Volume","Low Volume")</f>
        <v>Low Volume</v>
      </c>
    </row>
    <row r="727" spans="1:16" x14ac:dyDescent="0.3">
      <c r="A727" t="s">
        <v>1459</v>
      </c>
      <c r="B727" t="s">
        <v>1460</v>
      </c>
      <c r="C727">
        <v>7900</v>
      </c>
      <c r="D727">
        <v>7958</v>
      </c>
      <c r="E727">
        <v>7751</v>
      </c>
      <c r="F727">
        <v>7788</v>
      </c>
      <c r="G727">
        <v>8001.5</v>
      </c>
      <c r="H727">
        <v>23420</v>
      </c>
      <c r="I727">
        <v>7401</v>
      </c>
      <c r="J727">
        <v>254000000000</v>
      </c>
      <c r="K727">
        <v>32585217</v>
      </c>
      <c r="L727">
        <f>(Table1[[#This Row],[CLOSE_PRICE]] - Table1[[#This Row],[PREV_CL_PR]]) / Table1[[#This Row],[PREV_CL_PR]] * 100</f>
        <v>-2.6682497031806536</v>
      </c>
      <c r="M727">
        <f>Table1[[#This Row],[HIGH_PRICE]]-Table1[[#This Row],[LOW_PRICE]]</f>
        <v>207</v>
      </c>
      <c r="N727" t="str">
        <f>IF(Table1[[#This Row],[CLOSE_PRICE]]&gt;Table1[[#This Row],[OPEN_PRICE]],"Gain","Loss")</f>
        <v>Loss</v>
      </c>
      <c r="O727" t="str">
        <f>IF(Table1[[#This Row],[MARKET_CAP]]&gt;200000000000,"Large Cap",
IF(Table1[[#This Row],[MARKET_CAP]]&gt;50000000000,"Mid Cap","Small Cap"))</f>
        <v>Large Cap</v>
      </c>
      <c r="P727" t="str">
        <f>IF(Table1[[#This Row],[NET_TRDQTY]]&gt;1000000,"High Volume","Low Volume")</f>
        <v>Low Volume</v>
      </c>
    </row>
    <row r="728" spans="1:16" x14ac:dyDescent="0.3">
      <c r="A728" t="s">
        <v>1461</v>
      </c>
      <c r="B728" t="s">
        <v>1462</v>
      </c>
      <c r="C728">
        <v>36.15</v>
      </c>
      <c r="D728">
        <v>37.630000000000003</v>
      </c>
      <c r="E728">
        <v>35</v>
      </c>
      <c r="F728">
        <v>35.99</v>
      </c>
      <c r="G728">
        <v>37.909999999999997</v>
      </c>
      <c r="H728">
        <v>82517</v>
      </c>
      <c r="I728">
        <v>1409</v>
      </c>
      <c r="J728">
        <v>3082545839</v>
      </c>
      <c r="K728">
        <v>85650065</v>
      </c>
      <c r="L728">
        <f>(Table1[[#This Row],[CLOSE_PRICE]] - Table1[[#This Row],[PREV_CL_PR]]) / Table1[[#This Row],[PREV_CL_PR]] * 100</f>
        <v>-5.0646267475599966</v>
      </c>
      <c r="M728">
        <f>Table1[[#This Row],[HIGH_PRICE]]-Table1[[#This Row],[LOW_PRICE]]</f>
        <v>2.6300000000000026</v>
      </c>
      <c r="N728" t="str">
        <f>IF(Table1[[#This Row],[CLOSE_PRICE]]&gt;Table1[[#This Row],[OPEN_PRICE]],"Gain","Loss")</f>
        <v>Loss</v>
      </c>
      <c r="O728" t="str">
        <f>IF(Table1[[#This Row],[MARKET_CAP]]&gt;200000000000,"Large Cap",
IF(Table1[[#This Row],[MARKET_CAP]]&gt;50000000000,"Mid Cap","Small Cap"))</f>
        <v>Small Cap</v>
      </c>
      <c r="P728" t="str">
        <f>IF(Table1[[#This Row],[NET_TRDQTY]]&gt;1000000,"High Volume","Low Volume")</f>
        <v>Low Volume</v>
      </c>
    </row>
    <row r="729" spans="1:16" x14ac:dyDescent="0.3">
      <c r="A729" t="s">
        <v>1463</v>
      </c>
      <c r="B729" t="s">
        <v>1464</v>
      </c>
      <c r="C729">
        <v>131.1</v>
      </c>
      <c r="D729">
        <v>131.51</v>
      </c>
      <c r="E729">
        <v>125.62</v>
      </c>
      <c r="F729">
        <v>126.78</v>
      </c>
      <c r="G729">
        <v>132.82</v>
      </c>
      <c r="H729">
        <v>459590</v>
      </c>
      <c r="I729">
        <v>5540</v>
      </c>
      <c r="J729">
        <v>19678277380</v>
      </c>
      <c r="K729">
        <v>155215944</v>
      </c>
      <c r="L729">
        <f>(Table1[[#This Row],[CLOSE_PRICE]] - Table1[[#This Row],[PREV_CL_PR]]) / Table1[[#This Row],[PREV_CL_PR]] * 100</f>
        <v>-4.5475079054359231</v>
      </c>
      <c r="M729">
        <f>Table1[[#This Row],[HIGH_PRICE]]-Table1[[#This Row],[LOW_PRICE]]</f>
        <v>5.8899999999999864</v>
      </c>
      <c r="N729" t="str">
        <f>IF(Table1[[#This Row],[CLOSE_PRICE]]&gt;Table1[[#This Row],[OPEN_PRICE]],"Gain","Loss")</f>
        <v>Loss</v>
      </c>
      <c r="O729" t="str">
        <f>IF(Table1[[#This Row],[MARKET_CAP]]&gt;200000000000,"Large Cap",
IF(Table1[[#This Row],[MARKET_CAP]]&gt;50000000000,"Mid Cap","Small Cap"))</f>
        <v>Small Cap</v>
      </c>
      <c r="P729" t="str">
        <f>IF(Table1[[#This Row],[NET_TRDQTY]]&gt;1000000,"High Volume","Low Volume")</f>
        <v>Low Volume</v>
      </c>
    </row>
    <row r="730" spans="1:16" x14ac:dyDescent="0.3">
      <c r="A730" t="s">
        <v>1465</v>
      </c>
      <c r="B730" t="s">
        <v>1466</v>
      </c>
      <c r="C730">
        <v>102</v>
      </c>
      <c r="D730">
        <v>102.5</v>
      </c>
      <c r="E730">
        <v>98.12</v>
      </c>
      <c r="F730">
        <v>98.12</v>
      </c>
      <c r="G730">
        <v>103.28</v>
      </c>
      <c r="H730">
        <v>538295</v>
      </c>
      <c r="I730">
        <v>2919</v>
      </c>
      <c r="J730">
        <v>19900430140</v>
      </c>
      <c r="K730">
        <v>202817266</v>
      </c>
      <c r="L730">
        <f>(Table1[[#This Row],[CLOSE_PRICE]] - Table1[[#This Row],[PREV_CL_PR]]) / Table1[[#This Row],[PREV_CL_PR]] * 100</f>
        <v>-4.9961270333075101</v>
      </c>
      <c r="M730">
        <f>Table1[[#This Row],[HIGH_PRICE]]-Table1[[#This Row],[LOW_PRICE]]</f>
        <v>4.3799999999999955</v>
      </c>
      <c r="N730" t="str">
        <f>IF(Table1[[#This Row],[CLOSE_PRICE]]&gt;Table1[[#This Row],[OPEN_PRICE]],"Gain","Loss")</f>
        <v>Loss</v>
      </c>
      <c r="O730" t="str">
        <f>IF(Table1[[#This Row],[MARKET_CAP]]&gt;200000000000,"Large Cap",
IF(Table1[[#This Row],[MARKET_CAP]]&gt;50000000000,"Mid Cap","Small Cap"))</f>
        <v>Small Cap</v>
      </c>
      <c r="P730" t="str">
        <f>IF(Table1[[#This Row],[NET_TRDQTY]]&gt;1000000,"High Volume","Low Volume")</f>
        <v>Low Volume</v>
      </c>
    </row>
    <row r="731" spans="1:16" x14ac:dyDescent="0.3">
      <c r="A731" t="s">
        <v>1467</v>
      </c>
      <c r="B731" t="s">
        <v>1468</v>
      </c>
      <c r="C731">
        <v>105.29</v>
      </c>
      <c r="D731">
        <v>105.94</v>
      </c>
      <c r="E731">
        <v>100.51</v>
      </c>
      <c r="F731">
        <v>101.79</v>
      </c>
      <c r="G731">
        <v>106.21</v>
      </c>
      <c r="H731">
        <v>116999</v>
      </c>
      <c r="I731">
        <v>2091</v>
      </c>
      <c r="J731">
        <v>8025454418</v>
      </c>
      <c r="K731">
        <v>78843250</v>
      </c>
      <c r="L731">
        <f>(Table1[[#This Row],[CLOSE_PRICE]] - Table1[[#This Row],[PREV_CL_PR]]) / Table1[[#This Row],[PREV_CL_PR]] * 100</f>
        <v>-4.1615667074663287</v>
      </c>
      <c r="M731">
        <f>Table1[[#This Row],[HIGH_PRICE]]-Table1[[#This Row],[LOW_PRICE]]</f>
        <v>5.4299999999999926</v>
      </c>
      <c r="N731" t="str">
        <f>IF(Table1[[#This Row],[CLOSE_PRICE]]&gt;Table1[[#This Row],[OPEN_PRICE]],"Gain","Loss")</f>
        <v>Loss</v>
      </c>
      <c r="O731" t="str">
        <f>IF(Table1[[#This Row],[MARKET_CAP]]&gt;200000000000,"Large Cap",
IF(Table1[[#This Row],[MARKET_CAP]]&gt;50000000000,"Mid Cap","Small Cap"))</f>
        <v>Small Cap</v>
      </c>
      <c r="P731" t="str">
        <f>IF(Table1[[#This Row],[NET_TRDQTY]]&gt;1000000,"High Volume","Low Volume")</f>
        <v>Low Volume</v>
      </c>
    </row>
    <row r="732" spans="1:16" x14ac:dyDescent="0.3">
      <c r="A732" t="s">
        <v>1469</v>
      </c>
      <c r="B732" t="s">
        <v>1470</v>
      </c>
      <c r="C732">
        <v>1560</v>
      </c>
      <c r="D732">
        <v>1570.1</v>
      </c>
      <c r="E732">
        <v>1545</v>
      </c>
      <c r="F732">
        <v>1548.5</v>
      </c>
      <c r="G732">
        <v>1619.2</v>
      </c>
      <c r="H732">
        <v>809</v>
      </c>
      <c r="I732">
        <v>63</v>
      </c>
      <c r="J732">
        <v>9239125250</v>
      </c>
      <c r="K732">
        <v>5966500</v>
      </c>
      <c r="L732">
        <f>(Table1[[#This Row],[CLOSE_PRICE]] - Table1[[#This Row],[PREV_CL_PR]]) / Table1[[#This Row],[PREV_CL_PR]] * 100</f>
        <v>-4.3663537549407136</v>
      </c>
      <c r="M732">
        <f>Table1[[#This Row],[HIGH_PRICE]]-Table1[[#This Row],[LOW_PRICE]]</f>
        <v>25.099999999999909</v>
      </c>
      <c r="N732" t="str">
        <f>IF(Table1[[#This Row],[CLOSE_PRICE]]&gt;Table1[[#This Row],[OPEN_PRICE]],"Gain","Loss")</f>
        <v>Loss</v>
      </c>
      <c r="O732" t="str">
        <f>IF(Table1[[#This Row],[MARKET_CAP]]&gt;200000000000,"Large Cap",
IF(Table1[[#This Row],[MARKET_CAP]]&gt;50000000000,"Mid Cap","Small Cap"))</f>
        <v>Small Cap</v>
      </c>
      <c r="P732" t="str">
        <f>IF(Table1[[#This Row],[NET_TRDQTY]]&gt;1000000,"High Volume","Low Volume")</f>
        <v>Low Volume</v>
      </c>
    </row>
    <row r="733" spans="1:16" x14ac:dyDescent="0.3">
      <c r="A733" t="s">
        <v>1471</v>
      </c>
      <c r="B733" t="s">
        <v>1472</v>
      </c>
      <c r="C733">
        <v>1627.1</v>
      </c>
      <c r="D733">
        <v>1627.1</v>
      </c>
      <c r="E733">
        <v>1591.6</v>
      </c>
      <c r="F733">
        <v>1612.5</v>
      </c>
      <c r="G733">
        <v>1627.1</v>
      </c>
      <c r="H733">
        <v>65348</v>
      </c>
      <c r="I733">
        <v>10542</v>
      </c>
      <c r="J733">
        <v>266000000000</v>
      </c>
      <c r="K733">
        <v>164756423</v>
      </c>
      <c r="L733">
        <f>(Table1[[#This Row],[CLOSE_PRICE]] - Table1[[#This Row],[PREV_CL_PR]]) / Table1[[#This Row],[PREV_CL_PR]] * 100</f>
        <v>-0.89730194825148479</v>
      </c>
      <c r="M733">
        <f>Table1[[#This Row],[HIGH_PRICE]]-Table1[[#This Row],[LOW_PRICE]]</f>
        <v>35.5</v>
      </c>
      <c r="N733" t="str">
        <f>IF(Table1[[#This Row],[CLOSE_PRICE]]&gt;Table1[[#This Row],[OPEN_PRICE]],"Gain","Loss")</f>
        <v>Loss</v>
      </c>
      <c r="O733" t="str">
        <f>IF(Table1[[#This Row],[MARKET_CAP]]&gt;200000000000,"Large Cap",
IF(Table1[[#This Row],[MARKET_CAP]]&gt;50000000000,"Mid Cap","Small Cap"))</f>
        <v>Large Cap</v>
      </c>
      <c r="P733" t="str">
        <f>IF(Table1[[#This Row],[NET_TRDQTY]]&gt;1000000,"High Volume","Low Volume")</f>
        <v>Low Volume</v>
      </c>
    </row>
    <row r="734" spans="1:16" x14ac:dyDescent="0.3">
      <c r="A734" t="s">
        <v>1473</v>
      </c>
      <c r="B734" t="s">
        <v>1474</v>
      </c>
      <c r="C734">
        <v>2353.4</v>
      </c>
      <c r="D734">
        <v>2364.9</v>
      </c>
      <c r="E734">
        <v>2269.1</v>
      </c>
      <c r="F734">
        <v>2279.1999999999998</v>
      </c>
      <c r="G734">
        <v>2384.8000000000002</v>
      </c>
      <c r="H734">
        <v>50972</v>
      </c>
      <c r="I734">
        <v>10372</v>
      </c>
      <c r="J734">
        <v>386000000000</v>
      </c>
      <c r="K734">
        <v>169406034</v>
      </c>
      <c r="L734">
        <f>(Table1[[#This Row],[CLOSE_PRICE]] - Table1[[#This Row],[PREV_CL_PR]]) / Table1[[#This Row],[PREV_CL_PR]] * 100</f>
        <v>-4.4280442804428191</v>
      </c>
      <c r="M734">
        <f>Table1[[#This Row],[HIGH_PRICE]]-Table1[[#This Row],[LOW_PRICE]]</f>
        <v>95.800000000000182</v>
      </c>
      <c r="N734" t="str">
        <f>IF(Table1[[#This Row],[CLOSE_PRICE]]&gt;Table1[[#This Row],[OPEN_PRICE]],"Gain","Loss")</f>
        <v>Loss</v>
      </c>
      <c r="O734" t="str">
        <f>IF(Table1[[#This Row],[MARKET_CAP]]&gt;200000000000,"Large Cap",
IF(Table1[[#This Row],[MARKET_CAP]]&gt;50000000000,"Mid Cap","Small Cap"))</f>
        <v>Large Cap</v>
      </c>
      <c r="P734" t="str">
        <f>IF(Table1[[#This Row],[NET_TRDQTY]]&gt;1000000,"High Volume","Low Volume")</f>
        <v>Low Volume</v>
      </c>
    </row>
    <row r="735" spans="1:16" x14ac:dyDescent="0.3">
      <c r="A735" t="s">
        <v>1475</v>
      </c>
      <c r="B735" t="s">
        <v>1476</v>
      </c>
      <c r="C735">
        <v>2170</v>
      </c>
      <c r="D735">
        <v>2170</v>
      </c>
      <c r="E735">
        <v>2079.9</v>
      </c>
      <c r="F735">
        <v>2089</v>
      </c>
      <c r="G735">
        <v>2180.1</v>
      </c>
      <c r="H735">
        <v>408786</v>
      </c>
      <c r="I735">
        <v>33134</v>
      </c>
      <c r="J735">
        <v>590000000000</v>
      </c>
      <c r="K735">
        <v>282200809</v>
      </c>
      <c r="L735">
        <f>(Table1[[#This Row],[CLOSE_PRICE]] - Table1[[#This Row],[PREV_CL_PR]]) / Table1[[#This Row],[PREV_CL_PR]] * 100</f>
        <v>-4.1787073987431729</v>
      </c>
      <c r="M735">
        <f>Table1[[#This Row],[HIGH_PRICE]]-Table1[[#This Row],[LOW_PRICE]]</f>
        <v>90.099999999999909</v>
      </c>
      <c r="N735" t="str">
        <f>IF(Table1[[#This Row],[CLOSE_PRICE]]&gt;Table1[[#This Row],[OPEN_PRICE]],"Gain","Loss")</f>
        <v>Loss</v>
      </c>
      <c r="O735" t="str">
        <f>IF(Table1[[#This Row],[MARKET_CAP]]&gt;200000000000,"Large Cap",
IF(Table1[[#This Row],[MARKET_CAP]]&gt;50000000000,"Mid Cap","Small Cap"))</f>
        <v>Large Cap</v>
      </c>
      <c r="P735" t="str">
        <f>IF(Table1[[#This Row],[NET_TRDQTY]]&gt;1000000,"High Volume","Low Volume")</f>
        <v>Low Volume</v>
      </c>
    </row>
    <row r="736" spans="1:16" x14ac:dyDescent="0.3">
      <c r="A736" t="s">
        <v>1477</v>
      </c>
      <c r="B736" t="s">
        <v>1478</v>
      </c>
      <c r="C736">
        <v>97.4</v>
      </c>
      <c r="D736">
        <v>98</v>
      </c>
      <c r="E736">
        <v>90.15</v>
      </c>
      <c r="F736">
        <v>92.11</v>
      </c>
      <c r="G736">
        <v>99.23</v>
      </c>
      <c r="H736">
        <v>143816</v>
      </c>
      <c r="I736">
        <v>1593</v>
      </c>
      <c r="J736">
        <v>4688537165</v>
      </c>
      <c r="K736">
        <v>50901500</v>
      </c>
      <c r="L736">
        <f>(Table1[[#This Row],[CLOSE_PRICE]] - Table1[[#This Row],[PREV_CL_PR]]) / Table1[[#This Row],[PREV_CL_PR]] * 100</f>
        <v>-7.1752494205381474</v>
      </c>
      <c r="M736">
        <f>Table1[[#This Row],[HIGH_PRICE]]-Table1[[#This Row],[LOW_PRICE]]</f>
        <v>7.8499999999999943</v>
      </c>
      <c r="N736" t="str">
        <f>IF(Table1[[#This Row],[CLOSE_PRICE]]&gt;Table1[[#This Row],[OPEN_PRICE]],"Gain","Loss")</f>
        <v>Loss</v>
      </c>
      <c r="O736" t="str">
        <f>IF(Table1[[#This Row],[MARKET_CAP]]&gt;200000000000,"Large Cap",
IF(Table1[[#This Row],[MARKET_CAP]]&gt;50000000000,"Mid Cap","Small Cap"))</f>
        <v>Small Cap</v>
      </c>
      <c r="P736" t="str">
        <f>IF(Table1[[#This Row],[NET_TRDQTY]]&gt;1000000,"High Volume","Low Volume")</f>
        <v>Low Volume</v>
      </c>
    </row>
    <row r="737" spans="1:16" x14ac:dyDescent="0.3">
      <c r="A737" t="s">
        <v>1479</v>
      </c>
      <c r="B737" t="s">
        <v>1480</v>
      </c>
      <c r="C737">
        <v>10.56</v>
      </c>
      <c r="D737">
        <v>11.47</v>
      </c>
      <c r="E737">
        <v>10.02</v>
      </c>
      <c r="F737">
        <v>10.17</v>
      </c>
      <c r="G737">
        <v>10.61</v>
      </c>
      <c r="H737">
        <v>5477</v>
      </c>
      <c r="I737">
        <v>58</v>
      </c>
      <c r="J737">
        <v>108008196.8</v>
      </c>
      <c r="K737">
        <v>10620275</v>
      </c>
      <c r="L737">
        <f>(Table1[[#This Row],[CLOSE_PRICE]] - Table1[[#This Row],[PREV_CL_PR]]) / Table1[[#This Row],[PREV_CL_PR]] * 100</f>
        <v>-4.1470311027332656</v>
      </c>
      <c r="M737">
        <f>Table1[[#This Row],[HIGH_PRICE]]-Table1[[#This Row],[LOW_PRICE]]</f>
        <v>1.4500000000000011</v>
      </c>
      <c r="N737" t="str">
        <f>IF(Table1[[#This Row],[CLOSE_PRICE]]&gt;Table1[[#This Row],[OPEN_PRICE]],"Gain","Loss")</f>
        <v>Loss</v>
      </c>
      <c r="O737" t="str">
        <f>IF(Table1[[#This Row],[MARKET_CAP]]&gt;200000000000,"Large Cap",
IF(Table1[[#This Row],[MARKET_CAP]]&gt;50000000000,"Mid Cap","Small Cap"))</f>
        <v>Small Cap</v>
      </c>
      <c r="P737" t="str">
        <f>IF(Table1[[#This Row],[NET_TRDQTY]]&gt;1000000,"High Volume","Low Volume")</f>
        <v>Low Volume</v>
      </c>
    </row>
    <row r="738" spans="1:16" x14ac:dyDescent="0.3">
      <c r="A738" t="s">
        <v>1481</v>
      </c>
      <c r="B738" t="s">
        <v>1482</v>
      </c>
      <c r="C738">
        <v>153</v>
      </c>
      <c r="D738">
        <v>156.94999999999999</v>
      </c>
      <c r="E738">
        <v>149.02000000000001</v>
      </c>
      <c r="F738">
        <v>150.87</v>
      </c>
      <c r="G738">
        <v>156.21</v>
      </c>
      <c r="H738">
        <v>5689</v>
      </c>
      <c r="I738">
        <v>381</v>
      </c>
      <c r="J738">
        <v>2112180000</v>
      </c>
      <c r="K738">
        <v>14000000</v>
      </c>
      <c r="L738">
        <f>(Table1[[#This Row],[CLOSE_PRICE]] - Table1[[#This Row],[PREV_CL_PR]]) / Table1[[#This Row],[PREV_CL_PR]] * 100</f>
        <v>-3.4184751296331881</v>
      </c>
      <c r="M738">
        <f>Table1[[#This Row],[HIGH_PRICE]]-Table1[[#This Row],[LOW_PRICE]]</f>
        <v>7.9299999999999784</v>
      </c>
      <c r="N738" t="str">
        <f>IF(Table1[[#This Row],[CLOSE_PRICE]]&gt;Table1[[#This Row],[OPEN_PRICE]],"Gain","Loss")</f>
        <v>Loss</v>
      </c>
      <c r="O738" t="str">
        <f>IF(Table1[[#This Row],[MARKET_CAP]]&gt;200000000000,"Large Cap",
IF(Table1[[#This Row],[MARKET_CAP]]&gt;50000000000,"Mid Cap","Small Cap"))</f>
        <v>Small Cap</v>
      </c>
      <c r="P738" t="str">
        <f>IF(Table1[[#This Row],[NET_TRDQTY]]&gt;1000000,"High Volume","Low Volume")</f>
        <v>Low Volume</v>
      </c>
    </row>
    <row r="739" spans="1:16" x14ac:dyDescent="0.3">
      <c r="A739" t="s">
        <v>1483</v>
      </c>
      <c r="B739" t="s">
        <v>1484</v>
      </c>
      <c r="C739">
        <v>2.42</v>
      </c>
      <c r="D739">
        <v>2.42</v>
      </c>
      <c r="E739">
        <v>2.2200000000000002</v>
      </c>
      <c r="F739">
        <v>2.25</v>
      </c>
      <c r="G739">
        <v>2.41</v>
      </c>
      <c r="H739">
        <v>897422</v>
      </c>
      <c r="I739">
        <v>699</v>
      </c>
      <c r="J739">
        <v>1013442273</v>
      </c>
      <c r="K739">
        <v>450418788</v>
      </c>
      <c r="L739">
        <f>(Table1[[#This Row],[CLOSE_PRICE]] - Table1[[#This Row],[PREV_CL_PR]]) / Table1[[#This Row],[PREV_CL_PR]] * 100</f>
        <v>-6.6390041493775991</v>
      </c>
      <c r="M739">
        <f>Table1[[#This Row],[HIGH_PRICE]]-Table1[[#This Row],[LOW_PRICE]]</f>
        <v>0.19999999999999973</v>
      </c>
      <c r="N739" t="str">
        <f>IF(Table1[[#This Row],[CLOSE_PRICE]]&gt;Table1[[#This Row],[OPEN_PRICE]],"Gain","Loss")</f>
        <v>Loss</v>
      </c>
      <c r="O739" t="str">
        <f>IF(Table1[[#This Row],[MARKET_CAP]]&gt;200000000000,"Large Cap",
IF(Table1[[#This Row],[MARKET_CAP]]&gt;50000000000,"Mid Cap","Small Cap"))</f>
        <v>Small Cap</v>
      </c>
      <c r="P739" t="str">
        <f>IF(Table1[[#This Row],[NET_TRDQTY]]&gt;1000000,"High Volume","Low Volume")</f>
        <v>Low Volume</v>
      </c>
    </row>
    <row r="740" spans="1:16" x14ac:dyDescent="0.3">
      <c r="A740" t="s">
        <v>1485</v>
      </c>
      <c r="B740" t="s">
        <v>1486</v>
      </c>
      <c r="C740">
        <v>43</v>
      </c>
      <c r="D740">
        <v>43</v>
      </c>
      <c r="E740">
        <v>40.36</v>
      </c>
      <c r="F740">
        <v>40.85</v>
      </c>
      <c r="G740">
        <v>43.07</v>
      </c>
      <c r="H740">
        <v>89225</v>
      </c>
      <c r="I740">
        <v>1224</v>
      </c>
      <c r="J740">
        <v>2439521109</v>
      </c>
      <c r="K740">
        <v>59718999</v>
      </c>
      <c r="L740">
        <f>(Table1[[#This Row],[CLOSE_PRICE]] - Table1[[#This Row],[PREV_CL_PR]]) / Table1[[#This Row],[PREV_CL_PR]] * 100</f>
        <v>-5.1543998142558598</v>
      </c>
      <c r="M740">
        <f>Table1[[#This Row],[HIGH_PRICE]]-Table1[[#This Row],[LOW_PRICE]]</f>
        <v>2.6400000000000006</v>
      </c>
      <c r="N740" t="str">
        <f>IF(Table1[[#This Row],[CLOSE_PRICE]]&gt;Table1[[#This Row],[OPEN_PRICE]],"Gain","Loss")</f>
        <v>Loss</v>
      </c>
      <c r="O740" t="str">
        <f>IF(Table1[[#This Row],[MARKET_CAP]]&gt;200000000000,"Large Cap",
IF(Table1[[#This Row],[MARKET_CAP]]&gt;50000000000,"Mid Cap","Small Cap"))</f>
        <v>Small Cap</v>
      </c>
      <c r="P740" t="str">
        <f>IF(Table1[[#This Row],[NET_TRDQTY]]&gt;1000000,"High Volume","Low Volume")</f>
        <v>Low Volume</v>
      </c>
    </row>
    <row r="741" spans="1:16" x14ac:dyDescent="0.3">
      <c r="A741" t="s">
        <v>1487</v>
      </c>
      <c r="B741" t="s">
        <v>1488</v>
      </c>
      <c r="C741">
        <v>858.3</v>
      </c>
      <c r="D741">
        <v>869</v>
      </c>
      <c r="E741">
        <v>821.15</v>
      </c>
      <c r="F741">
        <v>858.65</v>
      </c>
      <c r="G741">
        <v>866.2</v>
      </c>
      <c r="H741">
        <v>65855</v>
      </c>
      <c r="I741">
        <v>5231</v>
      </c>
      <c r="J741">
        <v>24876922859</v>
      </c>
      <c r="K741">
        <v>28972134</v>
      </c>
      <c r="L741">
        <f>(Table1[[#This Row],[CLOSE_PRICE]] - Table1[[#This Row],[PREV_CL_PR]]) / Table1[[#This Row],[PREV_CL_PR]] * 100</f>
        <v>-0.87162318171323805</v>
      </c>
      <c r="M741">
        <f>Table1[[#This Row],[HIGH_PRICE]]-Table1[[#This Row],[LOW_PRICE]]</f>
        <v>47.850000000000023</v>
      </c>
      <c r="N741" t="str">
        <f>IF(Table1[[#This Row],[CLOSE_PRICE]]&gt;Table1[[#This Row],[OPEN_PRICE]],"Gain","Loss")</f>
        <v>Gain</v>
      </c>
      <c r="O741" t="str">
        <f>IF(Table1[[#This Row],[MARKET_CAP]]&gt;200000000000,"Large Cap",
IF(Table1[[#This Row],[MARKET_CAP]]&gt;50000000000,"Mid Cap","Small Cap"))</f>
        <v>Small Cap</v>
      </c>
      <c r="P741" t="str">
        <f>IF(Table1[[#This Row],[NET_TRDQTY]]&gt;1000000,"High Volume","Low Volume")</f>
        <v>Low Volume</v>
      </c>
    </row>
    <row r="742" spans="1:16" x14ac:dyDescent="0.3">
      <c r="A742" t="s">
        <v>1489</v>
      </c>
      <c r="B742" t="s">
        <v>1490</v>
      </c>
      <c r="C742">
        <v>505</v>
      </c>
      <c r="D742">
        <v>524.4</v>
      </c>
      <c r="E742">
        <v>497</v>
      </c>
      <c r="F742">
        <v>501.35</v>
      </c>
      <c r="G742">
        <v>514.70000000000005</v>
      </c>
      <c r="H742">
        <v>2602</v>
      </c>
      <c r="I742">
        <v>115</v>
      </c>
      <c r="J742">
        <v>5486403401</v>
      </c>
      <c r="K742">
        <v>10943260</v>
      </c>
      <c r="L742">
        <f>(Table1[[#This Row],[CLOSE_PRICE]] - Table1[[#This Row],[PREV_CL_PR]]) / Table1[[#This Row],[PREV_CL_PR]] * 100</f>
        <v>-2.593743928502044</v>
      </c>
      <c r="M742">
        <f>Table1[[#This Row],[HIGH_PRICE]]-Table1[[#This Row],[LOW_PRICE]]</f>
        <v>27.399999999999977</v>
      </c>
      <c r="N742" t="str">
        <f>IF(Table1[[#This Row],[CLOSE_PRICE]]&gt;Table1[[#This Row],[OPEN_PRICE]],"Gain","Loss")</f>
        <v>Loss</v>
      </c>
      <c r="O742" t="str">
        <f>IF(Table1[[#This Row],[MARKET_CAP]]&gt;200000000000,"Large Cap",
IF(Table1[[#This Row],[MARKET_CAP]]&gt;50000000000,"Mid Cap","Small Cap"))</f>
        <v>Small Cap</v>
      </c>
      <c r="P742" t="str">
        <f>IF(Table1[[#This Row],[NET_TRDQTY]]&gt;1000000,"High Volume","Low Volume")</f>
        <v>Low Volume</v>
      </c>
    </row>
    <row r="743" spans="1:16" x14ac:dyDescent="0.3">
      <c r="A743" t="s">
        <v>1491</v>
      </c>
      <c r="B743" t="s">
        <v>1492</v>
      </c>
      <c r="C743">
        <v>42.9</v>
      </c>
      <c r="D743">
        <v>43</v>
      </c>
      <c r="E743">
        <v>40.5</v>
      </c>
      <c r="F743">
        <v>40.78</v>
      </c>
      <c r="G743">
        <v>43.15</v>
      </c>
      <c r="H743">
        <v>245041</v>
      </c>
      <c r="I743">
        <v>2059</v>
      </c>
      <c r="J743">
        <v>3768194340</v>
      </c>
      <c r="K743">
        <v>92403000</v>
      </c>
      <c r="L743">
        <f>(Table1[[#This Row],[CLOSE_PRICE]] - Table1[[#This Row],[PREV_CL_PR]]) / Table1[[#This Row],[PREV_CL_PR]] * 100</f>
        <v>-5.4924681344148265</v>
      </c>
      <c r="M743">
        <f>Table1[[#This Row],[HIGH_PRICE]]-Table1[[#This Row],[LOW_PRICE]]</f>
        <v>2.5</v>
      </c>
      <c r="N743" t="str">
        <f>IF(Table1[[#This Row],[CLOSE_PRICE]]&gt;Table1[[#This Row],[OPEN_PRICE]],"Gain","Loss")</f>
        <v>Loss</v>
      </c>
      <c r="O743" t="str">
        <f>IF(Table1[[#This Row],[MARKET_CAP]]&gt;200000000000,"Large Cap",
IF(Table1[[#This Row],[MARKET_CAP]]&gt;50000000000,"Mid Cap","Small Cap"))</f>
        <v>Small Cap</v>
      </c>
      <c r="P743" t="str">
        <f>IF(Table1[[#This Row],[NET_TRDQTY]]&gt;1000000,"High Volume","Low Volume")</f>
        <v>Low Volume</v>
      </c>
    </row>
    <row r="744" spans="1:16" x14ac:dyDescent="0.3">
      <c r="A744" t="s">
        <v>1493</v>
      </c>
      <c r="B744" t="s">
        <v>1494</v>
      </c>
      <c r="C744">
        <v>982</v>
      </c>
      <c r="D744">
        <v>1016.7</v>
      </c>
      <c r="E744">
        <v>975.8</v>
      </c>
      <c r="F744">
        <v>991.55</v>
      </c>
      <c r="G744">
        <v>1006.05</v>
      </c>
      <c r="H744">
        <v>111730</v>
      </c>
      <c r="I744">
        <v>7622</v>
      </c>
      <c r="J744">
        <v>22653867492</v>
      </c>
      <c r="K744">
        <v>22846924</v>
      </c>
      <c r="L744">
        <f>(Table1[[#This Row],[CLOSE_PRICE]] - Table1[[#This Row],[PREV_CL_PR]]) / Table1[[#This Row],[PREV_CL_PR]] * 100</f>
        <v>-1.4412802544605139</v>
      </c>
      <c r="M744">
        <f>Table1[[#This Row],[HIGH_PRICE]]-Table1[[#This Row],[LOW_PRICE]]</f>
        <v>40.900000000000091</v>
      </c>
      <c r="N744" t="str">
        <f>IF(Table1[[#This Row],[CLOSE_PRICE]]&gt;Table1[[#This Row],[OPEN_PRICE]],"Gain","Loss")</f>
        <v>Gain</v>
      </c>
      <c r="O744" t="str">
        <f>IF(Table1[[#This Row],[MARKET_CAP]]&gt;200000000000,"Large Cap",
IF(Table1[[#This Row],[MARKET_CAP]]&gt;50000000000,"Mid Cap","Small Cap"))</f>
        <v>Small Cap</v>
      </c>
      <c r="P744" t="str">
        <f>IF(Table1[[#This Row],[NET_TRDQTY]]&gt;1000000,"High Volume","Low Volume")</f>
        <v>Low Volume</v>
      </c>
    </row>
    <row r="745" spans="1:16" x14ac:dyDescent="0.3">
      <c r="A745" t="s">
        <v>1495</v>
      </c>
      <c r="B745" t="s">
        <v>1496</v>
      </c>
      <c r="C745">
        <v>566</v>
      </c>
      <c r="D745">
        <v>586</v>
      </c>
      <c r="E745">
        <v>562.29999999999995</v>
      </c>
      <c r="F745">
        <v>569.04999999999995</v>
      </c>
      <c r="G745">
        <v>575.70000000000005</v>
      </c>
      <c r="H745">
        <v>7318326</v>
      </c>
      <c r="I745">
        <v>143573</v>
      </c>
      <c r="J745">
        <v>181000000000</v>
      </c>
      <c r="K745">
        <v>318000000</v>
      </c>
      <c r="L745">
        <f>(Table1[[#This Row],[CLOSE_PRICE]] - Table1[[#This Row],[PREV_CL_PR]]) / Table1[[#This Row],[PREV_CL_PR]] * 100</f>
        <v>-1.1551155115511709</v>
      </c>
      <c r="M745">
        <f>Table1[[#This Row],[HIGH_PRICE]]-Table1[[#This Row],[LOW_PRICE]]</f>
        <v>23.700000000000045</v>
      </c>
      <c r="N745" t="str">
        <f>IF(Table1[[#This Row],[CLOSE_PRICE]]&gt;Table1[[#This Row],[OPEN_PRICE]],"Gain","Loss")</f>
        <v>Gain</v>
      </c>
      <c r="O745" t="str">
        <f>IF(Table1[[#This Row],[MARKET_CAP]]&gt;200000000000,"Large Cap",
IF(Table1[[#This Row],[MARKET_CAP]]&gt;50000000000,"Mid Cap","Small Cap"))</f>
        <v>Mid Cap</v>
      </c>
      <c r="P745" t="str">
        <f>IF(Table1[[#This Row],[NET_TRDQTY]]&gt;1000000,"High Volume","Low Volume")</f>
        <v>High Volume</v>
      </c>
    </row>
    <row r="746" spans="1:16" x14ac:dyDescent="0.3">
      <c r="A746" t="s">
        <v>1497</v>
      </c>
      <c r="B746" t="s">
        <v>1498</v>
      </c>
      <c r="C746">
        <v>849.9</v>
      </c>
      <c r="D746">
        <v>859.9</v>
      </c>
      <c r="E746">
        <v>808.9</v>
      </c>
      <c r="F746">
        <v>821</v>
      </c>
      <c r="G746">
        <v>856.9</v>
      </c>
      <c r="H746">
        <v>128289</v>
      </c>
      <c r="I746">
        <v>10357</v>
      </c>
      <c r="J746">
        <v>36909880904</v>
      </c>
      <c r="K746">
        <v>44957224</v>
      </c>
      <c r="L746">
        <f>(Table1[[#This Row],[CLOSE_PRICE]] - Table1[[#This Row],[PREV_CL_PR]]) / Table1[[#This Row],[PREV_CL_PR]] * 100</f>
        <v>-4.18952036410316</v>
      </c>
      <c r="M746">
        <f>Table1[[#This Row],[HIGH_PRICE]]-Table1[[#This Row],[LOW_PRICE]]</f>
        <v>51</v>
      </c>
      <c r="N746" t="str">
        <f>IF(Table1[[#This Row],[CLOSE_PRICE]]&gt;Table1[[#This Row],[OPEN_PRICE]],"Gain","Loss")</f>
        <v>Loss</v>
      </c>
      <c r="O746" t="str">
        <f>IF(Table1[[#This Row],[MARKET_CAP]]&gt;200000000000,"Large Cap",
IF(Table1[[#This Row],[MARKET_CAP]]&gt;50000000000,"Mid Cap","Small Cap"))</f>
        <v>Small Cap</v>
      </c>
      <c r="P746" t="str">
        <f>IF(Table1[[#This Row],[NET_TRDQTY]]&gt;1000000,"High Volume","Low Volume")</f>
        <v>Low Volume</v>
      </c>
    </row>
    <row r="747" spans="1:16" x14ac:dyDescent="0.3">
      <c r="A747" t="s">
        <v>1499</v>
      </c>
      <c r="B747" t="s">
        <v>1500</v>
      </c>
      <c r="C747">
        <v>90.15</v>
      </c>
      <c r="D747">
        <v>90.15</v>
      </c>
      <c r="E747">
        <v>84.49</v>
      </c>
      <c r="F747">
        <v>84.77</v>
      </c>
      <c r="G747">
        <v>90.56</v>
      </c>
      <c r="H747">
        <v>10647285</v>
      </c>
      <c r="I747">
        <v>45825</v>
      </c>
      <c r="J747">
        <v>895000000000</v>
      </c>
      <c r="K747">
        <v>10558975952</v>
      </c>
      <c r="L747">
        <f>(Table1[[#This Row],[CLOSE_PRICE]] - Table1[[#This Row],[PREV_CL_PR]]) / Table1[[#This Row],[PREV_CL_PR]] * 100</f>
        <v>-6.393551236749123</v>
      </c>
      <c r="M747">
        <f>Table1[[#This Row],[HIGH_PRICE]]-Table1[[#This Row],[LOW_PRICE]]</f>
        <v>5.6600000000000108</v>
      </c>
      <c r="N747" t="str">
        <f>IF(Table1[[#This Row],[CLOSE_PRICE]]&gt;Table1[[#This Row],[OPEN_PRICE]],"Gain","Loss")</f>
        <v>Loss</v>
      </c>
      <c r="O747" t="str">
        <f>IF(Table1[[#This Row],[MARKET_CAP]]&gt;200000000000,"Large Cap",
IF(Table1[[#This Row],[MARKET_CAP]]&gt;50000000000,"Mid Cap","Small Cap"))</f>
        <v>Large Cap</v>
      </c>
      <c r="P747" t="str">
        <f>IF(Table1[[#This Row],[NET_TRDQTY]]&gt;1000000,"High Volume","Low Volume")</f>
        <v>High Volume</v>
      </c>
    </row>
    <row r="748" spans="1:16" x14ac:dyDescent="0.3">
      <c r="A748" t="s">
        <v>1501</v>
      </c>
      <c r="B748" t="s">
        <v>1502</v>
      </c>
      <c r="C748">
        <v>102.5</v>
      </c>
      <c r="D748">
        <v>102.99</v>
      </c>
      <c r="E748">
        <v>99.1</v>
      </c>
      <c r="F748">
        <v>100.19</v>
      </c>
      <c r="G748">
        <v>104.52</v>
      </c>
      <c r="H748">
        <v>1426804</v>
      </c>
      <c r="I748">
        <v>15652</v>
      </c>
      <c r="J748">
        <v>78250146231</v>
      </c>
      <c r="K748">
        <v>781017529</v>
      </c>
      <c r="L748">
        <f>(Table1[[#This Row],[CLOSE_PRICE]] - Table1[[#This Row],[PREV_CL_PR]]) / Table1[[#This Row],[PREV_CL_PR]] * 100</f>
        <v>-4.1427477994642157</v>
      </c>
      <c r="M748">
        <f>Table1[[#This Row],[HIGH_PRICE]]-Table1[[#This Row],[LOW_PRICE]]</f>
        <v>3.8900000000000006</v>
      </c>
      <c r="N748" t="str">
        <f>IF(Table1[[#This Row],[CLOSE_PRICE]]&gt;Table1[[#This Row],[OPEN_PRICE]],"Gain","Loss")</f>
        <v>Loss</v>
      </c>
      <c r="O748" t="str">
        <f>IF(Table1[[#This Row],[MARKET_CAP]]&gt;200000000000,"Large Cap",
IF(Table1[[#This Row],[MARKET_CAP]]&gt;50000000000,"Mid Cap","Small Cap"))</f>
        <v>Mid Cap</v>
      </c>
      <c r="P748" t="str">
        <f>IF(Table1[[#This Row],[NET_TRDQTY]]&gt;1000000,"High Volume","Low Volume")</f>
        <v>High Volume</v>
      </c>
    </row>
    <row r="749" spans="1:16" x14ac:dyDescent="0.3">
      <c r="A749" t="s">
        <v>1503</v>
      </c>
      <c r="B749" t="s">
        <v>1504</v>
      </c>
      <c r="C749">
        <v>370</v>
      </c>
      <c r="D749">
        <v>375.2</v>
      </c>
      <c r="E749">
        <v>351.15</v>
      </c>
      <c r="F749">
        <v>355.9</v>
      </c>
      <c r="G749">
        <v>375.35</v>
      </c>
      <c r="H749">
        <v>78376</v>
      </c>
      <c r="I749">
        <v>3611</v>
      </c>
      <c r="J749">
        <v>15279071720</v>
      </c>
      <c r="K749">
        <v>42930800</v>
      </c>
      <c r="L749">
        <f>(Table1[[#This Row],[CLOSE_PRICE]] - Table1[[#This Row],[PREV_CL_PR]]) / Table1[[#This Row],[PREV_CL_PR]] * 100</f>
        <v>-5.1818302917277324</v>
      </c>
      <c r="M749">
        <f>Table1[[#This Row],[HIGH_PRICE]]-Table1[[#This Row],[LOW_PRICE]]</f>
        <v>24.050000000000011</v>
      </c>
      <c r="N749" t="str">
        <f>IF(Table1[[#This Row],[CLOSE_PRICE]]&gt;Table1[[#This Row],[OPEN_PRICE]],"Gain","Loss")</f>
        <v>Loss</v>
      </c>
      <c r="O749" t="str">
        <f>IF(Table1[[#This Row],[MARKET_CAP]]&gt;200000000000,"Large Cap",
IF(Table1[[#This Row],[MARKET_CAP]]&gt;50000000000,"Mid Cap","Small Cap"))</f>
        <v>Small Cap</v>
      </c>
      <c r="P749" t="str">
        <f>IF(Table1[[#This Row],[NET_TRDQTY]]&gt;1000000,"High Volume","Low Volume")</f>
        <v>Low Volume</v>
      </c>
    </row>
    <row r="750" spans="1:16" x14ac:dyDescent="0.3">
      <c r="A750" t="s">
        <v>1505</v>
      </c>
      <c r="B750" t="s">
        <v>1506</v>
      </c>
      <c r="C750">
        <v>406.65</v>
      </c>
      <c r="D750">
        <v>406.65</v>
      </c>
      <c r="E750">
        <v>380</v>
      </c>
      <c r="F750">
        <v>383.45</v>
      </c>
      <c r="G750">
        <v>407.05</v>
      </c>
      <c r="H750">
        <v>450953</v>
      </c>
      <c r="I750">
        <v>15070</v>
      </c>
      <c r="J750">
        <v>56344404896</v>
      </c>
      <c r="K750">
        <v>146940683</v>
      </c>
      <c r="L750">
        <f>(Table1[[#This Row],[CLOSE_PRICE]] - Table1[[#This Row],[PREV_CL_PR]]) / Table1[[#This Row],[PREV_CL_PR]] * 100</f>
        <v>-5.7978135364205921</v>
      </c>
      <c r="M750">
        <f>Table1[[#This Row],[HIGH_PRICE]]-Table1[[#This Row],[LOW_PRICE]]</f>
        <v>26.649999999999977</v>
      </c>
      <c r="N750" t="str">
        <f>IF(Table1[[#This Row],[CLOSE_PRICE]]&gt;Table1[[#This Row],[OPEN_PRICE]],"Gain","Loss")</f>
        <v>Loss</v>
      </c>
      <c r="O750" t="str">
        <f>IF(Table1[[#This Row],[MARKET_CAP]]&gt;200000000000,"Large Cap",
IF(Table1[[#This Row],[MARKET_CAP]]&gt;50000000000,"Mid Cap","Small Cap"))</f>
        <v>Mid Cap</v>
      </c>
      <c r="P750" t="str">
        <f>IF(Table1[[#This Row],[NET_TRDQTY]]&gt;1000000,"High Volume","Low Volume")</f>
        <v>Low Volume</v>
      </c>
    </row>
    <row r="751" spans="1:16" x14ac:dyDescent="0.3">
      <c r="A751" t="s">
        <v>1507</v>
      </c>
      <c r="B751" t="s">
        <v>1508</v>
      </c>
      <c r="C751">
        <v>300.3</v>
      </c>
      <c r="D751">
        <v>305.3</v>
      </c>
      <c r="E751">
        <v>286</v>
      </c>
      <c r="F751">
        <v>288.64999999999998</v>
      </c>
      <c r="G751">
        <v>305.35000000000002</v>
      </c>
      <c r="H751">
        <v>35664</v>
      </c>
      <c r="I751">
        <v>1349</v>
      </c>
      <c r="J751">
        <v>2641451160</v>
      </c>
      <c r="K751">
        <v>9151052</v>
      </c>
      <c r="L751">
        <f>(Table1[[#This Row],[CLOSE_PRICE]] - Table1[[#This Row],[PREV_CL_PR]]) / Table1[[#This Row],[PREV_CL_PR]] * 100</f>
        <v>-5.4691337809071703</v>
      </c>
      <c r="M751">
        <f>Table1[[#This Row],[HIGH_PRICE]]-Table1[[#This Row],[LOW_PRICE]]</f>
        <v>19.300000000000011</v>
      </c>
      <c r="N751" t="str">
        <f>IF(Table1[[#This Row],[CLOSE_PRICE]]&gt;Table1[[#This Row],[OPEN_PRICE]],"Gain","Loss")</f>
        <v>Loss</v>
      </c>
      <c r="O751" t="str">
        <f>IF(Table1[[#This Row],[MARKET_CAP]]&gt;200000000000,"Large Cap",
IF(Table1[[#This Row],[MARKET_CAP]]&gt;50000000000,"Mid Cap","Small Cap"))</f>
        <v>Small Cap</v>
      </c>
      <c r="P751" t="str">
        <f>IF(Table1[[#This Row],[NET_TRDQTY]]&gt;1000000,"High Volume","Low Volume")</f>
        <v>Low Volume</v>
      </c>
    </row>
    <row r="752" spans="1:16" x14ac:dyDescent="0.3">
      <c r="A752" t="s">
        <v>1509</v>
      </c>
      <c r="B752" t="s">
        <v>1510</v>
      </c>
      <c r="C752">
        <v>233</v>
      </c>
      <c r="D752">
        <v>237.6</v>
      </c>
      <c r="E752">
        <v>223.35</v>
      </c>
      <c r="F752">
        <v>225</v>
      </c>
      <c r="G752">
        <v>236.3</v>
      </c>
      <c r="H752">
        <v>60224</v>
      </c>
      <c r="I752">
        <v>1816</v>
      </c>
      <c r="J752">
        <v>11153810250</v>
      </c>
      <c r="K752">
        <v>49572490</v>
      </c>
      <c r="L752">
        <f>(Table1[[#This Row],[CLOSE_PRICE]] - Table1[[#This Row],[PREV_CL_PR]]) / Table1[[#This Row],[PREV_CL_PR]] * 100</f>
        <v>-4.782056707575121</v>
      </c>
      <c r="M752">
        <f>Table1[[#This Row],[HIGH_PRICE]]-Table1[[#This Row],[LOW_PRICE]]</f>
        <v>14.25</v>
      </c>
      <c r="N752" t="str">
        <f>IF(Table1[[#This Row],[CLOSE_PRICE]]&gt;Table1[[#This Row],[OPEN_PRICE]],"Gain","Loss")</f>
        <v>Loss</v>
      </c>
      <c r="O752" t="str">
        <f>IF(Table1[[#This Row],[MARKET_CAP]]&gt;200000000000,"Large Cap",
IF(Table1[[#This Row],[MARKET_CAP]]&gt;50000000000,"Mid Cap","Small Cap"))</f>
        <v>Small Cap</v>
      </c>
      <c r="P752" t="str">
        <f>IF(Table1[[#This Row],[NET_TRDQTY]]&gt;1000000,"High Volume","Low Volume")</f>
        <v>Low Volume</v>
      </c>
    </row>
    <row r="753" spans="1:16" x14ac:dyDescent="0.3">
      <c r="A753" t="s">
        <v>1511</v>
      </c>
      <c r="B753" t="s">
        <v>1512</v>
      </c>
      <c r="C753">
        <v>270.95</v>
      </c>
      <c r="D753">
        <v>270.95</v>
      </c>
      <c r="E753">
        <v>252</v>
      </c>
      <c r="F753">
        <v>254.6</v>
      </c>
      <c r="G753">
        <v>275.39999999999998</v>
      </c>
      <c r="H753">
        <v>150437</v>
      </c>
      <c r="I753">
        <v>5851</v>
      </c>
      <c r="J753">
        <v>13750687326</v>
      </c>
      <c r="K753">
        <v>54008984</v>
      </c>
      <c r="L753">
        <f>(Table1[[#This Row],[CLOSE_PRICE]] - Table1[[#This Row],[PREV_CL_PR]]) / Table1[[#This Row],[PREV_CL_PR]] * 100</f>
        <v>-7.5526506899055867</v>
      </c>
      <c r="M753">
        <f>Table1[[#This Row],[HIGH_PRICE]]-Table1[[#This Row],[LOW_PRICE]]</f>
        <v>18.949999999999989</v>
      </c>
      <c r="N753" t="str">
        <f>IF(Table1[[#This Row],[CLOSE_PRICE]]&gt;Table1[[#This Row],[OPEN_PRICE]],"Gain","Loss")</f>
        <v>Loss</v>
      </c>
      <c r="O753" t="str">
        <f>IF(Table1[[#This Row],[MARKET_CAP]]&gt;200000000000,"Large Cap",
IF(Table1[[#This Row],[MARKET_CAP]]&gt;50000000000,"Mid Cap","Small Cap"))</f>
        <v>Small Cap</v>
      </c>
      <c r="P753" t="str">
        <f>IF(Table1[[#This Row],[NET_TRDQTY]]&gt;1000000,"High Volume","Low Volume")</f>
        <v>Low Volume</v>
      </c>
    </row>
    <row r="754" spans="1:16" x14ac:dyDescent="0.3">
      <c r="A754" t="s">
        <v>1513</v>
      </c>
      <c r="B754" t="s">
        <v>1514</v>
      </c>
      <c r="C754">
        <v>311</v>
      </c>
      <c r="D754">
        <v>315.89999999999998</v>
      </c>
      <c r="E754">
        <v>300</v>
      </c>
      <c r="F754">
        <v>302.35000000000002</v>
      </c>
      <c r="G754">
        <v>316.89999999999998</v>
      </c>
      <c r="H754">
        <v>315849</v>
      </c>
      <c r="I754">
        <v>10663</v>
      </c>
      <c r="J754">
        <v>15473056646</v>
      </c>
      <c r="K754">
        <v>51175977</v>
      </c>
      <c r="L754">
        <f>(Table1[[#This Row],[CLOSE_PRICE]] - Table1[[#This Row],[PREV_CL_PR]]) / Table1[[#This Row],[PREV_CL_PR]] * 100</f>
        <v>-4.5913537393499384</v>
      </c>
      <c r="M754">
        <f>Table1[[#This Row],[HIGH_PRICE]]-Table1[[#This Row],[LOW_PRICE]]</f>
        <v>15.899999999999977</v>
      </c>
      <c r="N754" t="str">
        <f>IF(Table1[[#This Row],[CLOSE_PRICE]]&gt;Table1[[#This Row],[OPEN_PRICE]],"Gain","Loss")</f>
        <v>Loss</v>
      </c>
      <c r="O754" t="str">
        <f>IF(Table1[[#This Row],[MARKET_CAP]]&gt;200000000000,"Large Cap",
IF(Table1[[#This Row],[MARKET_CAP]]&gt;50000000000,"Mid Cap","Small Cap"))</f>
        <v>Small Cap</v>
      </c>
      <c r="P754" t="str">
        <f>IF(Table1[[#This Row],[NET_TRDQTY]]&gt;1000000,"High Volume","Low Volume")</f>
        <v>Low Volume</v>
      </c>
    </row>
    <row r="755" spans="1:16" x14ac:dyDescent="0.3">
      <c r="A755" t="s">
        <v>1515</v>
      </c>
      <c r="B755" t="s">
        <v>1516</v>
      </c>
      <c r="C755">
        <v>1983</v>
      </c>
      <c r="D755">
        <v>1983</v>
      </c>
      <c r="E755">
        <v>1832.1</v>
      </c>
      <c r="F755">
        <v>1844</v>
      </c>
      <c r="G755">
        <v>1991.5</v>
      </c>
      <c r="H755">
        <v>643418</v>
      </c>
      <c r="I755">
        <v>51548</v>
      </c>
      <c r="J755">
        <v>288000000000</v>
      </c>
      <c r="K755">
        <v>155981760</v>
      </c>
      <c r="L755">
        <f>(Table1[[#This Row],[CLOSE_PRICE]] - Table1[[#This Row],[PREV_CL_PR]]) / Table1[[#This Row],[PREV_CL_PR]] * 100</f>
        <v>-7.4064775295003766</v>
      </c>
      <c r="M755">
        <f>Table1[[#This Row],[HIGH_PRICE]]-Table1[[#This Row],[LOW_PRICE]]</f>
        <v>150.90000000000009</v>
      </c>
      <c r="N755" t="str">
        <f>IF(Table1[[#This Row],[CLOSE_PRICE]]&gt;Table1[[#This Row],[OPEN_PRICE]],"Gain","Loss")</f>
        <v>Loss</v>
      </c>
      <c r="O755" t="str">
        <f>IF(Table1[[#This Row],[MARKET_CAP]]&gt;200000000000,"Large Cap",
IF(Table1[[#This Row],[MARKET_CAP]]&gt;50000000000,"Mid Cap","Small Cap"))</f>
        <v>Large Cap</v>
      </c>
      <c r="P755" t="str">
        <f>IF(Table1[[#This Row],[NET_TRDQTY]]&gt;1000000,"High Volume","Low Volume")</f>
        <v>Low Volume</v>
      </c>
    </row>
    <row r="756" spans="1:16" x14ac:dyDescent="0.3">
      <c r="A756" t="s">
        <v>1517</v>
      </c>
      <c r="B756" t="s">
        <v>1518</v>
      </c>
      <c r="C756">
        <v>320</v>
      </c>
      <c r="D756">
        <v>327.39999999999998</v>
      </c>
      <c r="E756">
        <v>312.05</v>
      </c>
      <c r="F756">
        <v>324.25</v>
      </c>
      <c r="G756">
        <v>325.75</v>
      </c>
      <c r="H756">
        <v>164882</v>
      </c>
      <c r="I756">
        <v>10134</v>
      </c>
      <c r="J756">
        <v>300000000000</v>
      </c>
      <c r="K756">
        <v>923720770</v>
      </c>
      <c r="L756">
        <f>(Table1[[#This Row],[CLOSE_PRICE]] - Table1[[#This Row],[PREV_CL_PR]]) / Table1[[#This Row],[PREV_CL_PR]] * 100</f>
        <v>-0.46047582501918649</v>
      </c>
      <c r="M756">
        <f>Table1[[#This Row],[HIGH_PRICE]]-Table1[[#This Row],[LOW_PRICE]]</f>
        <v>15.349999999999966</v>
      </c>
      <c r="N756" t="str">
        <f>IF(Table1[[#This Row],[CLOSE_PRICE]]&gt;Table1[[#This Row],[OPEN_PRICE]],"Gain","Loss")</f>
        <v>Gain</v>
      </c>
      <c r="O756" t="str">
        <f>IF(Table1[[#This Row],[MARKET_CAP]]&gt;200000000000,"Large Cap",
IF(Table1[[#This Row],[MARKET_CAP]]&gt;50000000000,"Mid Cap","Small Cap"))</f>
        <v>Large Cap</v>
      </c>
      <c r="P756" t="str">
        <f>IF(Table1[[#This Row],[NET_TRDQTY]]&gt;1000000,"High Volume","Low Volume")</f>
        <v>Low Volume</v>
      </c>
    </row>
    <row r="757" spans="1:16" x14ac:dyDescent="0.3">
      <c r="A757" t="s">
        <v>1519</v>
      </c>
      <c r="B757" t="s">
        <v>1520</v>
      </c>
      <c r="C757">
        <v>588.5</v>
      </c>
      <c r="D757">
        <v>589</v>
      </c>
      <c r="E757">
        <v>545.20000000000005</v>
      </c>
      <c r="F757">
        <v>552.5</v>
      </c>
      <c r="G757">
        <v>588.5</v>
      </c>
      <c r="H757">
        <v>182112</v>
      </c>
      <c r="I757">
        <v>12515</v>
      </c>
      <c r="J757">
        <v>106000000000</v>
      </c>
      <c r="K757">
        <v>192328994</v>
      </c>
      <c r="L757">
        <f>(Table1[[#This Row],[CLOSE_PRICE]] - Table1[[#This Row],[PREV_CL_PR]]) / Table1[[#This Row],[PREV_CL_PR]] * 100</f>
        <v>-6.117247238742566</v>
      </c>
      <c r="M757">
        <f>Table1[[#This Row],[HIGH_PRICE]]-Table1[[#This Row],[LOW_PRICE]]</f>
        <v>43.799999999999955</v>
      </c>
      <c r="N757" t="str">
        <f>IF(Table1[[#This Row],[CLOSE_PRICE]]&gt;Table1[[#This Row],[OPEN_PRICE]],"Gain","Loss")</f>
        <v>Loss</v>
      </c>
      <c r="O757" t="str">
        <f>IF(Table1[[#This Row],[MARKET_CAP]]&gt;200000000000,"Large Cap",
IF(Table1[[#This Row],[MARKET_CAP]]&gt;50000000000,"Mid Cap","Small Cap"))</f>
        <v>Mid Cap</v>
      </c>
      <c r="P757" t="str">
        <f>IF(Table1[[#This Row],[NET_TRDQTY]]&gt;1000000,"High Volume","Low Volume")</f>
        <v>Low Volume</v>
      </c>
    </row>
    <row r="758" spans="1:16" x14ac:dyDescent="0.3">
      <c r="A758" t="s">
        <v>1521</v>
      </c>
      <c r="B758" t="s">
        <v>1522</v>
      </c>
      <c r="C758">
        <v>822.2</v>
      </c>
      <c r="D758">
        <v>825</v>
      </c>
      <c r="E758">
        <v>782.1</v>
      </c>
      <c r="F758">
        <v>786.85</v>
      </c>
      <c r="G758">
        <v>832.05</v>
      </c>
      <c r="H758">
        <v>68192</v>
      </c>
      <c r="I758">
        <v>8904</v>
      </c>
      <c r="J758">
        <v>265000000000</v>
      </c>
      <c r="K758">
        <v>336804842</v>
      </c>
      <c r="L758">
        <f>(Table1[[#This Row],[CLOSE_PRICE]] - Table1[[#This Row],[PREV_CL_PR]]) / Table1[[#This Row],[PREV_CL_PR]] * 100</f>
        <v>-5.4323658433988262</v>
      </c>
      <c r="M758">
        <f>Table1[[#This Row],[HIGH_PRICE]]-Table1[[#This Row],[LOW_PRICE]]</f>
        <v>42.899999999999977</v>
      </c>
      <c r="N758" t="str">
        <f>IF(Table1[[#This Row],[CLOSE_PRICE]]&gt;Table1[[#This Row],[OPEN_PRICE]],"Gain","Loss")</f>
        <v>Loss</v>
      </c>
      <c r="O758" t="str">
        <f>IF(Table1[[#This Row],[MARKET_CAP]]&gt;200000000000,"Large Cap",
IF(Table1[[#This Row],[MARKET_CAP]]&gt;50000000000,"Mid Cap","Small Cap"))</f>
        <v>Large Cap</v>
      </c>
      <c r="P758" t="str">
        <f>IF(Table1[[#This Row],[NET_TRDQTY]]&gt;1000000,"High Volume","Low Volume")</f>
        <v>Low Volume</v>
      </c>
    </row>
    <row r="759" spans="1:16" x14ac:dyDescent="0.3">
      <c r="A759" t="s">
        <v>1523</v>
      </c>
      <c r="B759" t="s">
        <v>1524</v>
      </c>
      <c r="C759">
        <v>1527.7</v>
      </c>
      <c r="D759">
        <v>1528</v>
      </c>
      <c r="E759">
        <v>1486</v>
      </c>
      <c r="F759">
        <v>1497.2</v>
      </c>
      <c r="G759">
        <v>1549.5</v>
      </c>
      <c r="H759">
        <v>1991822</v>
      </c>
      <c r="I759">
        <v>67335</v>
      </c>
      <c r="J759">
        <v>451000000000</v>
      </c>
      <c r="K759">
        <v>301206344</v>
      </c>
      <c r="L759">
        <f>(Table1[[#This Row],[CLOSE_PRICE]] - Table1[[#This Row],[PREV_CL_PR]]) / Table1[[#This Row],[PREV_CL_PR]] * 100</f>
        <v>-3.3752823491448827</v>
      </c>
      <c r="M759">
        <f>Table1[[#This Row],[HIGH_PRICE]]-Table1[[#This Row],[LOW_PRICE]]</f>
        <v>42</v>
      </c>
      <c r="N759" t="str">
        <f>IF(Table1[[#This Row],[CLOSE_PRICE]]&gt;Table1[[#This Row],[OPEN_PRICE]],"Gain","Loss")</f>
        <v>Loss</v>
      </c>
      <c r="O759" t="str">
        <f>IF(Table1[[#This Row],[MARKET_CAP]]&gt;200000000000,"Large Cap",
IF(Table1[[#This Row],[MARKET_CAP]]&gt;50000000000,"Mid Cap","Small Cap"))</f>
        <v>Large Cap</v>
      </c>
      <c r="P759" t="str">
        <f>IF(Table1[[#This Row],[NET_TRDQTY]]&gt;1000000,"High Volume","Low Volume")</f>
        <v>High Volume</v>
      </c>
    </row>
    <row r="760" spans="1:16" x14ac:dyDescent="0.3">
      <c r="A760" t="s">
        <v>1525</v>
      </c>
      <c r="B760" t="s">
        <v>1526</v>
      </c>
      <c r="C760">
        <v>577.20000000000005</v>
      </c>
      <c r="D760">
        <v>577.25</v>
      </c>
      <c r="E760">
        <v>541.29999999999995</v>
      </c>
      <c r="F760">
        <v>563.4</v>
      </c>
      <c r="G760">
        <v>581.4</v>
      </c>
      <c r="H760">
        <v>733458</v>
      </c>
      <c r="I760">
        <v>19441</v>
      </c>
      <c r="J760">
        <v>41263347265</v>
      </c>
      <c r="K760">
        <v>73239878</v>
      </c>
      <c r="L760">
        <f>(Table1[[#This Row],[CLOSE_PRICE]] - Table1[[#This Row],[PREV_CL_PR]]) / Table1[[#This Row],[PREV_CL_PR]] * 100</f>
        <v>-3.0959752321981426</v>
      </c>
      <c r="M760">
        <f>Table1[[#This Row],[HIGH_PRICE]]-Table1[[#This Row],[LOW_PRICE]]</f>
        <v>35.950000000000045</v>
      </c>
      <c r="N760" t="str">
        <f>IF(Table1[[#This Row],[CLOSE_PRICE]]&gt;Table1[[#This Row],[OPEN_PRICE]],"Gain","Loss")</f>
        <v>Loss</v>
      </c>
      <c r="O760" t="str">
        <f>IF(Table1[[#This Row],[MARKET_CAP]]&gt;200000000000,"Large Cap",
IF(Table1[[#This Row],[MARKET_CAP]]&gt;50000000000,"Mid Cap","Small Cap"))</f>
        <v>Small Cap</v>
      </c>
      <c r="P760" t="str">
        <f>IF(Table1[[#This Row],[NET_TRDQTY]]&gt;1000000,"High Volume","Low Volume")</f>
        <v>Low Volume</v>
      </c>
    </row>
    <row r="761" spans="1:16" x14ac:dyDescent="0.3">
      <c r="A761" t="s">
        <v>1527</v>
      </c>
      <c r="B761" t="s">
        <v>1528</v>
      </c>
      <c r="C761">
        <v>42.05</v>
      </c>
      <c r="D761">
        <v>42.19</v>
      </c>
      <c r="E761">
        <v>39.24</v>
      </c>
      <c r="F761">
        <v>39.53</v>
      </c>
      <c r="G761">
        <v>42.92</v>
      </c>
      <c r="H761">
        <v>83281</v>
      </c>
      <c r="I761">
        <v>1146</v>
      </c>
      <c r="J761">
        <v>3913272350</v>
      </c>
      <c r="K761">
        <v>98995000</v>
      </c>
      <c r="L761">
        <f>(Table1[[#This Row],[CLOSE_PRICE]] - Table1[[#This Row],[PREV_CL_PR]]) / Table1[[#This Row],[PREV_CL_PR]] * 100</f>
        <v>-7.898415657036348</v>
      </c>
      <c r="M761">
        <f>Table1[[#This Row],[HIGH_PRICE]]-Table1[[#This Row],[LOW_PRICE]]</f>
        <v>2.9499999999999957</v>
      </c>
      <c r="N761" t="str">
        <f>IF(Table1[[#This Row],[CLOSE_PRICE]]&gt;Table1[[#This Row],[OPEN_PRICE]],"Gain","Loss")</f>
        <v>Loss</v>
      </c>
      <c r="O761" t="str">
        <f>IF(Table1[[#This Row],[MARKET_CAP]]&gt;200000000000,"Large Cap",
IF(Table1[[#This Row],[MARKET_CAP]]&gt;50000000000,"Mid Cap","Small Cap"))</f>
        <v>Small Cap</v>
      </c>
      <c r="P761" t="str">
        <f>IF(Table1[[#This Row],[NET_TRDQTY]]&gt;1000000,"High Volume","Low Volume")</f>
        <v>Low Volume</v>
      </c>
    </row>
    <row r="762" spans="1:16" x14ac:dyDescent="0.3">
      <c r="A762" t="s">
        <v>1529</v>
      </c>
      <c r="B762" t="s">
        <v>1530</v>
      </c>
      <c r="C762">
        <v>179</v>
      </c>
      <c r="D762">
        <v>182.67</v>
      </c>
      <c r="E762">
        <v>174.43</v>
      </c>
      <c r="F762">
        <v>178.36</v>
      </c>
      <c r="G762">
        <v>181.54</v>
      </c>
      <c r="H762">
        <v>928903</v>
      </c>
      <c r="I762">
        <v>18596</v>
      </c>
      <c r="J762">
        <v>52631666666</v>
      </c>
      <c r="K762">
        <v>295086716</v>
      </c>
      <c r="L762">
        <f>(Table1[[#This Row],[CLOSE_PRICE]] - Table1[[#This Row],[PREV_CL_PR]]) / Table1[[#This Row],[PREV_CL_PR]] * 100</f>
        <v>-1.751680070507865</v>
      </c>
      <c r="M762">
        <f>Table1[[#This Row],[HIGH_PRICE]]-Table1[[#This Row],[LOW_PRICE]]</f>
        <v>8.2399999999999807</v>
      </c>
      <c r="N762" t="str">
        <f>IF(Table1[[#This Row],[CLOSE_PRICE]]&gt;Table1[[#This Row],[OPEN_PRICE]],"Gain","Loss")</f>
        <v>Loss</v>
      </c>
      <c r="O762" t="str">
        <f>IF(Table1[[#This Row],[MARKET_CAP]]&gt;200000000000,"Large Cap",
IF(Table1[[#This Row],[MARKET_CAP]]&gt;50000000000,"Mid Cap","Small Cap"))</f>
        <v>Mid Cap</v>
      </c>
      <c r="P762" t="str">
        <f>IF(Table1[[#This Row],[NET_TRDQTY]]&gt;1000000,"High Volume","Low Volume")</f>
        <v>Low Volume</v>
      </c>
    </row>
    <row r="763" spans="1:16" x14ac:dyDescent="0.3">
      <c r="A763" t="s">
        <v>1531</v>
      </c>
      <c r="B763" t="s">
        <v>1532</v>
      </c>
      <c r="C763">
        <v>293</v>
      </c>
      <c r="D763">
        <v>293.89999999999998</v>
      </c>
      <c r="E763">
        <v>280</v>
      </c>
      <c r="F763">
        <v>281.95</v>
      </c>
      <c r="G763">
        <v>296.10000000000002</v>
      </c>
      <c r="H763">
        <v>424806</v>
      </c>
      <c r="I763">
        <v>9720</v>
      </c>
      <c r="J763">
        <v>31837186116</v>
      </c>
      <c r="K763">
        <v>112917844</v>
      </c>
      <c r="L763">
        <f>(Table1[[#This Row],[CLOSE_PRICE]] - Table1[[#This Row],[PREV_CL_PR]]) / Table1[[#This Row],[PREV_CL_PR]] * 100</f>
        <v>-4.7787909490037261</v>
      </c>
      <c r="M763">
        <f>Table1[[#This Row],[HIGH_PRICE]]-Table1[[#This Row],[LOW_PRICE]]</f>
        <v>13.899999999999977</v>
      </c>
      <c r="N763" t="str">
        <f>IF(Table1[[#This Row],[CLOSE_PRICE]]&gt;Table1[[#This Row],[OPEN_PRICE]],"Gain","Loss")</f>
        <v>Loss</v>
      </c>
      <c r="O763" t="str">
        <f>IF(Table1[[#This Row],[MARKET_CAP]]&gt;200000000000,"Large Cap",
IF(Table1[[#This Row],[MARKET_CAP]]&gt;50000000000,"Mid Cap","Small Cap"))</f>
        <v>Small Cap</v>
      </c>
      <c r="P763" t="str">
        <f>IF(Table1[[#This Row],[NET_TRDQTY]]&gt;1000000,"High Volume","Low Volume")</f>
        <v>Low Volume</v>
      </c>
    </row>
    <row r="764" spans="1:16" x14ac:dyDescent="0.3">
      <c r="A764" t="s">
        <v>1533</v>
      </c>
      <c r="B764" t="s">
        <v>1534</v>
      </c>
      <c r="C764">
        <v>39.799999999999997</v>
      </c>
      <c r="D764">
        <v>40.270000000000003</v>
      </c>
      <c r="E764">
        <v>36.65</v>
      </c>
      <c r="F764">
        <v>37.200000000000003</v>
      </c>
      <c r="G764">
        <v>39.799999999999997</v>
      </c>
      <c r="H764">
        <v>39420</v>
      </c>
      <c r="I764">
        <v>1016</v>
      </c>
      <c r="J764">
        <v>1944140299</v>
      </c>
      <c r="K764">
        <v>52261836</v>
      </c>
      <c r="L764">
        <f>(Table1[[#This Row],[CLOSE_PRICE]] - Table1[[#This Row],[PREV_CL_PR]]) / Table1[[#This Row],[PREV_CL_PR]] * 100</f>
        <v>-6.5326633165829016</v>
      </c>
      <c r="M764">
        <f>Table1[[#This Row],[HIGH_PRICE]]-Table1[[#This Row],[LOW_PRICE]]</f>
        <v>3.6200000000000045</v>
      </c>
      <c r="N764" t="str">
        <f>IF(Table1[[#This Row],[CLOSE_PRICE]]&gt;Table1[[#This Row],[OPEN_PRICE]],"Gain","Loss")</f>
        <v>Loss</v>
      </c>
      <c r="O764" t="str">
        <f>IF(Table1[[#This Row],[MARKET_CAP]]&gt;200000000000,"Large Cap",
IF(Table1[[#This Row],[MARKET_CAP]]&gt;50000000000,"Mid Cap","Small Cap"))</f>
        <v>Small Cap</v>
      </c>
      <c r="P764" t="str">
        <f>IF(Table1[[#This Row],[NET_TRDQTY]]&gt;1000000,"High Volume","Low Volume")</f>
        <v>Low Volume</v>
      </c>
    </row>
    <row r="765" spans="1:16" x14ac:dyDescent="0.3">
      <c r="A765" t="s">
        <v>1535</v>
      </c>
      <c r="B765" t="s">
        <v>1536</v>
      </c>
      <c r="C765">
        <v>1004</v>
      </c>
      <c r="D765">
        <v>1004</v>
      </c>
      <c r="E765">
        <v>915</v>
      </c>
      <c r="F765">
        <v>919.8</v>
      </c>
      <c r="G765">
        <v>1017.1</v>
      </c>
      <c r="H765">
        <v>218318</v>
      </c>
      <c r="I765">
        <v>12192</v>
      </c>
      <c r="J765">
        <v>30572780578</v>
      </c>
      <c r="K765">
        <v>33238509</v>
      </c>
      <c r="L765">
        <f>(Table1[[#This Row],[CLOSE_PRICE]] - Table1[[#This Row],[PREV_CL_PR]]) / Table1[[#This Row],[PREV_CL_PR]] * 100</f>
        <v>-9.5664143152099168</v>
      </c>
      <c r="M765">
        <f>Table1[[#This Row],[HIGH_PRICE]]-Table1[[#This Row],[LOW_PRICE]]</f>
        <v>89</v>
      </c>
      <c r="N765" t="str">
        <f>IF(Table1[[#This Row],[CLOSE_PRICE]]&gt;Table1[[#This Row],[OPEN_PRICE]],"Gain","Loss")</f>
        <v>Loss</v>
      </c>
      <c r="O765" t="str">
        <f>IF(Table1[[#This Row],[MARKET_CAP]]&gt;200000000000,"Large Cap",
IF(Table1[[#This Row],[MARKET_CAP]]&gt;50000000000,"Mid Cap","Small Cap"))</f>
        <v>Small Cap</v>
      </c>
      <c r="P765" t="str">
        <f>IF(Table1[[#This Row],[NET_TRDQTY]]&gt;1000000,"High Volume","Low Volume")</f>
        <v>Low Volume</v>
      </c>
    </row>
    <row r="766" spans="1:16" x14ac:dyDescent="0.3">
      <c r="A766" t="s">
        <v>1537</v>
      </c>
      <c r="B766" t="s">
        <v>1538</v>
      </c>
      <c r="C766">
        <v>268</v>
      </c>
      <c r="D766">
        <v>273.95</v>
      </c>
      <c r="E766">
        <v>255.9</v>
      </c>
      <c r="F766">
        <v>258.35000000000002</v>
      </c>
      <c r="G766">
        <v>273.10000000000002</v>
      </c>
      <c r="H766">
        <v>190888</v>
      </c>
      <c r="I766">
        <v>3046</v>
      </c>
      <c r="J766">
        <v>32196182572</v>
      </c>
      <c r="K766">
        <v>124622344</v>
      </c>
      <c r="L766">
        <f>(Table1[[#This Row],[CLOSE_PRICE]] - Table1[[#This Row],[PREV_CL_PR]]) / Table1[[#This Row],[PREV_CL_PR]] * 100</f>
        <v>-5.4009520322226283</v>
      </c>
      <c r="M766">
        <f>Table1[[#This Row],[HIGH_PRICE]]-Table1[[#This Row],[LOW_PRICE]]</f>
        <v>18.049999999999983</v>
      </c>
      <c r="N766" t="str">
        <f>IF(Table1[[#This Row],[CLOSE_PRICE]]&gt;Table1[[#This Row],[OPEN_PRICE]],"Gain","Loss")</f>
        <v>Loss</v>
      </c>
      <c r="O766" t="str">
        <f>IF(Table1[[#This Row],[MARKET_CAP]]&gt;200000000000,"Large Cap",
IF(Table1[[#This Row],[MARKET_CAP]]&gt;50000000000,"Mid Cap","Small Cap"))</f>
        <v>Small Cap</v>
      </c>
      <c r="P766" t="str">
        <f>IF(Table1[[#This Row],[NET_TRDQTY]]&gt;1000000,"High Volume","Low Volume")</f>
        <v>Low Volume</v>
      </c>
    </row>
    <row r="767" spans="1:16" x14ac:dyDescent="0.3">
      <c r="A767" t="s">
        <v>1539</v>
      </c>
      <c r="B767" t="s">
        <v>1540</v>
      </c>
      <c r="C767">
        <v>257.7</v>
      </c>
      <c r="D767">
        <v>260.39999999999998</v>
      </c>
      <c r="E767">
        <v>250.3</v>
      </c>
      <c r="F767">
        <v>251.85</v>
      </c>
      <c r="G767">
        <v>262.64999999999998</v>
      </c>
      <c r="H767">
        <v>1882121</v>
      </c>
      <c r="I767">
        <v>29264</v>
      </c>
      <c r="J767">
        <v>169000000000</v>
      </c>
      <c r="K767">
        <v>669795408</v>
      </c>
      <c r="L767">
        <f>(Table1[[#This Row],[CLOSE_PRICE]] - Table1[[#This Row],[PREV_CL_PR]]) / Table1[[#This Row],[PREV_CL_PR]] * 100</f>
        <v>-4.111936036550536</v>
      </c>
      <c r="M767">
        <f>Table1[[#This Row],[HIGH_PRICE]]-Table1[[#This Row],[LOW_PRICE]]</f>
        <v>10.099999999999966</v>
      </c>
      <c r="N767" t="str">
        <f>IF(Table1[[#This Row],[CLOSE_PRICE]]&gt;Table1[[#This Row],[OPEN_PRICE]],"Gain","Loss")</f>
        <v>Loss</v>
      </c>
      <c r="O767" t="str">
        <f>IF(Table1[[#This Row],[MARKET_CAP]]&gt;200000000000,"Large Cap",
IF(Table1[[#This Row],[MARKET_CAP]]&gt;50000000000,"Mid Cap","Small Cap"))</f>
        <v>Mid Cap</v>
      </c>
      <c r="P767" t="str">
        <f>IF(Table1[[#This Row],[NET_TRDQTY]]&gt;1000000,"High Volume","Low Volume")</f>
        <v>High Volume</v>
      </c>
    </row>
    <row r="768" spans="1:16" x14ac:dyDescent="0.3">
      <c r="A768" t="s">
        <v>1541</v>
      </c>
      <c r="B768" t="s">
        <v>1542</v>
      </c>
      <c r="C768">
        <v>149.1</v>
      </c>
      <c r="D768">
        <v>150</v>
      </c>
      <c r="E768">
        <v>143.25</v>
      </c>
      <c r="F768">
        <v>144.07</v>
      </c>
      <c r="G768">
        <v>151.66999999999999</v>
      </c>
      <c r="H768">
        <v>1235200</v>
      </c>
      <c r="I768">
        <v>20446</v>
      </c>
      <c r="J768">
        <v>69649187834</v>
      </c>
      <c r="K768">
        <v>483439910</v>
      </c>
      <c r="L768">
        <f>(Table1[[#This Row],[CLOSE_PRICE]] - Table1[[#This Row],[PREV_CL_PR]]) / Table1[[#This Row],[PREV_CL_PR]] * 100</f>
        <v>-5.0108788817828147</v>
      </c>
      <c r="M768">
        <f>Table1[[#This Row],[HIGH_PRICE]]-Table1[[#This Row],[LOW_PRICE]]</f>
        <v>6.75</v>
      </c>
      <c r="N768" t="str">
        <f>IF(Table1[[#This Row],[CLOSE_PRICE]]&gt;Table1[[#This Row],[OPEN_PRICE]],"Gain","Loss")</f>
        <v>Loss</v>
      </c>
      <c r="O768" t="str">
        <f>IF(Table1[[#This Row],[MARKET_CAP]]&gt;200000000000,"Large Cap",
IF(Table1[[#This Row],[MARKET_CAP]]&gt;50000000000,"Mid Cap","Small Cap"))</f>
        <v>Mid Cap</v>
      </c>
      <c r="P768" t="str">
        <f>IF(Table1[[#This Row],[NET_TRDQTY]]&gt;1000000,"High Volume","Low Volume")</f>
        <v>High Volume</v>
      </c>
    </row>
    <row r="769" spans="1:16" x14ac:dyDescent="0.3">
      <c r="A769" t="s">
        <v>1543</v>
      </c>
      <c r="B769" t="s">
        <v>1544</v>
      </c>
      <c r="C769">
        <v>119.3</v>
      </c>
      <c r="D769">
        <v>121.85</v>
      </c>
      <c r="E769">
        <v>118</v>
      </c>
      <c r="F769">
        <v>118.85</v>
      </c>
      <c r="G769">
        <v>120.65</v>
      </c>
      <c r="H769">
        <v>244507</v>
      </c>
      <c r="I769">
        <v>4852</v>
      </c>
      <c r="J769">
        <v>9752215714</v>
      </c>
      <c r="K769">
        <v>82054823</v>
      </c>
      <c r="L769">
        <f>(Table1[[#This Row],[CLOSE_PRICE]] - Table1[[#This Row],[PREV_CL_PR]]) / Table1[[#This Row],[PREV_CL_PR]] * 100</f>
        <v>-1.49191877331124</v>
      </c>
      <c r="M769">
        <f>Table1[[#This Row],[HIGH_PRICE]]-Table1[[#This Row],[LOW_PRICE]]</f>
        <v>3.8499999999999943</v>
      </c>
      <c r="N769" t="str">
        <f>IF(Table1[[#This Row],[CLOSE_PRICE]]&gt;Table1[[#This Row],[OPEN_PRICE]],"Gain","Loss")</f>
        <v>Loss</v>
      </c>
      <c r="O769" t="str">
        <f>IF(Table1[[#This Row],[MARKET_CAP]]&gt;200000000000,"Large Cap",
IF(Table1[[#This Row],[MARKET_CAP]]&gt;50000000000,"Mid Cap","Small Cap"))</f>
        <v>Small Cap</v>
      </c>
      <c r="P769" t="str">
        <f>IF(Table1[[#This Row],[NET_TRDQTY]]&gt;1000000,"High Volume","Low Volume")</f>
        <v>Low Volume</v>
      </c>
    </row>
    <row r="770" spans="1:16" x14ac:dyDescent="0.3">
      <c r="A770" t="s">
        <v>1545</v>
      </c>
      <c r="B770" t="s">
        <v>1546</v>
      </c>
      <c r="C770">
        <v>106</v>
      </c>
      <c r="D770">
        <v>106</v>
      </c>
      <c r="E770">
        <v>100</v>
      </c>
      <c r="F770">
        <v>100.5</v>
      </c>
      <c r="G770">
        <v>103.62</v>
      </c>
      <c r="H770">
        <v>317471</v>
      </c>
      <c r="I770">
        <v>3370</v>
      </c>
      <c r="J770">
        <v>12699642300</v>
      </c>
      <c r="K770">
        <v>126364600</v>
      </c>
      <c r="L770">
        <f>(Table1[[#This Row],[CLOSE_PRICE]] - Table1[[#This Row],[PREV_CL_PR]]) / Table1[[#This Row],[PREV_CL_PR]] * 100</f>
        <v>-3.0110017371163913</v>
      </c>
      <c r="M770">
        <f>Table1[[#This Row],[HIGH_PRICE]]-Table1[[#This Row],[LOW_PRICE]]</f>
        <v>6</v>
      </c>
      <c r="N770" t="str">
        <f>IF(Table1[[#This Row],[CLOSE_PRICE]]&gt;Table1[[#This Row],[OPEN_PRICE]],"Gain","Loss")</f>
        <v>Loss</v>
      </c>
      <c r="O770" t="str">
        <f>IF(Table1[[#This Row],[MARKET_CAP]]&gt;200000000000,"Large Cap",
IF(Table1[[#This Row],[MARKET_CAP]]&gt;50000000000,"Mid Cap","Small Cap"))</f>
        <v>Small Cap</v>
      </c>
      <c r="P770" t="str">
        <f>IF(Table1[[#This Row],[NET_TRDQTY]]&gt;1000000,"High Volume","Low Volume")</f>
        <v>Low Volume</v>
      </c>
    </row>
    <row r="771" spans="1:16" x14ac:dyDescent="0.3">
      <c r="A771" t="s">
        <v>1547</v>
      </c>
      <c r="B771" t="s">
        <v>1548</v>
      </c>
      <c r="C771">
        <v>585</v>
      </c>
      <c r="D771">
        <v>590</v>
      </c>
      <c r="E771">
        <v>566.75</v>
      </c>
      <c r="F771">
        <v>580.15</v>
      </c>
      <c r="G771">
        <v>590.95000000000005</v>
      </c>
      <c r="H771">
        <v>609667</v>
      </c>
      <c r="I771">
        <v>21110</v>
      </c>
      <c r="J771">
        <v>141000000000</v>
      </c>
      <c r="K771">
        <v>242668716</v>
      </c>
      <c r="L771">
        <f>(Table1[[#This Row],[CLOSE_PRICE]] - Table1[[#This Row],[PREV_CL_PR]]) / Table1[[#This Row],[PREV_CL_PR]] * 100</f>
        <v>-1.8275657839072794</v>
      </c>
      <c r="M771">
        <f>Table1[[#This Row],[HIGH_PRICE]]-Table1[[#This Row],[LOW_PRICE]]</f>
        <v>23.25</v>
      </c>
      <c r="N771" t="str">
        <f>IF(Table1[[#This Row],[CLOSE_PRICE]]&gt;Table1[[#This Row],[OPEN_PRICE]],"Gain","Loss")</f>
        <v>Loss</v>
      </c>
      <c r="O771" t="str">
        <f>IF(Table1[[#This Row],[MARKET_CAP]]&gt;200000000000,"Large Cap",
IF(Table1[[#This Row],[MARKET_CAP]]&gt;50000000000,"Mid Cap","Small Cap"))</f>
        <v>Mid Cap</v>
      </c>
      <c r="P771" t="str">
        <f>IF(Table1[[#This Row],[NET_TRDQTY]]&gt;1000000,"High Volume","Low Volume")</f>
        <v>Low Volume</v>
      </c>
    </row>
    <row r="772" spans="1:16" x14ac:dyDescent="0.3">
      <c r="A772" t="s">
        <v>1549</v>
      </c>
      <c r="B772" t="s">
        <v>1550</v>
      </c>
      <c r="C772">
        <v>599.95000000000005</v>
      </c>
      <c r="D772">
        <v>599.95000000000005</v>
      </c>
      <c r="E772">
        <v>558.04999999999995</v>
      </c>
      <c r="F772">
        <v>563.70000000000005</v>
      </c>
      <c r="G772">
        <v>607.1</v>
      </c>
      <c r="H772">
        <v>1029339</v>
      </c>
      <c r="I772">
        <v>38718</v>
      </c>
      <c r="J772">
        <v>110000000000</v>
      </c>
      <c r="K772">
        <v>195375594</v>
      </c>
      <c r="L772">
        <f>(Table1[[#This Row],[CLOSE_PRICE]] - Table1[[#This Row],[PREV_CL_PR]]) / Table1[[#This Row],[PREV_CL_PR]] * 100</f>
        <v>-7.1487399110525418</v>
      </c>
      <c r="M772">
        <f>Table1[[#This Row],[HIGH_PRICE]]-Table1[[#This Row],[LOW_PRICE]]</f>
        <v>41.900000000000091</v>
      </c>
      <c r="N772" t="str">
        <f>IF(Table1[[#This Row],[CLOSE_PRICE]]&gt;Table1[[#This Row],[OPEN_PRICE]],"Gain","Loss")</f>
        <v>Loss</v>
      </c>
      <c r="O772" t="str">
        <f>IF(Table1[[#This Row],[MARKET_CAP]]&gt;200000000000,"Large Cap",
IF(Table1[[#This Row],[MARKET_CAP]]&gt;50000000000,"Mid Cap","Small Cap"))</f>
        <v>Mid Cap</v>
      </c>
      <c r="P772" t="str">
        <f>IF(Table1[[#This Row],[NET_TRDQTY]]&gt;1000000,"High Volume","Low Volume")</f>
        <v>High Volume</v>
      </c>
    </row>
    <row r="773" spans="1:16" x14ac:dyDescent="0.3">
      <c r="A773" t="s">
        <v>1551</v>
      </c>
      <c r="B773" t="s">
        <v>1552</v>
      </c>
      <c r="C773">
        <v>1393.9</v>
      </c>
      <c r="D773">
        <v>1399</v>
      </c>
      <c r="E773">
        <v>1291.0999999999999</v>
      </c>
      <c r="F773">
        <v>1306.7</v>
      </c>
      <c r="G773">
        <v>1405.2</v>
      </c>
      <c r="H773">
        <v>406633</v>
      </c>
      <c r="I773">
        <v>38799</v>
      </c>
      <c r="J773">
        <v>96445502922</v>
      </c>
      <c r="K773">
        <v>73808451</v>
      </c>
      <c r="L773">
        <f>(Table1[[#This Row],[CLOSE_PRICE]] - Table1[[#This Row],[PREV_CL_PR]]) / Table1[[#This Row],[PREV_CL_PR]] * 100</f>
        <v>-7.0096783376031881</v>
      </c>
      <c r="M773">
        <f>Table1[[#This Row],[HIGH_PRICE]]-Table1[[#This Row],[LOW_PRICE]]</f>
        <v>107.90000000000009</v>
      </c>
      <c r="N773" t="str">
        <f>IF(Table1[[#This Row],[CLOSE_PRICE]]&gt;Table1[[#This Row],[OPEN_PRICE]],"Gain","Loss")</f>
        <v>Loss</v>
      </c>
      <c r="O773" t="str">
        <f>IF(Table1[[#This Row],[MARKET_CAP]]&gt;200000000000,"Large Cap",
IF(Table1[[#This Row],[MARKET_CAP]]&gt;50000000000,"Mid Cap","Small Cap"))</f>
        <v>Mid Cap</v>
      </c>
      <c r="P773" t="str">
        <f>IF(Table1[[#This Row],[NET_TRDQTY]]&gt;1000000,"High Volume","Low Volume")</f>
        <v>Low Volume</v>
      </c>
    </row>
    <row r="774" spans="1:16" x14ac:dyDescent="0.3">
      <c r="A774" t="s">
        <v>1553</v>
      </c>
      <c r="B774" t="s">
        <v>1554</v>
      </c>
      <c r="C774">
        <v>132.41999999999999</v>
      </c>
      <c r="D774">
        <v>132.6</v>
      </c>
      <c r="E774">
        <v>126.59</v>
      </c>
      <c r="F774">
        <v>128.01</v>
      </c>
      <c r="G774">
        <v>134.72999999999999</v>
      </c>
      <c r="H774">
        <v>1507989</v>
      </c>
      <c r="I774">
        <v>16148</v>
      </c>
      <c r="J774">
        <v>29806435326</v>
      </c>
      <c r="K774">
        <v>232844585</v>
      </c>
      <c r="L774">
        <f>(Table1[[#This Row],[CLOSE_PRICE]] - Table1[[#This Row],[PREV_CL_PR]]) / Table1[[#This Row],[PREV_CL_PR]] * 100</f>
        <v>-4.9877532843464705</v>
      </c>
      <c r="M774">
        <f>Table1[[#This Row],[HIGH_PRICE]]-Table1[[#This Row],[LOW_PRICE]]</f>
        <v>6.0099999999999909</v>
      </c>
      <c r="N774" t="str">
        <f>IF(Table1[[#This Row],[CLOSE_PRICE]]&gt;Table1[[#This Row],[OPEN_PRICE]],"Gain","Loss")</f>
        <v>Loss</v>
      </c>
      <c r="O774" t="str">
        <f>IF(Table1[[#This Row],[MARKET_CAP]]&gt;200000000000,"Large Cap",
IF(Table1[[#This Row],[MARKET_CAP]]&gt;50000000000,"Mid Cap","Small Cap"))</f>
        <v>Small Cap</v>
      </c>
      <c r="P774" t="str">
        <f>IF(Table1[[#This Row],[NET_TRDQTY]]&gt;1000000,"High Volume","Low Volume")</f>
        <v>High Volume</v>
      </c>
    </row>
    <row r="775" spans="1:16" x14ac:dyDescent="0.3">
      <c r="A775" t="s">
        <v>1555</v>
      </c>
      <c r="B775" t="s">
        <v>1556</v>
      </c>
      <c r="C775">
        <v>214.41</v>
      </c>
      <c r="D775">
        <v>214.41</v>
      </c>
      <c r="E775">
        <v>199.87</v>
      </c>
      <c r="F775">
        <v>204.38</v>
      </c>
      <c r="G775">
        <v>213.53</v>
      </c>
      <c r="H775">
        <v>225328</v>
      </c>
      <c r="I775">
        <v>3451</v>
      </c>
      <c r="J775">
        <v>52147087335</v>
      </c>
      <c r="K775">
        <v>255147702</v>
      </c>
      <c r="L775">
        <f>(Table1[[#This Row],[CLOSE_PRICE]] - Table1[[#This Row],[PREV_CL_PR]]) / Table1[[#This Row],[PREV_CL_PR]] * 100</f>
        <v>-4.2851121622254507</v>
      </c>
      <c r="M775">
        <f>Table1[[#This Row],[HIGH_PRICE]]-Table1[[#This Row],[LOW_PRICE]]</f>
        <v>14.539999999999992</v>
      </c>
      <c r="N775" t="str">
        <f>IF(Table1[[#This Row],[CLOSE_PRICE]]&gt;Table1[[#This Row],[OPEN_PRICE]],"Gain","Loss")</f>
        <v>Loss</v>
      </c>
      <c r="O775" t="str">
        <f>IF(Table1[[#This Row],[MARKET_CAP]]&gt;200000000000,"Large Cap",
IF(Table1[[#This Row],[MARKET_CAP]]&gt;50000000000,"Mid Cap","Small Cap"))</f>
        <v>Mid Cap</v>
      </c>
      <c r="P775" t="str">
        <f>IF(Table1[[#This Row],[NET_TRDQTY]]&gt;1000000,"High Volume","Low Volume")</f>
        <v>Low Volume</v>
      </c>
    </row>
    <row r="776" spans="1:16" x14ac:dyDescent="0.3">
      <c r="A776" t="s">
        <v>1557</v>
      </c>
      <c r="B776" t="s">
        <v>1558</v>
      </c>
      <c r="C776">
        <v>192.3</v>
      </c>
      <c r="D776">
        <v>192.74</v>
      </c>
      <c r="E776">
        <v>177.4</v>
      </c>
      <c r="F776">
        <v>178.68</v>
      </c>
      <c r="G776">
        <v>194.07</v>
      </c>
      <c r="H776">
        <v>151856</v>
      </c>
      <c r="I776">
        <v>4365</v>
      </c>
      <c r="J776">
        <v>21911062939</v>
      </c>
      <c r="K776">
        <v>122627395</v>
      </c>
      <c r="L776">
        <f>(Table1[[#This Row],[CLOSE_PRICE]] - Table1[[#This Row],[PREV_CL_PR]]) / Table1[[#This Row],[PREV_CL_PR]] * 100</f>
        <v>-7.9301283042201201</v>
      </c>
      <c r="M776">
        <f>Table1[[#This Row],[HIGH_PRICE]]-Table1[[#This Row],[LOW_PRICE]]</f>
        <v>15.340000000000003</v>
      </c>
      <c r="N776" t="str">
        <f>IF(Table1[[#This Row],[CLOSE_PRICE]]&gt;Table1[[#This Row],[OPEN_PRICE]],"Gain","Loss")</f>
        <v>Loss</v>
      </c>
      <c r="O776" t="str">
        <f>IF(Table1[[#This Row],[MARKET_CAP]]&gt;200000000000,"Large Cap",
IF(Table1[[#This Row],[MARKET_CAP]]&gt;50000000000,"Mid Cap","Small Cap"))</f>
        <v>Small Cap</v>
      </c>
      <c r="P776" t="str">
        <f>IF(Table1[[#This Row],[NET_TRDQTY]]&gt;1000000,"High Volume","Low Volume")</f>
        <v>Low Volume</v>
      </c>
    </row>
    <row r="777" spans="1:16" x14ac:dyDescent="0.3">
      <c r="A777" t="s">
        <v>1559</v>
      </c>
      <c r="B777" t="s">
        <v>1560</v>
      </c>
      <c r="C777">
        <v>191.8</v>
      </c>
      <c r="D777">
        <v>191.8</v>
      </c>
      <c r="E777">
        <v>179</v>
      </c>
      <c r="F777">
        <v>181.14</v>
      </c>
      <c r="G777">
        <v>192.9</v>
      </c>
      <c r="H777">
        <v>221029</v>
      </c>
      <c r="I777">
        <v>4706</v>
      </c>
      <c r="J777">
        <v>22622175186</v>
      </c>
      <c r="K777">
        <v>124887795</v>
      </c>
      <c r="L777">
        <f>(Table1[[#This Row],[CLOSE_PRICE]] - Table1[[#This Row],[PREV_CL_PR]]) / Table1[[#This Row],[PREV_CL_PR]] * 100</f>
        <v>-6.0964230171073188</v>
      </c>
      <c r="M777">
        <f>Table1[[#This Row],[HIGH_PRICE]]-Table1[[#This Row],[LOW_PRICE]]</f>
        <v>12.800000000000011</v>
      </c>
      <c r="N777" t="str">
        <f>IF(Table1[[#This Row],[CLOSE_PRICE]]&gt;Table1[[#This Row],[OPEN_PRICE]],"Gain","Loss")</f>
        <v>Loss</v>
      </c>
      <c r="O777" t="str">
        <f>IF(Table1[[#This Row],[MARKET_CAP]]&gt;200000000000,"Large Cap",
IF(Table1[[#This Row],[MARKET_CAP]]&gt;50000000000,"Mid Cap","Small Cap"))</f>
        <v>Small Cap</v>
      </c>
      <c r="P777" t="str">
        <f>IF(Table1[[#This Row],[NET_TRDQTY]]&gt;1000000,"High Volume","Low Volume")</f>
        <v>Low Volume</v>
      </c>
    </row>
    <row r="778" spans="1:16" x14ac:dyDescent="0.3">
      <c r="A778" t="s">
        <v>1561</v>
      </c>
      <c r="B778" t="s">
        <v>1562</v>
      </c>
      <c r="C778">
        <v>9.35</v>
      </c>
      <c r="D778">
        <v>9.48</v>
      </c>
      <c r="E778">
        <v>8.69</v>
      </c>
      <c r="F778">
        <v>8.7200000000000006</v>
      </c>
      <c r="G778">
        <v>9.35</v>
      </c>
      <c r="H778">
        <v>7564112</v>
      </c>
      <c r="I778">
        <v>11197</v>
      </c>
      <c r="J778">
        <v>10228758781</v>
      </c>
      <c r="K778">
        <v>1173022796</v>
      </c>
      <c r="L778">
        <f>(Table1[[#This Row],[CLOSE_PRICE]] - Table1[[#This Row],[PREV_CL_PR]]) / Table1[[#This Row],[PREV_CL_PR]] * 100</f>
        <v>-6.7379679144384923</v>
      </c>
      <c r="M778">
        <f>Table1[[#This Row],[HIGH_PRICE]]-Table1[[#This Row],[LOW_PRICE]]</f>
        <v>0.79000000000000092</v>
      </c>
      <c r="N778" t="str">
        <f>IF(Table1[[#This Row],[CLOSE_PRICE]]&gt;Table1[[#This Row],[OPEN_PRICE]],"Gain","Loss")</f>
        <v>Loss</v>
      </c>
      <c r="O778" t="str">
        <f>IF(Table1[[#This Row],[MARKET_CAP]]&gt;200000000000,"Large Cap",
IF(Table1[[#This Row],[MARKET_CAP]]&gt;50000000000,"Mid Cap","Small Cap"))</f>
        <v>Small Cap</v>
      </c>
      <c r="P778" t="str">
        <f>IF(Table1[[#This Row],[NET_TRDQTY]]&gt;1000000,"High Volume","Low Volume")</f>
        <v>High Volume</v>
      </c>
    </row>
    <row r="779" spans="1:16" x14ac:dyDescent="0.3">
      <c r="A779" t="s">
        <v>1563</v>
      </c>
      <c r="B779" t="s">
        <v>1564</v>
      </c>
      <c r="C779">
        <v>1395.3</v>
      </c>
      <c r="D779">
        <v>1399.9</v>
      </c>
      <c r="E779">
        <v>1329</v>
      </c>
      <c r="F779">
        <v>1364.2</v>
      </c>
      <c r="G779">
        <v>1402.2</v>
      </c>
      <c r="H779">
        <v>71197</v>
      </c>
      <c r="I779">
        <v>10167</v>
      </c>
      <c r="J779">
        <v>151000000000</v>
      </c>
      <c r="K779">
        <v>110720000</v>
      </c>
      <c r="L779">
        <f>(Table1[[#This Row],[CLOSE_PRICE]] - Table1[[#This Row],[PREV_CL_PR]]) / Table1[[#This Row],[PREV_CL_PR]] * 100</f>
        <v>-2.7100271002710024</v>
      </c>
      <c r="M779">
        <f>Table1[[#This Row],[HIGH_PRICE]]-Table1[[#This Row],[LOW_PRICE]]</f>
        <v>70.900000000000091</v>
      </c>
      <c r="N779" t="str">
        <f>IF(Table1[[#This Row],[CLOSE_PRICE]]&gt;Table1[[#This Row],[OPEN_PRICE]],"Gain","Loss")</f>
        <v>Loss</v>
      </c>
      <c r="O779" t="str">
        <f>IF(Table1[[#This Row],[MARKET_CAP]]&gt;200000000000,"Large Cap",
IF(Table1[[#This Row],[MARKET_CAP]]&gt;50000000000,"Mid Cap","Small Cap"))</f>
        <v>Mid Cap</v>
      </c>
      <c r="P779" t="str">
        <f>IF(Table1[[#This Row],[NET_TRDQTY]]&gt;1000000,"High Volume","Low Volume")</f>
        <v>Low Volume</v>
      </c>
    </row>
    <row r="780" spans="1:16" x14ac:dyDescent="0.3">
      <c r="A780" t="s">
        <v>1565</v>
      </c>
      <c r="B780" t="s">
        <v>1566</v>
      </c>
      <c r="C780">
        <v>855</v>
      </c>
      <c r="D780">
        <v>855.05</v>
      </c>
      <c r="E780">
        <v>822.05</v>
      </c>
      <c r="F780">
        <v>844.5</v>
      </c>
      <c r="G780">
        <v>859.7</v>
      </c>
      <c r="H780">
        <v>54657</v>
      </c>
      <c r="I780">
        <v>5181</v>
      </c>
      <c r="J780">
        <v>81714266741</v>
      </c>
      <c r="K780">
        <v>96760529</v>
      </c>
      <c r="L780">
        <f>(Table1[[#This Row],[CLOSE_PRICE]] - Table1[[#This Row],[PREV_CL_PR]]) / Table1[[#This Row],[PREV_CL_PR]] * 100</f>
        <v>-1.7680586251017851</v>
      </c>
      <c r="M780">
        <f>Table1[[#This Row],[HIGH_PRICE]]-Table1[[#This Row],[LOW_PRICE]]</f>
        <v>33</v>
      </c>
      <c r="N780" t="str">
        <f>IF(Table1[[#This Row],[CLOSE_PRICE]]&gt;Table1[[#This Row],[OPEN_PRICE]],"Gain","Loss")</f>
        <v>Loss</v>
      </c>
      <c r="O780" t="str">
        <f>IF(Table1[[#This Row],[MARKET_CAP]]&gt;200000000000,"Large Cap",
IF(Table1[[#This Row],[MARKET_CAP]]&gt;50000000000,"Mid Cap","Small Cap"))</f>
        <v>Mid Cap</v>
      </c>
      <c r="P780" t="str">
        <f>IF(Table1[[#This Row],[NET_TRDQTY]]&gt;1000000,"High Volume","Low Volume")</f>
        <v>Low Volume</v>
      </c>
    </row>
    <row r="781" spans="1:16" x14ac:dyDescent="0.3">
      <c r="A781" t="s">
        <v>1567</v>
      </c>
      <c r="B781" t="s">
        <v>1568</v>
      </c>
      <c r="C781">
        <v>154</v>
      </c>
      <c r="D781">
        <v>155.5</v>
      </c>
      <c r="E781">
        <v>148.01</v>
      </c>
      <c r="F781">
        <v>152.12</v>
      </c>
      <c r="G781">
        <v>154.27000000000001</v>
      </c>
      <c r="H781">
        <v>1327816</v>
      </c>
      <c r="I781">
        <v>4328</v>
      </c>
      <c r="J781">
        <v>27998598720</v>
      </c>
      <c r="K781">
        <v>184056000</v>
      </c>
      <c r="L781">
        <f>(Table1[[#This Row],[CLOSE_PRICE]] - Table1[[#This Row],[PREV_CL_PR]]) / Table1[[#This Row],[PREV_CL_PR]] * 100</f>
        <v>-1.3936604654177775</v>
      </c>
      <c r="M781">
        <f>Table1[[#This Row],[HIGH_PRICE]]-Table1[[#This Row],[LOW_PRICE]]</f>
        <v>7.4900000000000091</v>
      </c>
      <c r="N781" t="str">
        <f>IF(Table1[[#This Row],[CLOSE_PRICE]]&gt;Table1[[#This Row],[OPEN_PRICE]],"Gain","Loss")</f>
        <v>Loss</v>
      </c>
      <c r="O781" t="str">
        <f>IF(Table1[[#This Row],[MARKET_CAP]]&gt;200000000000,"Large Cap",
IF(Table1[[#This Row],[MARKET_CAP]]&gt;50000000000,"Mid Cap","Small Cap"))</f>
        <v>Small Cap</v>
      </c>
      <c r="P781" t="str">
        <f>IF(Table1[[#This Row],[NET_TRDQTY]]&gt;1000000,"High Volume","Low Volume")</f>
        <v>High Volume</v>
      </c>
    </row>
    <row r="782" spans="1:16" x14ac:dyDescent="0.3">
      <c r="A782" t="s">
        <v>1569</v>
      </c>
      <c r="B782" t="s">
        <v>1570</v>
      </c>
      <c r="C782">
        <v>871.3</v>
      </c>
      <c r="D782">
        <v>889.95</v>
      </c>
      <c r="E782">
        <v>841</v>
      </c>
      <c r="F782">
        <v>845.95</v>
      </c>
      <c r="G782">
        <v>889.4</v>
      </c>
      <c r="H782">
        <v>345</v>
      </c>
      <c r="I782">
        <v>76</v>
      </c>
      <c r="J782">
        <v>983273063.5</v>
      </c>
      <c r="K782">
        <v>1162330</v>
      </c>
      <c r="L782">
        <f>(Table1[[#This Row],[CLOSE_PRICE]] - Table1[[#This Row],[PREV_CL_PR]]) / Table1[[#This Row],[PREV_CL_PR]] * 100</f>
        <v>-4.8853159433325768</v>
      </c>
      <c r="M782">
        <f>Table1[[#This Row],[HIGH_PRICE]]-Table1[[#This Row],[LOW_PRICE]]</f>
        <v>48.950000000000045</v>
      </c>
      <c r="N782" t="str">
        <f>IF(Table1[[#This Row],[CLOSE_PRICE]]&gt;Table1[[#This Row],[OPEN_PRICE]],"Gain","Loss")</f>
        <v>Loss</v>
      </c>
      <c r="O782" t="str">
        <f>IF(Table1[[#This Row],[MARKET_CAP]]&gt;200000000000,"Large Cap",
IF(Table1[[#This Row],[MARKET_CAP]]&gt;50000000000,"Mid Cap","Small Cap"))</f>
        <v>Small Cap</v>
      </c>
      <c r="P782" t="str">
        <f>IF(Table1[[#This Row],[NET_TRDQTY]]&gt;1000000,"High Volume","Low Volume")</f>
        <v>Low Volume</v>
      </c>
    </row>
    <row r="783" spans="1:16" x14ac:dyDescent="0.3">
      <c r="A783" t="s">
        <v>1571</v>
      </c>
      <c r="B783" t="s">
        <v>1572</v>
      </c>
      <c r="C783">
        <v>158.93</v>
      </c>
      <c r="D783">
        <v>162.9</v>
      </c>
      <c r="E783">
        <v>156.05000000000001</v>
      </c>
      <c r="F783">
        <v>162.15</v>
      </c>
      <c r="G783">
        <v>161.46</v>
      </c>
      <c r="H783">
        <v>16946943</v>
      </c>
      <c r="I783">
        <v>88829</v>
      </c>
      <c r="J783">
        <v>1000000000000</v>
      </c>
      <c r="K783">
        <v>6173596631</v>
      </c>
      <c r="L783">
        <f>(Table1[[#This Row],[CLOSE_PRICE]] - Table1[[#This Row],[PREV_CL_PR]]) / Table1[[#This Row],[PREV_CL_PR]] * 100</f>
        <v>0.42735042735042594</v>
      </c>
      <c r="M783">
        <f>Table1[[#This Row],[HIGH_PRICE]]-Table1[[#This Row],[LOW_PRICE]]</f>
        <v>6.8499999999999943</v>
      </c>
      <c r="N783" t="str">
        <f>IF(Table1[[#This Row],[CLOSE_PRICE]]&gt;Table1[[#This Row],[OPEN_PRICE]],"Gain","Loss")</f>
        <v>Gain</v>
      </c>
      <c r="O783" t="str">
        <f>IF(Table1[[#This Row],[MARKET_CAP]]&gt;200000000000,"Large Cap",
IF(Table1[[#This Row],[MARKET_CAP]]&gt;50000000000,"Mid Cap","Small Cap"))</f>
        <v>Large Cap</v>
      </c>
      <c r="P783" t="str">
        <f>IF(Table1[[#This Row],[NET_TRDQTY]]&gt;1000000,"High Volume","Low Volume")</f>
        <v>High Volume</v>
      </c>
    </row>
    <row r="784" spans="1:16" x14ac:dyDescent="0.3">
      <c r="A784" t="s">
        <v>1573</v>
      </c>
      <c r="B784" t="s">
        <v>1574</v>
      </c>
      <c r="C784">
        <v>1847.9</v>
      </c>
      <c r="D784">
        <v>1850</v>
      </c>
      <c r="E784">
        <v>1779.6</v>
      </c>
      <c r="F784">
        <v>1783.4</v>
      </c>
      <c r="G784">
        <v>1847.9</v>
      </c>
      <c r="H784">
        <v>2026</v>
      </c>
      <c r="I784">
        <v>421</v>
      </c>
      <c r="J784">
        <v>9511464289</v>
      </c>
      <c r="K784">
        <v>5333332</v>
      </c>
      <c r="L784">
        <f>(Table1[[#This Row],[CLOSE_PRICE]] - Table1[[#This Row],[PREV_CL_PR]]) / Table1[[#This Row],[PREV_CL_PR]] * 100</f>
        <v>-3.4904486173494238</v>
      </c>
      <c r="M784">
        <f>Table1[[#This Row],[HIGH_PRICE]]-Table1[[#This Row],[LOW_PRICE]]</f>
        <v>70.400000000000091</v>
      </c>
      <c r="N784" t="str">
        <f>IF(Table1[[#This Row],[CLOSE_PRICE]]&gt;Table1[[#This Row],[OPEN_PRICE]],"Gain","Loss")</f>
        <v>Loss</v>
      </c>
      <c r="O784" t="str">
        <f>IF(Table1[[#This Row],[MARKET_CAP]]&gt;200000000000,"Large Cap",
IF(Table1[[#This Row],[MARKET_CAP]]&gt;50000000000,"Mid Cap","Small Cap"))</f>
        <v>Small Cap</v>
      </c>
      <c r="P784" t="str">
        <f>IF(Table1[[#This Row],[NET_TRDQTY]]&gt;1000000,"High Volume","Low Volume")</f>
        <v>Low Volume</v>
      </c>
    </row>
    <row r="785" spans="1:16" x14ac:dyDescent="0.3">
      <c r="A785" t="s">
        <v>1575</v>
      </c>
      <c r="B785" t="s">
        <v>1576</v>
      </c>
      <c r="C785">
        <v>2249</v>
      </c>
      <c r="D785">
        <v>2249</v>
      </c>
      <c r="E785">
        <v>2104.1</v>
      </c>
      <c r="F785">
        <v>2136.1999999999998</v>
      </c>
      <c r="G785">
        <v>2280.8000000000002</v>
      </c>
      <c r="H785">
        <v>951888</v>
      </c>
      <c r="I785">
        <v>65077</v>
      </c>
      <c r="J785">
        <v>245000000000</v>
      </c>
      <c r="K785">
        <v>114552000</v>
      </c>
      <c r="L785">
        <f>(Table1[[#This Row],[CLOSE_PRICE]] - Table1[[#This Row],[PREV_CL_PR]]) / Table1[[#This Row],[PREV_CL_PR]] * 100</f>
        <v>-6.3398807435987523</v>
      </c>
      <c r="M785">
        <f>Table1[[#This Row],[HIGH_PRICE]]-Table1[[#This Row],[LOW_PRICE]]</f>
        <v>144.90000000000009</v>
      </c>
      <c r="N785" t="str">
        <f>IF(Table1[[#This Row],[CLOSE_PRICE]]&gt;Table1[[#This Row],[OPEN_PRICE]],"Gain","Loss")</f>
        <v>Loss</v>
      </c>
      <c r="O785" t="str">
        <f>IF(Table1[[#This Row],[MARKET_CAP]]&gt;200000000000,"Large Cap",
IF(Table1[[#This Row],[MARKET_CAP]]&gt;50000000000,"Mid Cap","Small Cap"))</f>
        <v>Large Cap</v>
      </c>
      <c r="P785" t="str">
        <f>IF(Table1[[#This Row],[NET_TRDQTY]]&gt;1000000,"High Volume","Low Volume")</f>
        <v>Low Volume</v>
      </c>
    </row>
    <row r="786" spans="1:16" x14ac:dyDescent="0.3">
      <c r="A786" t="s">
        <v>1577</v>
      </c>
      <c r="B786" t="s">
        <v>1578</v>
      </c>
      <c r="C786">
        <v>3636</v>
      </c>
      <c r="D786">
        <v>3636</v>
      </c>
      <c r="E786">
        <v>3393</v>
      </c>
      <c r="F786">
        <v>3412</v>
      </c>
      <c r="G786">
        <v>3650.8</v>
      </c>
      <c r="H786">
        <v>70935</v>
      </c>
      <c r="I786">
        <v>14376</v>
      </c>
      <c r="J786">
        <v>79268928328</v>
      </c>
      <c r="K786">
        <v>23232394</v>
      </c>
      <c r="L786">
        <f>(Table1[[#This Row],[CLOSE_PRICE]] - Table1[[#This Row],[PREV_CL_PR]]) / Table1[[#This Row],[PREV_CL_PR]] * 100</f>
        <v>-6.5410321025528697</v>
      </c>
      <c r="M786">
        <f>Table1[[#This Row],[HIGH_PRICE]]-Table1[[#This Row],[LOW_PRICE]]</f>
        <v>243</v>
      </c>
      <c r="N786" t="str">
        <f>IF(Table1[[#This Row],[CLOSE_PRICE]]&gt;Table1[[#This Row],[OPEN_PRICE]],"Gain","Loss")</f>
        <v>Loss</v>
      </c>
      <c r="O786" t="str">
        <f>IF(Table1[[#This Row],[MARKET_CAP]]&gt;200000000000,"Large Cap",
IF(Table1[[#This Row],[MARKET_CAP]]&gt;50000000000,"Mid Cap","Small Cap"))</f>
        <v>Mid Cap</v>
      </c>
      <c r="P786" t="str">
        <f>IF(Table1[[#This Row],[NET_TRDQTY]]&gt;1000000,"High Volume","Low Volume")</f>
        <v>Low Volume</v>
      </c>
    </row>
    <row r="787" spans="1:16" x14ac:dyDescent="0.3">
      <c r="A787" t="s">
        <v>1579</v>
      </c>
      <c r="B787" t="s">
        <v>1580</v>
      </c>
      <c r="C787">
        <v>152.12</v>
      </c>
      <c r="D787">
        <v>152.25</v>
      </c>
      <c r="E787">
        <v>146.5</v>
      </c>
      <c r="F787">
        <v>147.02000000000001</v>
      </c>
      <c r="G787">
        <v>153.94999999999999</v>
      </c>
      <c r="H787">
        <v>1092969</v>
      </c>
      <c r="I787">
        <v>15978</v>
      </c>
      <c r="J787">
        <v>58584166461</v>
      </c>
      <c r="K787">
        <v>398477530</v>
      </c>
      <c r="L787">
        <f>(Table1[[#This Row],[CLOSE_PRICE]] - Table1[[#This Row],[PREV_CL_PR]]) / Table1[[#This Row],[PREV_CL_PR]] * 100</f>
        <v>-4.5014615134783886</v>
      </c>
      <c r="M787">
        <f>Table1[[#This Row],[HIGH_PRICE]]-Table1[[#This Row],[LOW_PRICE]]</f>
        <v>5.75</v>
      </c>
      <c r="N787" t="str">
        <f>IF(Table1[[#This Row],[CLOSE_PRICE]]&gt;Table1[[#This Row],[OPEN_PRICE]],"Gain","Loss")</f>
        <v>Loss</v>
      </c>
      <c r="O787" t="str">
        <f>IF(Table1[[#This Row],[MARKET_CAP]]&gt;200000000000,"Large Cap",
IF(Table1[[#This Row],[MARKET_CAP]]&gt;50000000000,"Mid Cap","Small Cap"))</f>
        <v>Mid Cap</v>
      </c>
      <c r="P787" t="str">
        <f>IF(Table1[[#This Row],[NET_TRDQTY]]&gt;1000000,"High Volume","Low Volume")</f>
        <v>High Volume</v>
      </c>
    </row>
    <row r="788" spans="1:16" x14ac:dyDescent="0.3">
      <c r="A788" t="s">
        <v>1581</v>
      </c>
      <c r="B788" t="s">
        <v>1582</v>
      </c>
      <c r="C788">
        <v>54.77</v>
      </c>
      <c r="D788">
        <v>56.9</v>
      </c>
      <c r="E788">
        <v>54.77</v>
      </c>
      <c r="F788">
        <v>54.77</v>
      </c>
      <c r="G788">
        <v>57.65</v>
      </c>
      <c r="H788">
        <v>156319</v>
      </c>
      <c r="I788">
        <v>381</v>
      </c>
      <c r="J788">
        <v>2321252172</v>
      </c>
      <c r="K788">
        <v>42381818</v>
      </c>
      <c r="L788">
        <f>(Table1[[#This Row],[CLOSE_PRICE]] - Table1[[#This Row],[PREV_CL_PR]]) / Table1[[#This Row],[PREV_CL_PR]] * 100</f>
        <v>-4.9956634865568006</v>
      </c>
      <c r="M788">
        <f>Table1[[#This Row],[HIGH_PRICE]]-Table1[[#This Row],[LOW_PRICE]]</f>
        <v>2.1299999999999955</v>
      </c>
      <c r="N788" t="str">
        <f>IF(Table1[[#This Row],[CLOSE_PRICE]]&gt;Table1[[#This Row],[OPEN_PRICE]],"Gain","Loss")</f>
        <v>Loss</v>
      </c>
      <c r="O788" t="str">
        <f>IF(Table1[[#This Row],[MARKET_CAP]]&gt;200000000000,"Large Cap",
IF(Table1[[#This Row],[MARKET_CAP]]&gt;50000000000,"Mid Cap","Small Cap"))</f>
        <v>Small Cap</v>
      </c>
      <c r="P788" t="str">
        <f>IF(Table1[[#This Row],[NET_TRDQTY]]&gt;1000000,"High Volume","Low Volume")</f>
        <v>Low Volume</v>
      </c>
    </row>
    <row r="789" spans="1:16" x14ac:dyDescent="0.3">
      <c r="A789" t="s">
        <v>1583</v>
      </c>
      <c r="B789" t="s">
        <v>1584</v>
      </c>
      <c r="C789">
        <v>253</v>
      </c>
      <c r="D789">
        <v>253</v>
      </c>
      <c r="E789">
        <v>232.6</v>
      </c>
      <c r="F789">
        <v>235.3</v>
      </c>
      <c r="G789">
        <v>254.75</v>
      </c>
      <c r="H789">
        <v>864094</v>
      </c>
      <c r="I789">
        <v>22929</v>
      </c>
      <c r="J789">
        <v>133000000000</v>
      </c>
      <c r="K789">
        <v>564211376</v>
      </c>
      <c r="L789">
        <f>(Table1[[#This Row],[CLOSE_PRICE]] - Table1[[#This Row],[PREV_CL_PR]]) / Table1[[#This Row],[PREV_CL_PR]] * 100</f>
        <v>-7.6349362119725175</v>
      </c>
      <c r="M789">
        <f>Table1[[#This Row],[HIGH_PRICE]]-Table1[[#This Row],[LOW_PRICE]]</f>
        <v>20.400000000000006</v>
      </c>
      <c r="N789" t="str">
        <f>IF(Table1[[#This Row],[CLOSE_PRICE]]&gt;Table1[[#This Row],[OPEN_PRICE]],"Gain","Loss")</f>
        <v>Loss</v>
      </c>
      <c r="O789" t="str">
        <f>IF(Table1[[#This Row],[MARKET_CAP]]&gt;200000000000,"Large Cap",
IF(Table1[[#This Row],[MARKET_CAP]]&gt;50000000000,"Mid Cap","Small Cap"))</f>
        <v>Mid Cap</v>
      </c>
      <c r="P789" t="str">
        <f>IF(Table1[[#This Row],[NET_TRDQTY]]&gt;1000000,"High Volume","Low Volume")</f>
        <v>Low Volume</v>
      </c>
    </row>
    <row r="790" spans="1:16" x14ac:dyDescent="0.3">
      <c r="A790" t="s">
        <v>1585</v>
      </c>
      <c r="B790" t="s">
        <v>1586</v>
      </c>
      <c r="C790">
        <v>11.35</v>
      </c>
      <c r="D790">
        <v>11.35</v>
      </c>
      <c r="E790">
        <v>10</v>
      </c>
      <c r="F790">
        <v>10.26</v>
      </c>
      <c r="G790">
        <v>10.99</v>
      </c>
      <c r="H790">
        <v>76025</v>
      </c>
      <c r="I790">
        <v>371</v>
      </c>
      <c r="J790">
        <v>268369209.19999999</v>
      </c>
      <c r="K790">
        <v>26156843</v>
      </c>
      <c r="L790">
        <f>(Table1[[#This Row],[CLOSE_PRICE]] - Table1[[#This Row],[PREV_CL_PR]]) / Table1[[#This Row],[PREV_CL_PR]] * 100</f>
        <v>-6.642402183803461</v>
      </c>
      <c r="M790">
        <f>Table1[[#This Row],[HIGH_PRICE]]-Table1[[#This Row],[LOW_PRICE]]</f>
        <v>1.3499999999999996</v>
      </c>
      <c r="N790" t="str">
        <f>IF(Table1[[#This Row],[CLOSE_PRICE]]&gt;Table1[[#This Row],[OPEN_PRICE]],"Gain","Loss")</f>
        <v>Loss</v>
      </c>
      <c r="O790" t="str">
        <f>IF(Table1[[#This Row],[MARKET_CAP]]&gt;200000000000,"Large Cap",
IF(Table1[[#This Row],[MARKET_CAP]]&gt;50000000000,"Mid Cap","Small Cap"))</f>
        <v>Small Cap</v>
      </c>
      <c r="P790" t="str">
        <f>IF(Table1[[#This Row],[NET_TRDQTY]]&gt;1000000,"High Volume","Low Volume")</f>
        <v>Low Volume</v>
      </c>
    </row>
    <row r="791" spans="1:16" x14ac:dyDescent="0.3">
      <c r="A791" t="s">
        <v>1587</v>
      </c>
      <c r="B791" t="s">
        <v>1588</v>
      </c>
      <c r="C791">
        <v>19.600000000000001</v>
      </c>
      <c r="D791">
        <v>20.49</v>
      </c>
      <c r="E791">
        <v>19.600000000000001</v>
      </c>
      <c r="F791">
        <v>20.47</v>
      </c>
      <c r="G791">
        <v>20.59</v>
      </c>
      <c r="H791">
        <v>388</v>
      </c>
      <c r="I791">
        <v>10</v>
      </c>
      <c r="J791">
        <v>208570836.09999999</v>
      </c>
      <c r="K791">
        <v>10189098</v>
      </c>
      <c r="L791">
        <f>(Table1[[#This Row],[CLOSE_PRICE]] - Table1[[#This Row],[PREV_CL_PR]]) / Table1[[#This Row],[PREV_CL_PR]] * 100</f>
        <v>-0.58280718795532294</v>
      </c>
      <c r="M791">
        <f>Table1[[#This Row],[HIGH_PRICE]]-Table1[[#This Row],[LOW_PRICE]]</f>
        <v>0.88999999999999702</v>
      </c>
      <c r="N791" t="str">
        <f>IF(Table1[[#This Row],[CLOSE_PRICE]]&gt;Table1[[#This Row],[OPEN_PRICE]],"Gain","Loss")</f>
        <v>Gain</v>
      </c>
      <c r="O791" t="str">
        <f>IF(Table1[[#This Row],[MARKET_CAP]]&gt;200000000000,"Large Cap",
IF(Table1[[#This Row],[MARKET_CAP]]&gt;50000000000,"Mid Cap","Small Cap"))</f>
        <v>Small Cap</v>
      </c>
      <c r="P791" t="str">
        <f>IF(Table1[[#This Row],[NET_TRDQTY]]&gt;1000000,"High Volume","Low Volume")</f>
        <v>Low Volume</v>
      </c>
    </row>
    <row r="792" spans="1:16" x14ac:dyDescent="0.3">
      <c r="A792" t="s">
        <v>1589</v>
      </c>
      <c r="B792" t="s">
        <v>1590</v>
      </c>
      <c r="C792">
        <v>6.36</v>
      </c>
      <c r="D792">
        <v>6.43</v>
      </c>
      <c r="E792">
        <v>6.04</v>
      </c>
      <c r="F792">
        <v>6.06</v>
      </c>
      <c r="G792">
        <v>6.36</v>
      </c>
      <c r="H792">
        <v>435478</v>
      </c>
      <c r="I792">
        <v>848</v>
      </c>
      <c r="J792">
        <v>953218492.89999998</v>
      </c>
      <c r="K792">
        <v>157296781</v>
      </c>
      <c r="L792">
        <f>(Table1[[#This Row],[CLOSE_PRICE]] - Table1[[#This Row],[PREV_CL_PR]]) / Table1[[#This Row],[PREV_CL_PR]] * 100</f>
        <v>-4.7169811320754826</v>
      </c>
      <c r="M792">
        <f>Table1[[#This Row],[HIGH_PRICE]]-Table1[[#This Row],[LOW_PRICE]]</f>
        <v>0.38999999999999968</v>
      </c>
      <c r="N792" t="str">
        <f>IF(Table1[[#This Row],[CLOSE_PRICE]]&gt;Table1[[#This Row],[OPEN_PRICE]],"Gain","Loss")</f>
        <v>Loss</v>
      </c>
      <c r="O792" t="str">
        <f>IF(Table1[[#This Row],[MARKET_CAP]]&gt;200000000000,"Large Cap",
IF(Table1[[#This Row],[MARKET_CAP]]&gt;50000000000,"Mid Cap","Small Cap"))</f>
        <v>Small Cap</v>
      </c>
      <c r="P792" t="str">
        <f>IF(Table1[[#This Row],[NET_TRDQTY]]&gt;1000000,"High Volume","Low Volume")</f>
        <v>Low Volume</v>
      </c>
    </row>
    <row r="793" spans="1:16" x14ac:dyDescent="0.3">
      <c r="A793" t="s">
        <v>1591</v>
      </c>
      <c r="B793" t="s">
        <v>1592</v>
      </c>
      <c r="C793">
        <v>1.03</v>
      </c>
      <c r="D793">
        <v>1.03</v>
      </c>
      <c r="E793">
        <v>0.99</v>
      </c>
      <c r="F793">
        <v>0.99</v>
      </c>
      <c r="G793">
        <v>1.03</v>
      </c>
      <c r="H793">
        <v>53710020</v>
      </c>
      <c r="I793">
        <v>15980</v>
      </c>
      <c r="J793">
        <v>12681020776</v>
      </c>
      <c r="K793">
        <v>12809111895</v>
      </c>
      <c r="L793">
        <f>(Table1[[#This Row],[CLOSE_PRICE]] - Table1[[#This Row],[PREV_CL_PR]]) / Table1[[#This Row],[PREV_CL_PR]] * 100</f>
        <v>-3.8834951456310711</v>
      </c>
      <c r="M793">
        <f>Table1[[#This Row],[HIGH_PRICE]]-Table1[[#This Row],[LOW_PRICE]]</f>
        <v>4.0000000000000036E-2</v>
      </c>
      <c r="N793" t="str">
        <f>IF(Table1[[#This Row],[CLOSE_PRICE]]&gt;Table1[[#This Row],[OPEN_PRICE]],"Gain","Loss")</f>
        <v>Loss</v>
      </c>
      <c r="O793" t="str">
        <f>IF(Table1[[#This Row],[MARKET_CAP]]&gt;200000000000,"Large Cap",
IF(Table1[[#This Row],[MARKET_CAP]]&gt;50000000000,"Mid Cap","Small Cap"))</f>
        <v>Small Cap</v>
      </c>
      <c r="P793" t="str">
        <f>IF(Table1[[#This Row],[NET_TRDQTY]]&gt;1000000,"High Volume","Low Volume")</f>
        <v>High Volume</v>
      </c>
    </row>
    <row r="794" spans="1:16" x14ac:dyDescent="0.3">
      <c r="A794" t="s">
        <v>1593</v>
      </c>
      <c r="B794" t="s">
        <v>1594</v>
      </c>
      <c r="C794">
        <v>58.01</v>
      </c>
      <c r="D794">
        <v>58.01</v>
      </c>
      <c r="E794">
        <v>56</v>
      </c>
      <c r="F794">
        <v>57.09</v>
      </c>
      <c r="G794">
        <v>59.03</v>
      </c>
      <c r="H794">
        <v>756134</v>
      </c>
      <c r="I794">
        <v>2605</v>
      </c>
      <c r="J794">
        <v>6420514839</v>
      </c>
      <c r="K794">
        <v>112463038</v>
      </c>
      <c r="L794">
        <f>(Table1[[#This Row],[CLOSE_PRICE]] - Table1[[#This Row],[PREV_CL_PR]]) / Table1[[#This Row],[PREV_CL_PR]] * 100</f>
        <v>-3.2864645095714002</v>
      </c>
      <c r="M794">
        <f>Table1[[#This Row],[HIGH_PRICE]]-Table1[[#This Row],[LOW_PRICE]]</f>
        <v>2.009999999999998</v>
      </c>
      <c r="N794" t="str">
        <f>IF(Table1[[#This Row],[CLOSE_PRICE]]&gt;Table1[[#This Row],[OPEN_PRICE]],"Gain","Loss")</f>
        <v>Loss</v>
      </c>
      <c r="O794" t="str">
        <f>IF(Table1[[#This Row],[MARKET_CAP]]&gt;200000000000,"Large Cap",
IF(Table1[[#This Row],[MARKET_CAP]]&gt;50000000000,"Mid Cap","Small Cap"))</f>
        <v>Small Cap</v>
      </c>
      <c r="P794" t="str">
        <f>IF(Table1[[#This Row],[NET_TRDQTY]]&gt;1000000,"High Volume","Low Volume")</f>
        <v>Low Volume</v>
      </c>
    </row>
    <row r="795" spans="1:16" x14ac:dyDescent="0.3">
      <c r="A795" t="s">
        <v>1595</v>
      </c>
      <c r="B795" t="s">
        <v>1596</v>
      </c>
      <c r="C795">
        <v>289.8</v>
      </c>
      <c r="D795">
        <v>293.89999999999998</v>
      </c>
      <c r="E795">
        <v>278.55</v>
      </c>
      <c r="F795">
        <v>281.45</v>
      </c>
      <c r="G795">
        <v>294.35000000000002</v>
      </c>
      <c r="H795">
        <v>52452</v>
      </c>
      <c r="I795">
        <v>2660</v>
      </c>
      <c r="J795">
        <v>28224511314</v>
      </c>
      <c r="K795">
        <v>100282506</v>
      </c>
      <c r="L795">
        <f>(Table1[[#This Row],[CLOSE_PRICE]] - Table1[[#This Row],[PREV_CL_PR]]) / Table1[[#This Row],[PREV_CL_PR]] * 100</f>
        <v>-4.3825377951418494</v>
      </c>
      <c r="M795">
        <f>Table1[[#This Row],[HIGH_PRICE]]-Table1[[#This Row],[LOW_PRICE]]</f>
        <v>15.349999999999966</v>
      </c>
      <c r="N795" t="str">
        <f>IF(Table1[[#This Row],[CLOSE_PRICE]]&gt;Table1[[#This Row],[OPEN_PRICE]],"Gain","Loss")</f>
        <v>Loss</v>
      </c>
      <c r="O795" t="str">
        <f>IF(Table1[[#This Row],[MARKET_CAP]]&gt;200000000000,"Large Cap",
IF(Table1[[#This Row],[MARKET_CAP]]&gt;50000000000,"Mid Cap","Small Cap"))</f>
        <v>Small Cap</v>
      </c>
      <c r="P795" t="str">
        <f>IF(Table1[[#This Row],[NET_TRDQTY]]&gt;1000000,"High Volume","Low Volume")</f>
        <v>Low Volume</v>
      </c>
    </row>
    <row r="796" spans="1:16" x14ac:dyDescent="0.3">
      <c r="A796" t="s">
        <v>1597</v>
      </c>
      <c r="B796" t="s">
        <v>1598</v>
      </c>
      <c r="C796">
        <v>549.9</v>
      </c>
      <c r="D796">
        <v>637.70000000000005</v>
      </c>
      <c r="E796">
        <v>542.6</v>
      </c>
      <c r="F796">
        <v>615.1</v>
      </c>
      <c r="G796">
        <v>538.25</v>
      </c>
      <c r="H796">
        <v>62739288</v>
      </c>
      <c r="I796">
        <v>677160</v>
      </c>
      <c r="J796">
        <v>45176168354</v>
      </c>
      <c r="K796">
        <v>73445242</v>
      </c>
      <c r="L796">
        <f>(Table1[[#This Row],[CLOSE_PRICE]] - Table1[[#This Row],[PREV_CL_PR]]) / Table1[[#This Row],[PREV_CL_PR]] * 100</f>
        <v>14.277751973989785</v>
      </c>
      <c r="M796">
        <f>Table1[[#This Row],[HIGH_PRICE]]-Table1[[#This Row],[LOW_PRICE]]</f>
        <v>95.100000000000023</v>
      </c>
      <c r="N796" t="str">
        <f>IF(Table1[[#This Row],[CLOSE_PRICE]]&gt;Table1[[#This Row],[OPEN_PRICE]],"Gain","Loss")</f>
        <v>Gain</v>
      </c>
      <c r="O796" t="str">
        <f>IF(Table1[[#This Row],[MARKET_CAP]]&gt;200000000000,"Large Cap",
IF(Table1[[#This Row],[MARKET_CAP]]&gt;50000000000,"Mid Cap","Small Cap"))</f>
        <v>Small Cap</v>
      </c>
      <c r="P796" t="str">
        <f>IF(Table1[[#This Row],[NET_TRDQTY]]&gt;1000000,"High Volume","Low Volume")</f>
        <v>High Volume</v>
      </c>
    </row>
    <row r="797" spans="1:16" x14ac:dyDescent="0.3">
      <c r="A797" t="s">
        <v>1599</v>
      </c>
      <c r="B797" t="s">
        <v>1600</v>
      </c>
      <c r="C797">
        <v>449</v>
      </c>
      <c r="D797">
        <v>449</v>
      </c>
      <c r="E797">
        <v>422.1</v>
      </c>
      <c r="F797">
        <v>427.1</v>
      </c>
      <c r="G797">
        <v>447</v>
      </c>
      <c r="H797">
        <v>21322</v>
      </c>
      <c r="I797">
        <v>1431</v>
      </c>
      <c r="J797">
        <v>5039780000</v>
      </c>
      <c r="K797">
        <v>11800000</v>
      </c>
      <c r="L797">
        <f>(Table1[[#This Row],[CLOSE_PRICE]] - Table1[[#This Row],[PREV_CL_PR]]) / Table1[[#This Row],[PREV_CL_PR]] * 100</f>
        <v>-4.4519015659955201</v>
      </c>
      <c r="M797">
        <f>Table1[[#This Row],[HIGH_PRICE]]-Table1[[#This Row],[LOW_PRICE]]</f>
        <v>26.899999999999977</v>
      </c>
      <c r="N797" t="str">
        <f>IF(Table1[[#This Row],[CLOSE_PRICE]]&gt;Table1[[#This Row],[OPEN_PRICE]],"Gain","Loss")</f>
        <v>Loss</v>
      </c>
      <c r="O797" t="str">
        <f>IF(Table1[[#This Row],[MARKET_CAP]]&gt;200000000000,"Large Cap",
IF(Table1[[#This Row],[MARKET_CAP]]&gt;50000000000,"Mid Cap","Small Cap"))</f>
        <v>Small Cap</v>
      </c>
      <c r="P797" t="str">
        <f>IF(Table1[[#This Row],[NET_TRDQTY]]&gt;1000000,"High Volume","Low Volume")</f>
        <v>Low Volume</v>
      </c>
    </row>
    <row r="798" spans="1:16" x14ac:dyDescent="0.3">
      <c r="A798" t="s">
        <v>1601</v>
      </c>
      <c r="B798" t="s">
        <v>1602</v>
      </c>
      <c r="C798">
        <v>352.4</v>
      </c>
      <c r="D798">
        <v>352.4</v>
      </c>
      <c r="E798">
        <v>329.55</v>
      </c>
      <c r="F798">
        <v>335.3</v>
      </c>
      <c r="G798">
        <v>354.6</v>
      </c>
      <c r="H798">
        <v>1026140</v>
      </c>
      <c r="I798">
        <v>28781</v>
      </c>
      <c r="J798">
        <v>231000000000</v>
      </c>
      <c r="K798">
        <v>688390125</v>
      </c>
      <c r="L798">
        <f>(Table1[[#This Row],[CLOSE_PRICE]] - Table1[[#This Row],[PREV_CL_PR]]) / Table1[[#This Row],[PREV_CL_PR]] * 100</f>
        <v>-5.442752397067121</v>
      </c>
      <c r="M798">
        <f>Table1[[#This Row],[HIGH_PRICE]]-Table1[[#This Row],[LOW_PRICE]]</f>
        <v>22.849999999999966</v>
      </c>
      <c r="N798" t="str">
        <f>IF(Table1[[#This Row],[CLOSE_PRICE]]&gt;Table1[[#This Row],[OPEN_PRICE]],"Gain","Loss")</f>
        <v>Loss</v>
      </c>
      <c r="O798" t="str">
        <f>IF(Table1[[#This Row],[MARKET_CAP]]&gt;200000000000,"Large Cap",
IF(Table1[[#This Row],[MARKET_CAP]]&gt;50000000000,"Mid Cap","Small Cap"))</f>
        <v>Large Cap</v>
      </c>
      <c r="P798" t="str">
        <f>IF(Table1[[#This Row],[NET_TRDQTY]]&gt;1000000,"High Volume","Low Volume")</f>
        <v>High Volume</v>
      </c>
    </row>
    <row r="799" spans="1:16" x14ac:dyDescent="0.3">
      <c r="A799" t="s">
        <v>1603</v>
      </c>
      <c r="B799" t="s">
        <v>1604</v>
      </c>
      <c r="C799">
        <v>36.299999999999997</v>
      </c>
      <c r="D799">
        <v>37.39</v>
      </c>
      <c r="E799">
        <v>36.090000000000003</v>
      </c>
      <c r="F799">
        <v>36.799999999999997</v>
      </c>
      <c r="G799">
        <v>36.270000000000003</v>
      </c>
      <c r="H799">
        <v>1127</v>
      </c>
      <c r="I799">
        <v>40</v>
      </c>
      <c r="J799">
        <v>198885600</v>
      </c>
      <c r="K799">
        <v>5404500</v>
      </c>
      <c r="L799">
        <f>(Table1[[#This Row],[CLOSE_PRICE]] - Table1[[#This Row],[PREV_CL_PR]]) / Table1[[#This Row],[PREV_CL_PR]] * 100</f>
        <v>1.4612627515853156</v>
      </c>
      <c r="M799">
        <f>Table1[[#This Row],[HIGH_PRICE]]-Table1[[#This Row],[LOW_PRICE]]</f>
        <v>1.2999999999999972</v>
      </c>
      <c r="N799" t="str">
        <f>IF(Table1[[#This Row],[CLOSE_PRICE]]&gt;Table1[[#This Row],[OPEN_PRICE]],"Gain","Loss")</f>
        <v>Gain</v>
      </c>
      <c r="O799" t="str">
        <f>IF(Table1[[#This Row],[MARKET_CAP]]&gt;200000000000,"Large Cap",
IF(Table1[[#This Row],[MARKET_CAP]]&gt;50000000000,"Mid Cap","Small Cap"))</f>
        <v>Small Cap</v>
      </c>
      <c r="P799" t="str">
        <f>IF(Table1[[#This Row],[NET_TRDQTY]]&gt;1000000,"High Volume","Low Volume")</f>
        <v>Low Volume</v>
      </c>
    </row>
    <row r="800" spans="1:16" x14ac:dyDescent="0.3">
      <c r="A800" t="s">
        <v>1605</v>
      </c>
      <c r="B800" t="s">
        <v>1606</v>
      </c>
      <c r="C800">
        <v>274.39999999999998</v>
      </c>
      <c r="D800">
        <v>274.39999999999998</v>
      </c>
      <c r="E800">
        <v>252.35</v>
      </c>
      <c r="F800">
        <v>258.3</v>
      </c>
      <c r="G800">
        <v>273.5</v>
      </c>
      <c r="H800">
        <v>65225</v>
      </c>
      <c r="I800">
        <v>2254</v>
      </c>
      <c r="J800">
        <v>28145727950</v>
      </c>
      <c r="K800">
        <v>108965265</v>
      </c>
      <c r="L800">
        <f>(Table1[[#This Row],[CLOSE_PRICE]] - Table1[[#This Row],[PREV_CL_PR]]) / Table1[[#This Row],[PREV_CL_PR]] * 100</f>
        <v>-5.5575868372943287</v>
      </c>
      <c r="M800">
        <f>Table1[[#This Row],[HIGH_PRICE]]-Table1[[#This Row],[LOW_PRICE]]</f>
        <v>22.049999999999983</v>
      </c>
      <c r="N800" t="str">
        <f>IF(Table1[[#This Row],[CLOSE_PRICE]]&gt;Table1[[#This Row],[OPEN_PRICE]],"Gain","Loss")</f>
        <v>Loss</v>
      </c>
      <c r="O800" t="str">
        <f>IF(Table1[[#This Row],[MARKET_CAP]]&gt;200000000000,"Large Cap",
IF(Table1[[#This Row],[MARKET_CAP]]&gt;50000000000,"Mid Cap","Small Cap"))</f>
        <v>Small Cap</v>
      </c>
      <c r="P800" t="str">
        <f>IF(Table1[[#This Row],[NET_TRDQTY]]&gt;1000000,"High Volume","Low Volume")</f>
        <v>Low Volume</v>
      </c>
    </row>
    <row r="801" spans="1:16" x14ac:dyDescent="0.3">
      <c r="A801" t="s">
        <v>1607</v>
      </c>
      <c r="B801" t="s">
        <v>1608</v>
      </c>
      <c r="C801">
        <v>922.3</v>
      </c>
      <c r="D801">
        <v>924.1</v>
      </c>
      <c r="E801">
        <v>865</v>
      </c>
      <c r="F801">
        <v>870.2</v>
      </c>
      <c r="G801">
        <v>919.3</v>
      </c>
      <c r="H801">
        <v>129492</v>
      </c>
      <c r="I801">
        <v>12680</v>
      </c>
      <c r="J801">
        <v>42917935935</v>
      </c>
      <c r="K801">
        <v>49319623</v>
      </c>
      <c r="L801">
        <f>(Table1[[#This Row],[CLOSE_PRICE]] - Table1[[#This Row],[PREV_CL_PR]]) / Table1[[#This Row],[PREV_CL_PR]] * 100</f>
        <v>-5.3410203415642243</v>
      </c>
      <c r="M801">
        <f>Table1[[#This Row],[HIGH_PRICE]]-Table1[[#This Row],[LOW_PRICE]]</f>
        <v>59.100000000000023</v>
      </c>
      <c r="N801" t="str">
        <f>IF(Table1[[#This Row],[CLOSE_PRICE]]&gt;Table1[[#This Row],[OPEN_PRICE]],"Gain","Loss")</f>
        <v>Loss</v>
      </c>
      <c r="O801" t="str">
        <f>IF(Table1[[#This Row],[MARKET_CAP]]&gt;200000000000,"Large Cap",
IF(Table1[[#This Row],[MARKET_CAP]]&gt;50000000000,"Mid Cap","Small Cap"))</f>
        <v>Small Cap</v>
      </c>
      <c r="P801" t="str">
        <f>IF(Table1[[#This Row],[NET_TRDQTY]]&gt;1000000,"High Volume","Low Volume")</f>
        <v>Low Volume</v>
      </c>
    </row>
    <row r="802" spans="1:16" x14ac:dyDescent="0.3">
      <c r="A802" t="s">
        <v>1609</v>
      </c>
      <c r="B802" t="s">
        <v>1610</v>
      </c>
      <c r="C802">
        <v>28.1</v>
      </c>
      <c r="D802">
        <v>28.45</v>
      </c>
      <c r="E802">
        <v>27.05</v>
      </c>
      <c r="F802">
        <v>27.06</v>
      </c>
      <c r="G802">
        <v>28.24</v>
      </c>
      <c r="H802">
        <v>167891</v>
      </c>
      <c r="I802">
        <v>893</v>
      </c>
      <c r="J802">
        <v>1379637404</v>
      </c>
      <c r="K802">
        <v>50984383</v>
      </c>
      <c r="L802">
        <f>(Table1[[#This Row],[CLOSE_PRICE]] - Table1[[#This Row],[PREV_CL_PR]]) / Table1[[#This Row],[PREV_CL_PR]] * 100</f>
        <v>-4.1784702549575066</v>
      </c>
      <c r="M802">
        <f>Table1[[#This Row],[HIGH_PRICE]]-Table1[[#This Row],[LOW_PRICE]]</f>
        <v>1.3999999999999986</v>
      </c>
      <c r="N802" t="str">
        <f>IF(Table1[[#This Row],[CLOSE_PRICE]]&gt;Table1[[#This Row],[OPEN_PRICE]],"Gain","Loss")</f>
        <v>Loss</v>
      </c>
      <c r="O802" t="str">
        <f>IF(Table1[[#This Row],[MARKET_CAP]]&gt;200000000000,"Large Cap",
IF(Table1[[#This Row],[MARKET_CAP]]&gt;50000000000,"Mid Cap","Small Cap"))</f>
        <v>Small Cap</v>
      </c>
      <c r="P802" t="str">
        <f>IF(Table1[[#This Row],[NET_TRDQTY]]&gt;1000000,"High Volume","Low Volume")</f>
        <v>Low Volume</v>
      </c>
    </row>
    <row r="803" spans="1:16" x14ac:dyDescent="0.3">
      <c r="A803" t="s">
        <v>1611</v>
      </c>
      <c r="B803" t="s">
        <v>1612</v>
      </c>
      <c r="C803">
        <v>152.59</v>
      </c>
      <c r="D803">
        <v>153.06</v>
      </c>
      <c r="E803">
        <v>140.1</v>
      </c>
      <c r="F803">
        <v>141.88</v>
      </c>
      <c r="G803">
        <v>155.69</v>
      </c>
      <c r="H803">
        <v>157226</v>
      </c>
      <c r="I803">
        <v>3398</v>
      </c>
      <c r="J803">
        <v>8849138884</v>
      </c>
      <c r="K803">
        <v>62370587</v>
      </c>
      <c r="L803">
        <f>(Table1[[#This Row],[CLOSE_PRICE]] - Table1[[#This Row],[PREV_CL_PR]]) / Table1[[#This Row],[PREV_CL_PR]] * 100</f>
        <v>-8.8701907636970923</v>
      </c>
      <c r="M803">
        <f>Table1[[#This Row],[HIGH_PRICE]]-Table1[[#This Row],[LOW_PRICE]]</f>
        <v>12.960000000000008</v>
      </c>
      <c r="N803" t="str">
        <f>IF(Table1[[#This Row],[CLOSE_PRICE]]&gt;Table1[[#This Row],[OPEN_PRICE]],"Gain","Loss")</f>
        <v>Loss</v>
      </c>
      <c r="O803" t="str">
        <f>IF(Table1[[#This Row],[MARKET_CAP]]&gt;200000000000,"Large Cap",
IF(Table1[[#This Row],[MARKET_CAP]]&gt;50000000000,"Mid Cap","Small Cap"))</f>
        <v>Small Cap</v>
      </c>
      <c r="P803" t="str">
        <f>IF(Table1[[#This Row],[NET_TRDQTY]]&gt;1000000,"High Volume","Low Volume")</f>
        <v>Low Volume</v>
      </c>
    </row>
    <row r="804" spans="1:16" x14ac:dyDescent="0.3">
      <c r="A804" t="s">
        <v>1613</v>
      </c>
      <c r="B804" t="s">
        <v>1614</v>
      </c>
      <c r="C804">
        <v>6.03</v>
      </c>
      <c r="D804">
        <v>6.6</v>
      </c>
      <c r="E804">
        <v>5.83</v>
      </c>
      <c r="F804">
        <v>5.87</v>
      </c>
      <c r="G804">
        <v>6.7</v>
      </c>
      <c r="H804">
        <v>290201</v>
      </c>
      <c r="I804">
        <v>671</v>
      </c>
      <c r="J804">
        <v>955997533.29999995</v>
      </c>
      <c r="K804">
        <v>162861590</v>
      </c>
      <c r="L804">
        <f>(Table1[[#This Row],[CLOSE_PRICE]] - Table1[[#This Row],[PREV_CL_PR]]) / Table1[[#This Row],[PREV_CL_PR]] * 100</f>
        <v>-12.388059701492537</v>
      </c>
      <c r="M804">
        <f>Table1[[#This Row],[HIGH_PRICE]]-Table1[[#This Row],[LOW_PRICE]]</f>
        <v>0.76999999999999957</v>
      </c>
      <c r="N804" t="str">
        <f>IF(Table1[[#This Row],[CLOSE_PRICE]]&gt;Table1[[#This Row],[OPEN_PRICE]],"Gain","Loss")</f>
        <v>Loss</v>
      </c>
      <c r="O804" t="str">
        <f>IF(Table1[[#This Row],[MARKET_CAP]]&gt;200000000000,"Large Cap",
IF(Table1[[#This Row],[MARKET_CAP]]&gt;50000000000,"Mid Cap","Small Cap"))</f>
        <v>Small Cap</v>
      </c>
      <c r="P804" t="str">
        <f>IF(Table1[[#This Row],[NET_TRDQTY]]&gt;1000000,"High Volume","Low Volume")</f>
        <v>Low Volume</v>
      </c>
    </row>
    <row r="805" spans="1:16" x14ac:dyDescent="0.3">
      <c r="A805" t="s">
        <v>1615</v>
      </c>
      <c r="B805" t="s">
        <v>1616</v>
      </c>
      <c r="C805">
        <v>3649</v>
      </c>
      <c r="D805">
        <v>3649</v>
      </c>
      <c r="E805">
        <v>3420.1</v>
      </c>
      <c r="F805">
        <v>3461</v>
      </c>
      <c r="G805">
        <v>3678.9</v>
      </c>
      <c r="H805">
        <v>882995</v>
      </c>
      <c r="I805">
        <v>77775</v>
      </c>
      <c r="J805">
        <v>886000000000</v>
      </c>
      <c r="K805">
        <v>256046535</v>
      </c>
      <c r="L805">
        <f>(Table1[[#This Row],[CLOSE_PRICE]] - Table1[[#This Row],[PREV_CL_PR]]) / Table1[[#This Row],[PREV_CL_PR]] * 100</f>
        <v>-5.9229661039984807</v>
      </c>
      <c r="M805">
        <f>Table1[[#This Row],[HIGH_PRICE]]-Table1[[#This Row],[LOW_PRICE]]</f>
        <v>228.90000000000009</v>
      </c>
      <c r="N805" t="str">
        <f>IF(Table1[[#This Row],[CLOSE_PRICE]]&gt;Table1[[#This Row],[OPEN_PRICE]],"Gain","Loss")</f>
        <v>Loss</v>
      </c>
      <c r="O805" t="str">
        <f>IF(Table1[[#This Row],[MARKET_CAP]]&gt;200000000000,"Large Cap",
IF(Table1[[#This Row],[MARKET_CAP]]&gt;50000000000,"Mid Cap","Small Cap"))</f>
        <v>Large Cap</v>
      </c>
      <c r="P805" t="str">
        <f>IF(Table1[[#This Row],[NET_TRDQTY]]&gt;1000000,"High Volume","Low Volume")</f>
        <v>Low Volume</v>
      </c>
    </row>
    <row r="806" spans="1:16" x14ac:dyDescent="0.3">
      <c r="A806" t="s">
        <v>1617</v>
      </c>
      <c r="B806" t="s">
        <v>1618</v>
      </c>
      <c r="C806">
        <v>253.75</v>
      </c>
      <c r="D806">
        <v>253.75</v>
      </c>
      <c r="E806">
        <v>243</v>
      </c>
      <c r="F806">
        <v>243.7</v>
      </c>
      <c r="G806">
        <v>255</v>
      </c>
      <c r="H806">
        <v>720</v>
      </c>
      <c r="I806">
        <v>37</v>
      </c>
      <c r="J806">
        <v>3031173500</v>
      </c>
      <c r="K806">
        <v>12438135</v>
      </c>
      <c r="L806">
        <f>(Table1[[#This Row],[CLOSE_PRICE]] - Table1[[#This Row],[PREV_CL_PR]]) / Table1[[#This Row],[PREV_CL_PR]] * 100</f>
        <v>-4.4313725490196125</v>
      </c>
      <c r="M806">
        <f>Table1[[#This Row],[HIGH_PRICE]]-Table1[[#This Row],[LOW_PRICE]]</f>
        <v>10.75</v>
      </c>
      <c r="N806" t="str">
        <f>IF(Table1[[#This Row],[CLOSE_PRICE]]&gt;Table1[[#This Row],[OPEN_PRICE]],"Gain","Loss")</f>
        <v>Loss</v>
      </c>
      <c r="O806" t="str">
        <f>IF(Table1[[#This Row],[MARKET_CAP]]&gt;200000000000,"Large Cap",
IF(Table1[[#This Row],[MARKET_CAP]]&gt;50000000000,"Mid Cap","Small Cap"))</f>
        <v>Small Cap</v>
      </c>
      <c r="P806" t="str">
        <f>IF(Table1[[#This Row],[NET_TRDQTY]]&gt;1000000,"High Volume","Low Volume")</f>
        <v>Low Volume</v>
      </c>
    </row>
    <row r="807" spans="1:16" x14ac:dyDescent="0.3">
      <c r="A807" t="s">
        <v>1619</v>
      </c>
      <c r="B807" t="s">
        <v>1620</v>
      </c>
      <c r="C807">
        <v>1226.4000000000001</v>
      </c>
      <c r="D807">
        <v>1294</v>
      </c>
      <c r="E807">
        <v>1203.3</v>
      </c>
      <c r="F807">
        <v>1224.7</v>
      </c>
      <c r="G807">
        <v>1246</v>
      </c>
      <c r="H807">
        <v>832</v>
      </c>
      <c r="I807">
        <v>67</v>
      </c>
      <c r="J807">
        <v>3702619589</v>
      </c>
      <c r="K807">
        <v>3023287</v>
      </c>
      <c r="L807">
        <f>(Table1[[#This Row],[CLOSE_PRICE]] - Table1[[#This Row],[PREV_CL_PR]]) / Table1[[#This Row],[PREV_CL_PR]] * 100</f>
        <v>-1.7094703049759192</v>
      </c>
      <c r="M807">
        <f>Table1[[#This Row],[HIGH_PRICE]]-Table1[[#This Row],[LOW_PRICE]]</f>
        <v>90.700000000000045</v>
      </c>
      <c r="N807" t="str">
        <f>IF(Table1[[#This Row],[CLOSE_PRICE]]&gt;Table1[[#This Row],[OPEN_PRICE]],"Gain","Loss")</f>
        <v>Loss</v>
      </c>
      <c r="O807" t="str">
        <f>IF(Table1[[#This Row],[MARKET_CAP]]&gt;200000000000,"Large Cap",
IF(Table1[[#This Row],[MARKET_CAP]]&gt;50000000000,"Mid Cap","Small Cap"))</f>
        <v>Small Cap</v>
      </c>
      <c r="P807" t="str">
        <f>IF(Table1[[#This Row],[NET_TRDQTY]]&gt;1000000,"High Volume","Low Volume")</f>
        <v>Low Volume</v>
      </c>
    </row>
    <row r="808" spans="1:16" x14ac:dyDescent="0.3">
      <c r="A808" t="s">
        <v>1621</v>
      </c>
      <c r="B808" t="s">
        <v>1622</v>
      </c>
      <c r="C808">
        <v>397</v>
      </c>
      <c r="D808">
        <v>398</v>
      </c>
      <c r="E808">
        <v>389</v>
      </c>
      <c r="F808">
        <v>392.65</v>
      </c>
      <c r="G808">
        <v>410.85</v>
      </c>
      <c r="H808">
        <v>2963359</v>
      </c>
      <c r="I808">
        <v>51455</v>
      </c>
      <c r="J808">
        <v>59790704539</v>
      </c>
      <c r="K808">
        <v>152274811</v>
      </c>
      <c r="L808">
        <f>(Table1[[#This Row],[CLOSE_PRICE]] - Table1[[#This Row],[PREV_CL_PR]]) / Table1[[#This Row],[PREV_CL_PR]] * 100</f>
        <v>-4.4298405744188987</v>
      </c>
      <c r="M808">
        <f>Table1[[#This Row],[HIGH_PRICE]]-Table1[[#This Row],[LOW_PRICE]]</f>
        <v>9</v>
      </c>
      <c r="N808" t="str">
        <f>IF(Table1[[#This Row],[CLOSE_PRICE]]&gt;Table1[[#This Row],[OPEN_PRICE]],"Gain","Loss")</f>
        <v>Loss</v>
      </c>
      <c r="O808" t="str">
        <f>IF(Table1[[#This Row],[MARKET_CAP]]&gt;200000000000,"Large Cap",
IF(Table1[[#This Row],[MARKET_CAP]]&gt;50000000000,"Mid Cap","Small Cap"))</f>
        <v>Mid Cap</v>
      </c>
      <c r="P808" t="str">
        <f>IF(Table1[[#This Row],[NET_TRDQTY]]&gt;1000000,"High Volume","Low Volume")</f>
        <v>High Volume</v>
      </c>
    </row>
    <row r="809" spans="1:16" x14ac:dyDescent="0.3">
      <c r="A809" t="s">
        <v>1623</v>
      </c>
      <c r="B809" t="s">
        <v>1624</v>
      </c>
      <c r="C809">
        <v>1245.0999999999999</v>
      </c>
      <c r="D809">
        <v>1259.0999999999999</v>
      </c>
      <c r="E809">
        <v>1186</v>
      </c>
      <c r="F809">
        <v>1208.5</v>
      </c>
      <c r="G809">
        <v>1265.4000000000001</v>
      </c>
      <c r="H809">
        <v>69936</v>
      </c>
      <c r="I809">
        <v>8408</v>
      </c>
      <c r="J809">
        <v>114000000000</v>
      </c>
      <c r="K809">
        <v>94327921</v>
      </c>
      <c r="L809">
        <f>(Table1[[#This Row],[CLOSE_PRICE]] - Table1[[#This Row],[PREV_CL_PR]]) / Table1[[#This Row],[PREV_CL_PR]] * 100</f>
        <v>-4.4966018650229245</v>
      </c>
      <c r="M809">
        <f>Table1[[#This Row],[HIGH_PRICE]]-Table1[[#This Row],[LOW_PRICE]]</f>
        <v>73.099999999999909</v>
      </c>
      <c r="N809" t="str">
        <f>IF(Table1[[#This Row],[CLOSE_PRICE]]&gt;Table1[[#This Row],[OPEN_PRICE]],"Gain","Loss")</f>
        <v>Loss</v>
      </c>
      <c r="O809" t="str">
        <f>IF(Table1[[#This Row],[MARKET_CAP]]&gt;200000000000,"Large Cap",
IF(Table1[[#This Row],[MARKET_CAP]]&gt;50000000000,"Mid Cap","Small Cap"))</f>
        <v>Mid Cap</v>
      </c>
      <c r="P809" t="str">
        <f>IF(Table1[[#This Row],[NET_TRDQTY]]&gt;1000000,"High Volume","Low Volume")</f>
        <v>Low Volume</v>
      </c>
    </row>
    <row r="810" spans="1:16" x14ac:dyDescent="0.3">
      <c r="A810" t="s">
        <v>1625</v>
      </c>
      <c r="B810" t="s">
        <v>1626</v>
      </c>
      <c r="C810">
        <v>300</v>
      </c>
      <c r="D810">
        <v>306.75</v>
      </c>
      <c r="E810">
        <v>298.55</v>
      </c>
      <c r="F810">
        <v>302.89999999999998</v>
      </c>
      <c r="G810">
        <v>305.55</v>
      </c>
      <c r="H810">
        <v>189219</v>
      </c>
      <c r="I810">
        <v>6559</v>
      </c>
      <c r="J810">
        <v>9379991838</v>
      </c>
      <c r="K810">
        <v>30967289</v>
      </c>
      <c r="L810">
        <f>(Table1[[#This Row],[CLOSE_PRICE]] - Table1[[#This Row],[PREV_CL_PR]]) / Table1[[#This Row],[PREV_CL_PR]] * 100</f>
        <v>-0.86728849615448667</v>
      </c>
      <c r="M810">
        <f>Table1[[#This Row],[HIGH_PRICE]]-Table1[[#This Row],[LOW_PRICE]]</f>
        <v>8.1999999999999886</v>
      </c>
      <c r="N810" t="str">
        <f>IF(Table1[[#This Row],[CLOSE_PRICE]]&gt;Table1[[#This Row],[OPEN_PRICE]],"Gain","Loss")</f>
        <v>Gain</v>
      </c>
      <c r="O810" t="str">
        <f>IF(Table1[[#This Row],[MARKET_CAP]]&gt;200000000000,"Large Cap",
IF(Table1[[#This Row],[MARKET_CAP]]&gt;50000000000,"Mid Cap","Small Cap"))</f>
        <v>Small Cap</v>
      </c>
      <c r="P810" t="str">
        <f>IF(Table1[[#This Row],[NET_TRDQTY]]&gt;1000000,"High Volume","Low Volume")</f>
        <v>Low Volume</v>
      </c>
    </row>
    <row r="811" spans="1:16" x14ac:dyDescent="0.3">
      <c r="A811" t="s">
        <v>1627</v>
      </c>
      <c r="B811" t="s">
        <v>1628</v>
      </c>
      <c r="C811">
        <v>172.94</v>
      </c>
      <c r="D811">
        <v>173.25</v>
      </c>
      <c r="E811">
        <v>162.35</v>
      </c>
      <c r="F811">
        <v>164.31</v>
      </c>
      <c r="G811">
        <v>174.48</v>
      </c>
      <c r="H811">
        <v>14135</v>
      </c>
      <c r="I811">
        <v>487</v>
      </c>
      <c r="J811">
        <v>3032407596</v>
      </c>
      <c r="K811">
        <v>18455405</v>
      </c>
      <c r="L811">
        <f>(Table1[[#This Row],[CLOSE_PRICE]] - Table1[[#This Row],[PREV_CL_PR]]) / Table1[[#This Row],[PREV_CL_PR]] * 100</f>
        <v>-5.82874828060522</v>
      </c>
      <c r="M811">
        <f>Table1[[#This Row],[HIGH_PRICE]]-Table1[[#This Row],[LOW_PRICE]]</f>
        <v>10.900000000000006</v>
      </c>
      <c r="N811" t="str">
        <f>IF(Table1[[#This Row],[CLOSE_PRICE]]&gt;Table1[[#This Row],[OPEN_PRICE]],"Gain","Loss")</f>
        <v>Loss</v>
      </c>
      <c r="O811" t="str">
        <f>IF(Table1[[#This Row],[MARKET_CAP]]&gt;200000000000,"Large Cap",
IF(Table1[[#This Row],[MARKET_CAP]]&gt;50000000000,"Mid Cap","Small Cap"))</f>
        <v>Small Cap</v>
      </c>
      <c r="P811" t="str">
        <f>IF(Table1[[#This Row],[NET_TRDQTY]]&gt;1000000,"High Volume","Low Volume")</f>
        <v>Low Volume</v>
      </c>
    </row>
    <row r="812" spans="1:16" x14ac:dyDescent="0.3">
      <c r="A812" t="s">
        <v>1629</v>
      </c>
      <c r="B812" t="s">
        <v>1630</v>
      </c>
      <c r="C812">
        <v>337.2</v>
      </c>
      <c r="D812">
        <v>342.75</v>
      </c>
      <c r="E812">
        <v>323.10000000000002</v>
      </c>
      <c r="F812">
        <v>328.25</v>
      </c>
      <c r="G812">
        <v>340.6</v>
      </c>
      <c r="H812">
        <v>45311</v>
      </c>
      <c r="I812">
        <v>1800</v>
      </c>
      <c r="J812">
        <v>29885227466</v>
      </c>
      <c r="K812">
        <v>91044105</v>
      </c>
      <c r="L812">
        <f>(Table1[[#This Row],[CLOSE_PRICE]] - Table1[[#This Row],[PREV_CL_PR]]) / Table1[[#This Row],[PREV_CL_PR]] * 100</f>
        <v>-3.625954198473289</v>
      </c>
      <c r="M812">
        <f>Table1[[#This Row],[HIGH_PRICE]]-Table1[[#This Row],[LOW_PRICE]]</f>
        <v>19.649999999999977</v>
      </c>
      <c r="N812" t="str">
        <f>IF(Table1[[#This Row],[CLOSE_PRICE]]&gt;Table1[[#This Row],[OPEN_PRICE]],"Gain","Loss")</f>
        <v>Loss</v>
      </c>
      <c r="O812" t="str">
        <f>IF(Table1[[#This Row],[MARKET_CAP]]&gt;200000000000,"Large Cap",
IF(Table1[[#This Row],[MARKET_CAP]]&gt;50000000000,"Mid Cap","Small Cap"))</f>
        <v>Small Cap</v>
      </c>
      <c r="P812" t="str">
        <f>IF(Table1[[#This Row],[NET_TRDQTY]]&gt;1000000,"High Volume","Low Volume")</f>
        <v>Low Volume</v>
      </c>
    </row>
    <row r="813" spans="1:16" x14ac:dyDescent="0.3">
      <c r="A813" t="s">
        <v>1631</v>
      </c>
      <c r="B813" t="s">
        <v>1632</v>
      </c>
      <c r="C813">
        <v>9.75</v>
      </c>
      <c r="D813">
        <v>9.75</v>
      </c>
      <c r="E813">
        <v>9.27</v>
      </c>
      <c r="F813">
        <v>9.31</v>
      </c>
      <c r="G813">
        <v>9.84</v>
      </c>
      <c r="H813">
        <v>3076311</v>
      </c>
      <c r="I813">
        <v>5582</v>
      </c>
      <c r="J813">
        <v>16479672895</v>
      </c>
      <c r="K813">
        <v>1770104500</v>
      </c>
      <c r="L813">
        <f>(Table1[[#This Row],[CLOSE_PRICE]] - Table1[[#This Row],[PREV_CL_PR]]) / Table1[[#This Row],[PREV_CL_PR]] * 100</f>
        <v>-5.3861788617886122</v>
      </c>
      <c r="M813">
        <f>Table1[[#This Row],[HIGH_PRICE]]-Table1[[#This Row],[LOW_PRICE]]</f>
        <v>0.48000000000000043</v>
      </c>
      <c r="N813" t="str">
        <f>IF(Table1[[#This Row],[CLOSE_PRICE]]&gt;Table1[[#This Row],[OPEN_PRICE]],"Gain","Loss")</f>
        <v>Loss</v>
      </c>
      <c r="O813" t="str">
        <f>IF(Table1[[#This Row],[MARKET_CAP]]&gt;200000000000,"Large Cap",
IF(Table1[[#This Row],[MARKET_CAP]]&gt;50000000000,"Mid Cap","Small Cap"))</f>
        <v>Small Cap</v>
      </c>
      <c r="P813" t="str">
        <f>IF(Table1[[#This Row],[NET_TRDQTY]]&gt;1000000,"High Volume","Low Volume")</f>
        <v>High Volume</v>
      </c>
    </row>
    <row r="814" spans="1:16" x14ac:dyDescent="0.3">
      <c r="A814" t="s">
        <v>1633</v>
      </c>
      <c r="B814" t="s">
        <v>1634</v>
      </c>
      <c r="C814">
        <v>950</v>
      </c>
      <c r="D814">
        <v>950</v>
      </c>
      <c r="E814">
        <v>885</v>
      </c>
      <c r="F814">
        <v>890.15</v>
      </c>
      <c r="G814">
        <v>956.75</v>
      </c>
      <c r="H814">
        <v>33167</v>
      </c>
      <c r="I814">
        <v>4270</v>
      </c>
      <c r="J814">
        <v>198000000000</v>
      </c>
      <c r="K814">
        <v>222748268</v>
      </c>
      <c r="L814">
        <f>(Table1[[#This Row],[CLOSE_PRICE]] - Table1[[#This Row],[PREV_CL_PR]]) / Table1[[#This Row],[PREV_CL_PR]] * 100</f>
        <v>-6.9610661092239372</v>
      </c>
      <c r="M814">
        <f>Table1[[#This Row],[HIGH_PRICE]]-Table1[[#This Row],[LOW_PRICE]]</f>
        <v>65</v>
      </c>
      <c r="N814" t="str">
        <f>IF(Table1[[#This Row],[CLOSE_PRICE]]&gt;Table1[[#This Row],[OPEN_PRICE]],"Gain","Loss")</f>
        <v>Loss</v>
      </c>
      <c r="O814" t="str">
        <f>IF(Table1[[#This Row],[MARKET_CAP]]&gt;200000000000,"Large Cap",
IF(Table1[[#This Row],[MARKET_CAP]]&gt;50000000000,"Mid Cap","Small Cap"))</f>
        <v>Mid Cap</v>
      </c>
      <c r="P814" t="str">
        <f>IF(Table1[[#This Row],[NET_TRDQTY]]&gt;1000000,"High Volume","Low Volume")</f>
        <v>Low Volume</v>
      </c>
    </row>
    <row r="815" spans="1:16" x14ac:dyDescent="0.3">
      <c r="A815" t="s">
        <v>1635</v>
      </c>
      <c r="B815" t="s">
        <v>1636</v>
      </c>
      <c r="C815">
        <v>1.29</v>
      </c>
      <c r="D815">
        <v>1.35</v>
      </c>
      <c r="E815">
        <v>1.1100000000000001</v>
      </c>
      <c r="F815">
        <v>1.1399999999999999</v>
      </c>
      <c r="G815">
        <v>1.29</v>
      </c>
      <c r="H815">
        <v>53846</v>
      </c>
      <c r="I815">
        <v>198</v>
      </c>
      <c r="J815">
        <v>175030812</v>
      </c>
      <c r="K815">
        <v>153535800</v>
      </c>
      <c r="L815">
        <f>(Table1[[#This Row],[CLOSE_PRICE]] - Table1[[#This Row],[PREV_CL_PR]]) / Table1[[#This Row],[PREV_CL_PR]] * 100</f>
        <v>-11.627906976744196</v>
      </c>
      <c r="M815">
        <f>Table1[[#This Row],[HIGH_PRICE]]-Table1[[#This Row],[LOW_PRICE]]</f>
        <v>0.24</v>
      </c>
      <c r="N815" t="str">
        <f>IF(Table1[[#This Row],[CLOSE_PRICE]]&gt;Table1[[#This Row],[OPEN_PRICE]],"Gain","Loss")</f>
        <v>Loss</v>
      </c>
      <c r="O815" t="str">
        <f>IF(Table1[[#This Row],[MARKET_CAP]]&gt;200000000000,"Large Cap",
IF(Table1[[#This Row],[MARKET_CAP]]&gt;50000000000,"Mid Cap","Small Cap"))</f>
        <v>Small Cap</v>
      </c>
      <c r="P815" t="str">
        <f>IF(Table1[[#This Row],[NET_TRDQTY]]&gt;1000000,"High Volume","Low Volume")</f>
        <v>Low Volume</v>
      </c>
    </row>
    <row r="816" spans="1:16" x14ac:dyDescent="0.3">
      <c r="A816" t="s">
        <v>1637</v>
      </c>
      <c r="B816" t="s">
        <v>1638</v>
      </c>
      <c r="C816">
        <v>650</v>
      </c>
      <c r="D816">
        <v>657.9</v>
      </c>
      <c r="E816">
        <v>618.4</v>
      </c>
      <c r="F816">
        <v>625.6</v>
      </c>
      <c r="G816">
        <v>659.5</v>
      </c>
      <c r="H816">
        <v>1338504</v>
      </c>
      <c r="I816">
        <v>40915</v>
      </c>
      <c r="J816">
        <v>173000000000</v>
      </c>
      <c r="K816">
        <v>277194946</v>
      </c>
      <c r="L816">
        <f>(Table1[[#This Row],[CLOSE_PRICE]] - Table1[[#This Row],[PREV_CL_PR]]) / Table1[[#This Row],[PREV_CL_PR]] * 100</f>
        <v>-5.1402577710386623</v>
      </c>
      <c r="M816">
        <f>Table1[[#This Row],[HIGH_PRICE]]-Table1[[#This Row],[LOW_PRICE]]</f>
        <v>39.5</v>
      </c>
      <c r="N816" t="str">
        <f>IF(Table1[[#This Row],[CLOSE_PRICE]]&gt;Table1[[#This Row],[OPEN_PRICE]],"Gain","Loss")</f>
        <v>Loss</v>
      </c>
      <c r="O816" t="str">
        <f>IF(Table1[[#This Row],[MARKET_CAP]]&gt;200000000000,"Large Cap",
IF(Table1[[#This Row],[MARKET_CAP]]&gt;50000000000,"Mid Cap","Small Cap"))</f>
        <v>Mid Cap</v>
      </c>
      <c r="P816" t="str">
        <f>IF(Table1[[#This Row],[NET_TRDQTY]]&gt;1000000,"High Volume","Low Volume")</f>
        <v>High Volume</v>
      </c>
    </row>
    <row r="817" spans="1:16" x14ac:dyDescent="0.3">
      <c r="A817" t="s">
        <v>1639</v>
      </c>
      <c r="B817" t="s">
        <v>1640</v>
      </c>
      <c r="C817">
        <v>48</v>
      </c>
      <c r="D817">
        <v>48</v>
      </c>
      <c r="E817">
        <v>45.76</v>
      </c>
      <c r="F817">
        <v>46.41</v>
      </c>
      <c r="G817">
        <v>48.16</v>
      </c>
      <c r="H817">
        <v>2322</v>
      </c>
      <c r="I817">
        <v>78</v>
      </c>
      <c r="J817">
        <v>331259032.69999999</v>
      </c>
      <c r="K817">
        <v>7137665</v>
      </c>
      <c r="L817">
        <f>(Table1[[#This Row],[CLOSE_PRICE]] - Table1[[#This Row],[PREV_CL_PR]]) / Table1[[#This Row],[PREV_CL_PR]] * 100</f>
        <v>-3.6337209302325584</v>
      </c>
      <c r="M817">
        <f>Table1[[#This Row],[HIGH_PRICE]]-Table1[[#This Row],[LOW_PRICE]]</f>
        <v>2.240000000000002</v>
      </c>
      <c r="N817" t="str">
        <f>IF(Table1[[#This Row],[CLOSE_PRICE]]&gt;Table1[[#This Row],[OPEN_PRICE]],"Gain","Loss")</f>
        <v>Loss</v>
      </c>
      <c r="O817" t="str">
        <f>IF(Table1[[#This Row],[MARKET_CAP]]&gt;200000000000,"Large Cap",
IF(Table1[[#This Row],[MARKET_CAP]]&gt;50000000000,"Mid Cap","Small Cap"))</f>
        <v>Small Cap</v>
      </c>
      <c r="P817" t="str">
        <f>IF(Table1[[#This Row],[NET_TRDQTY]]&gt;1000000,"High Volume","Low Volume")</f>
        <v>Low Volume</v>
      </c>
    </row>
    <row r="818" spans="1:16" x14ac:dyDescent="0.3">
      <c r="A818" t="s">
        <v>1641</v>
      </c>
      <c r="B818" t="s">
        <v>1642</v>
      </c>
      <c r="C818">
        <v>15.25</v>
      </c>
      <c r="D818">
        <v>15.3</v>
      </c>
      <c r="E818">
        <v>14.15</v>
      </c>
      <c r="F818">
        <v>14.23</v>
      </c>
      <c r="G818">
        <v>15.44</v>
      </c>
      <c r="H818">
        <v>42325802</v>
      </c>
      <c r="I818">
        <v>28493</v>
      </c>
      <c r="J818">
        <v>37275030522</v>
      </c>
      <c r="K818">
        <v>2619468062</v>
      </c>
      <c r="L818">
        <f>(Table1[[#This Row],[CLOSE_PRICE]] - Table1[[#This Row],[PREV_CL_PR]]) / Table1[[#This Row],[PREV_CL_PR]] * 100</f>
        <v>-7.8367875647668335</v>
      </c>
      <c r="M818">
        <f>Table1[[#This Row],[HIGH_PRICE]]-Table1[[#This Row],[LOW_PRICE]]</f>
        <v>1.1500000000000004</v>
      </c>
      <c r="N818" t="str">
        <f>IF(Table1[[#This Row],[CLOSE_PRICE]]&gt;Table1[[#This Row],[OPEN_PRICE]],"Gain","Loss")</f>
        <v>Loss</v>
      </c>
      <c r="O818" t="str">
        <f>IF(Table1[[#This Row],[MARKET_CAP]]&gt;200000000000,"Large Cap",
IF(Table1[[#This Row],[MARKET_CAP]]&gt;50000000000,"Mid Cap","Small Cap"))</f>
        <v>Small Cap</v>
      </c>
      <c r="P818" t="str">
        <f>IF(Table1[[#This Row],[NET_TRDQTY]]&gt;1000000,"High Volume","Low Volume")</f>
        <v>High Volume</v>
      </c>
    </row>
    <row r="819" spans="1:16" x14ac:dyDescent="0.3">
      <c r="A819" t="s">
        <v>1643</v>
      </c>
      <c r="B819" t="s">
        <v>1644</v>
      </c>
      <c r="C819">
        <v>533.1</v>
      </c>
      <c r="D819">
        <v>539.20000000000005</v>
      </c>
      <c r="E819">
        <v>519</v>
      </c>
      <c r="F819">
        <v>521.75</v>
      </c>
      <c r="G819">
        <v>544.25</v>
      </c>
      <c r="H819">
        <v>178272</v>
      </c>
      <c r="I819">
        <v>13209</v>
      </c>
      <c r="J819">
        <v>77898424937</v>
      </c>
      <c r="K819">
        <v>149302204</v>
      </c>
      <c r="L819">
        <f>(Table1[[#This Row],[CLOSE_PRICE]] - Table1[[#This Row],[PREV_CL_PR]]) / Table1[[#This Row],[PREV_CL_PR]] * 100</f>
        <v>-4.1341295360587962</v>
      </c>
      <c r="M819">
        <f>Table1[[#This Row],[HIGH_PRICE]]-Table1[[#This Row],[LOW_PRICE]]</f>
        <v>20.200000000000045</v>
      </c>
      <c r="N819" t="str">
        <f>IF(Table1[[#This Row],[CLOSE_PRICE]]&gt;Table1[[#This Row],[OPEN_PRICE]],"Gain","Loss")</f>
        <v>Loss</v>
      </c>
      <c r="O819" t="str">
        <f>IF(Table1[[#This Row],[MARKET_CAP]]&gt;200000000000,"Large Cap",
IF(Table1[[#This Row],[MARKET_CAP]]&gt;50000000000,"Mid Cap","Small Cap"))</f>
        <v>Mid Cap</v>
      </c>
      <c r="P819" t="str">
        <f>IF(Table1[[#This Row],[NET_TRDQTY]]&gt;1000000,"High Volume","Low Volume")</f>
        <v>Low Volume</v>
      </c>
    </row>
    <row r="820" spans="1:16" x14ac:dyDescent="0.3">
      <c r="A820" t="s">
        <v>1645</v>
      </c>
      <c r="B820" t="s">
        <v>1646</v>
      </c>
      <c r="C820">
        <v>11.73</v>
      </c>
      <c r="D820">
        <v>11.73</v>
      </c>
      <c r="E820">
        <v>10.75</v>
      </c>
      <c r="F820">
        <v>10.84</v>
      </c>
      <c r="G820">
        <v>11.73</v>
      </c>
      <c r="H820">
        <v>1195813</v>
      </c>
      <c r="I820">
        <v>2262</v>
      </c>
      <c r="J820">
        <v>3568635620</v>
      </c>
      <c r="K820">
        <v>329209928</v>
      </c>
      <c r="L820">
        <f>(Table1[[#This Row],[CLOSE_PRICE]] - Table1[[#This Row],[PREV_CL_PR]]) / Table1[[#This Row],[PREV_CL_PR]] * 100</f>
        <v>-7.5873827791986415</v>
      </c>
      <c r="M820">
        <f>Table1[[#This Row],[HIGH_PRICE]]-Table1[[#This Row],[LOW_PRICE]]</f>
        <v>0.98000000000000043</v>
      </c>
      <c r="N820" t="str">
        <f>IF(Table1[[#This Row],[CLOSE_PRICE]]&gt;Table1[[#This Row],[OPEN_PRICE]],"Gain","Loss")</f>
        <v>Loss</v>
      </c>
      <c r="O820" t="str">
        <f>IF(Table1[[#This Row],[MARKET_CAP]]&gt;200000000000,"Large Cap",
IF(Table1[[#This Row],[MARKET_CAP]]&gt;50000000000,"Mid Cap","Small Cap"))</f>
        <v>Small Cap</v>
      </c>
      <c r="P820" t="str">
        <f>IF(Table1[[#This Row],[NET_TRDQTY]]&gt;1000000,"High Volume","Low Volume")</f>
        <v>High Volume</v>
      </c>
    </row>
    <row r="821" spans="1:16" x14ac:dyDescent="0.3">
      <c r="A821" t="s">
        <v>1647</v>
      </c>
      <c r="B821" t="s">
        <v>1648</v>
      </c>
      <c r="C821">
        <v>627</v>
      </c>
      <c r="D821">
        <v>629</v>
      </c>
      <c r="E821">
        <v>600.54999999999995</v>
      </c>
      <c r="F821">
        <v>606.5</v>
      </c>
      <c r="G821">
        <v>634.9</v>
      </c>
      <c r="H821">
        <v>1380857</v>
      </c>
      <c r="I821">
        <v>49502</v>
      </c>
      <c r="J821">
        <v>503000000000</v>
      </c>
      <c r="K821">
        <v>829847223</v>
      </c>
      <c r="L821">
        <f>(Table1[[#This Row],[CLOSE_PRICE]] - Table1[[#This Row],[PREV_CL_PR]]) / Table1[[#This Row],[PREV_CL_PR]] * 100</f>
        <v>-4.473145377224756</v>
      </c>
      <c r="M821">
        <f>Table1[[#This Row],[HIGH_PRICE]]-Table1[[#This Row],[LOW_PRICE]]</f>
        <v>28.450000000000045</v>
      </c>
      <c r="N821" t="str">
        <f>IF(Table1[[#This Row],[CLOSE_PRICE]]&gt;Table1[[#This Row],[OPEN_PRICE]],"Gain","Loss")</f>
        <v>Loss</v>
      </c>
      <c r="O821" t="str">
        <f>IF(Table1[[#This Row],[MARKET_CAP]]&gt;200000000000,"Large Cap",
IF(Table1[[#This Row],[MARKET_CAP]]&gt;50000000000,"Mid Cap","Small Cap"))</f>
        <v>Large Cap</v>
      </c>
      <c r="P821" t="str">
        <f>IF(Table1[[#This Row],[NET_TRDQTY]]&gt;1000000,"High Volume","Low Volume")</f>
        <v>High Volume</v>
      </c>
    </row>
    <row r="822" spans="1:16" x14ac:dyDescent="0.3">
      <c r="A822" t="s">
        <v>1649</v>
      </c>
      <c r="B822" t="s">
        <v>1650</v>
      </c>
      <c r="C822">
        <v>2359.9</v>
      </c>
      <c r="D822">
        <v>2361.3000000000002</v>
      </c>
      <c r="E822">
        <v>2236.6</v>
      </c>
      <c r="F822">
        <v>2254.6</v>
      </c>
      <c r="G822">
        <v>2385.9</v>
      </c>
      <c r="H822">
        <v>1483046</v>
      </c>
      <c r="I822">
        <v>91916</v>
      </c>
      <c r="J822">
        <v>966000000000</v>
      </c>
      <c r="K822">
        <v>428308492</v>
      </c>
      <c r="L822">
        <f>(Table1[[#This Row],[CLOSE_PRICE]] - Table1[[#This Row],[PREV_CL_PR]]) / Table1[[#This Row],[PREV_CL_PR]] * 100</f>
        <v>-5.5031644243262576</v>
      </c>
      <c r="M822">
        <f>Table1[[#This Row],[HIGH_PRICE]]-Table1[[#This Row],[LOW_PRICE]]</f>
        <v>124.70000000000027</v>
      </c>
      <c r="N822" t="str">
        <f>IF(Table1[[#This Row],[CLOSE_PRICE]]&gt;Table1[[#This Row],[OPEN_PRICE]],"Gain","Loss")</f>
        <v>Loss</v>
      </c>
      <c r="O822" t="str">
        <f>IF(Table1[[#This Row],[MARKET_CAP]]&gt;200000000000,"Large Cap",
IF(Table1[[#This Row],[MARKET_CAP]]&gt;50000000000,"Mid Cap","Small Cap"))</f>
        <v>Large Cap</v>
      </c>
      <c r="P822" t="str">
        <f>IF(Table1[[#This Row],[NET_TRDQTY]]&gt;1000000,"High Volume","Low Volume")</f>
        <v>High Volume</v>
      </c>
    </row>
    <row r="823" spans="1:16" x14ac:dyDescent="0.3">
      <c r="A823" t="s">
        <v>1651</v>
      </c>
      <c r="B823" t="s">
        <v>1652</v>
      </c>
      <c r="C823">
        <v>6.54</v>
      </c>
      <c r="D823">
        <v>6.59</v>
      </c>
      <c r="E823">
        <v>5.87</v>
      </c>
      <c r="F823">
        <v>6.38</v>
      </c>
      <c r="G823">
        <v>6.54</v>
      </c>
      <c r="H823">
        <v>125997</v>
      </c>
      <c r="I823">
        <v>261</v>
      </c>
      <c r="J823">
        <v>140887045.40000001</v>
      </c>
      <c r="K823">
        <v>22082609</v>
      </c>
      <c r="L823">
        <f>(Table1[[#This Row],[CLOSE_PRICE]] - Table1[[#This Row],[PREV_CL_PR]]) / Table1[[#This Row],[PREV_CL_PR]] * 100</f>
        <v>-2.4464831804281366</v>
      </c>
      <c r="M823">
        <f>Table1[[#This Row],[HIGH_PRICE]]-Table1[[#This Row],[LOW_PRICE]]</f>
        <v>0.71999999999999975</v>
      </c>
      <c r="N823" t="str">
        <f>IF(Table1[[#This Row],[CLOSE_PRICE]]&gt;Table1[[#This Row],[OPEN_PRICE]],"Gain","Loss")</f>
        <v>Loss</v>
      </c>
      <c r="O823" t="str">
        <f>IF(Table1[[#This Row],[MARKET_CAP]]&gt;200000000000,"Large Cap",
IF(Table1[[#This Row],[MARKET_CAP]]&gt;50000000000,"Mid Cap","Small Cap"))</f>
        <v>Small Cap</v>
      </c>
      <c r="P823" t="str">
        <f>IF(Table1[[#This Row],[NET_TRDQTY]]&gt;1000000,"High Volume","Low Volume")</f>
        <v>Low Volume</v>
      </c>
    </row>
    <row r="824" spans="1:16" x14ac:dyDescent="0.3">
      <c r="A824" t="s">
        <v>1653</v>
      </c>
      <c r="B824" t="s">
        <v>1654</v>
      </c>
      <c r="C824">
        <v>107</v>
      </c>
      <c r="D824">
        <v>107</v>
      </c>
      <c r="E824">
        <v>100.25</v>
      </c>
      <c r="F824">
        <v>102.22</v>
      </c>
      <c r="G824">
        <v>107.45</v>
      </c>
      <c r="H824">
        <v>14484</v>
      </c>
      <c r="I824">
        <v>191</v>
      </c>
      <c r="J824">
        <v>1107876715</v>
      </c>
      <c r="K824">
        <v>10838160</v>
      </c>
      <c r="L824">
        <f>(Table1[[#This Row],[CLOSE_PRICE]] - Table1[[#This Row],[PREV_CL_PR]]) / Table1[[#This Row],[PREV_CL_PR]] * 100</f>
        <v>-4.8673801768264342</v>
      </c>
      <c r="M824">
        <f>Table1[[#This Row],[HIGH_PRICE]]-Table1[[#This Row],[LOW_PRICE]]</f>
        <v>6.75</v>
      </c>
      <c r="N824" t="str">
        <f>IF(Table1[[#This Row],[CLOSE_PRICE]]&gt;Table1[[#This Row],[OPEN_PRICE]],"Gain","Loss")</f>
        <v>Loss</v>
      </c>
      <c r="O824" t="str">
        <f>IF(Table1[[#This Row],[MARKET_CAP]]&gt;200000000000,"Large Cap",
IF(Table1[[#This Row],[MARKET_CAP]]&gt;50000000000,"Mid Cap","Small Cap"))</f>
        <v>Small Cap</v>
      </c>
      <c r="P824" t="str">
        <f>IF(Table1[[#This Row],[NET_TRDQTY]]&gt;1000000,"High Volume","Low Volume")</f>
        <v>Low Volume</v>
      </c>
    </row>
    <row r="825" spans="1:16" x14ac:dyDescent="0.3">
      <c r="A825" t="s">
        <v>1655</v>
      </c>
      <c r="B825" t="s">
        <v>1656</v>
      </c>
      <c r="C825">
        <v>490</v>
      </c>
      <c r="D825">
        <v>495.6</v>
      </c>
      <c r="E825">
        <v>470.8</v>
      </c>
      <c r="F825">
        <v>477.25</v>
      </c>
      <c r="G825">
        <v>498.15</v>
      </c>
      <c r="H825">
        <v>918176</v>
      </c>
      <c r="I825">
        <v>25722</v>
      </c>
      <c r="J825">
        <v>92098526193</v>
      </c>
      <c r="K825">
        <v>192977530</v>
      </c>
      <c r="L825">
        <f>(Table1[[#This Row],[CLOSE_PRICE]] - Table1[[#This Row],[PREV_CL_PR]]) / Table1[[#This Row],[PREV_CL_PR]] * 100</f>
        <v>-4.1955234367158445</v>
      </c>
      <c r="M825">
        <f>Table1[[#This Row],[HIGH_PRICE]]-Table1[[#This Row],[LOW_PRICE]]</f>
        <v>24.800000000000011</v>
      </c>
      <c r="N825" t="str">
        <f>IF(Table1[[#This Row],[CLOSE_PRICE]]&gt;Table1[[#This Row],[OPEN_PRICE]],"Gain","Loss")</f>
        <v>Loss</v>
      </c>
      <c r="O825" t="str">
        <f>IF(Table1[[#This Row],[MARKET_CAP]]&gt;200000000000,"Large Cap",
IF(Table1[[#This Row],[MARKET_CAP]]&gt;50000000000,"Mid Cap","Small Cap"))</f>
        <v>Mid Cap</v>
      </c>
      <c r="P825" t="str">
        <f>IF(Table1[[#This Row],[NET_TRDQTY]]&gt;1000000,"High Volume","Low Volume")</f>
        <v>Low Volume</v>
      </c>
    </row>
    <row r="826" spans="1:16" x14ac:dyDescent="0.3">
      <c r="A826" t="s">
        <v>1657</v>
      </c>
      <c r="B826" t="s">
        <v>1658</v>
      </c>
      <c r="C826">
        <v>147.88999999999999</v>
      </c>
      <c r="D826">
        <v>150</v>
      </c>
      <c r="E826">
        <v>142</v>
      </c>
      <c r="F826">
        <v>148.25</v>
      </c>
      <c r="G826">
        <v>149.43</v>
      </c>
      <c r="H826">
        <v>229687</v>
      </c>
      <c r="I826">
        <v>3746</v>
      </c>
      <c r="J826">
        <v>33595394447</v>
      </c>
      <c r="K826">
        <v>226613116</v>
      </c>
      <c r="L826">
        <f>(Table1[[#This Row],[CLOSE_PRICE]] - Table1[[#This Row],[PREV_CL_PR]]) / Table1[[#This Row],[PREV_CL_PR]] * 100</f>
        <v>-0.78966740279730085</v>
      </c>
      <c r="M826">
        <f>Table1[[#This Row],[HIGH_PRICE]]-Table1[[#This Row],[LOW_PRICE]]</f>
        <v>8</v>
      </c>
      <c r="N826" t="str">
        <f>IF(Table1[[#This Row],[CLOSE_PRICE]]&gt;Table1[[#This Row],[OPEN_PRICE]],"Gain","Loss")</f>
        <v>Gain</v>
      </c>
      <c r="O826" t="str">
        <f>IF(Table1[[#This Row],[MARKET_CAP]]&gt;200000000000,"Large Cap",
IF(Table1[[#This Row],[MARKET_CAP]]&gt;50000000000,"Mid Cap","Small Cap"))</f>
        <v>Small Cap</v>
      </c>
      <c r="P826" t="str">
        <f>IF(Table1[[#This Row],[NET_TRDQTY]]&gt;1000000,"High Volume","Low Volume")</f>
        <v>Low Volume</v>
      </c>
    </row>
    <row r="827" spans="1:16" x14ac:dyDescent="0.3">
      <c r="A827" t="s">
        <v>1659</v>
      </c>
      <c r="B827" t="s">
        <v>1660</v>
      </c>
      <c r="C827">
        <v>134.11000000000001</v>
      </c>
      <c r="D827">
        <v>135.08000000000001</v>
      </c>
      <c r="E827">
        <v>126.05</v>
      </c>
      <c r="F827">
        <v>126.99</v>
      </c>
      <c r="G827">
        <v>137.19999999999999</v>
      </c>
      <c r="H827">
        <v>816641</v>
      </c>
      <c r="I827">
        <v>7988</v>
      </c>
      <c r="J827">
        <v>36192150000</v>
      </c>
      <c r="K827">
        <v>285000000</v>
      </c>
      <c r="L827">
        <f>(Table1[[#This Row],[CLOSE_PRICE]] - Table1[[#This Row],[PREV_CL_PR]]) / Table1[[#This Row],[PREV_CL_PR]] * 100</f>
        <v>-7.4416909620991216</v>
      </c>
      <c r="M827">
        <f>Table1[[#This Row],[HIGH_PRICE]]-Table1[[#This Row],[LOW_PRICE]]</f>
        <v>9.0300000000000153</v>
      </c>
      <c r="N827" t="str">
        <f>IF(Table1[[#This Row],[CLOSE_PRICE]]&gt;Table1[[#This Row],[OPEN_PRICE]],"Gain","Loss")</f>
        <v>Loss</v>
      </c>
      <c r="O827" t="str">
        <f>IF(Table1[[#This Row],[MARKET_CAP]]&gt;200000000000,"Large Cap",
IF(Table1[[#This Row],[MARKET_CAP]]&gt;50000000000,"Mid Cap","Small Cap"))</f>
        <v>Small Cap</v>
      </c>
      <c r="P827" t="str">
        <f>IF(Table1[[#This Row],[NET_TRDQTY]]&gt;1000000,"High Volume","Low Volume")</f>
        <v>Low Volume</v>
      </c>
    </row>
    <row r="828" spans="1:16" x14ac:dyDescent="0.3">
      <c r="A828" t="s">
        <v>1661</v>
      </c>
      <c r="B828" t="s">
        <v>1662</v>
      </c>
      <c r="C828">
        <v>177.8</v>
      </c>
      <c r="D828">
        <v>177.95</v>
      </c>
      <c r="E828">
        <v>167</v>
      </c>
      <c r="F828">
        <v>169.9</v>
      </c>
      <c r="G828">
        <v>179.39</v>
      </c>
      <c r="H828">
        <v>75856</v>
      </c>
      <c r="I828">
        <v>1598</v>
      </c>
      <c r="J828">
        <v>6798288043</v>
      </c>
      <c r="K828">
        <v>40013467</v>
      </c>
      <c r="L828">
        <f>(Table1[[#This Row],[CLOSE_PRICE]] - Table1[[#This Row],[PREV_CL_PR]]) / Table1[[#This Row],[PREV_CL_PR]] * 100</f>
        <v>-5.2901499526171927</v>
      </c>
      <c r="M828">
        <f>Table1[[#This Row],[HIGH_PRICE]]-Table1[[#This Row],[LOW_PRICE]]</f>
        <v>10.949999999999989</v>
      </c>
      <c r="N828" t="str">
        <f>IF(Table1[[#This Row],[CLOSE_PRICE]]&gt;Table1[[#This Row],[OPEN_PRICE]],"Gain","Loss")</f>
        <v>Loss</v>
      </c>
      <c r="O828" t="str">
        <f>IF(Table1[[#This Row],[MARKET_CAP]]&gt;200000000000,"Large Cap",
IF(Table1[[#This Row],[MARKET_CAP]]&gt;50000000000,"Mid Cap","Small Cap"))</f>
        <v>Small Cap</v>
      </c>
      <c r="P828" t="str">
        <f>IF(Table1[[#This Row],[NET_TRDQTY]]&gt;1000000,"High Volume","Low Volume")</f>
        <v>Low Volume</v>
      </c>
    </row>
    <row r="829" spans="1:16" x14ac:dyDescent="0.3">
      <c r="A829" t="s">
        <v>1663</v>
      </c>
      <c r="B829" t="s">
        <v>1664</v>
      </c>
      <c r="C829">
        <v>307</v>
      </c>
      <c r="D829">
        <v>308.7</v>
      </c>
      <c r="E829">
        <v>300.45</v>
      </c>
      <c r="F829">
        <v>301.10000000000002</v>
      </c>
      <c r="G829">
        <v>309.45</v>
      </c>
      <c r="H829">
        <v>286510</v>
      </c>
      <c r="I829">
        <v>7568</v>
      </c>
      <c r="J829">
        <v>27940875600</v>
      </c>
      <c r="K829">
        <v>92796000</v>
      </c>
      <c r="L829">
        <f>(Table1[[#This Row],[CLOSE_PRICE]] - Table1[[#This Row],[PREV_CL_PR]]) / Table1[[#This Row],[PREV_CL_PR]] * 100</f>
        <v>-2.6983357569881941</v>
      </c>
      <c r="M829">
        <f>Table1[[#This Row],[HIGH_PRICE]]-Table1[[#This Row],[LOW_PRICE]]</f>
        <v>8.25</v>
      </c>
      <c r="N829" t="str">
        <f>IF(Table1[[#This Row],[CLOSE_PRICE]]&gt;Table1[[#This Row],[OPEN_PRICE]],"Gain","Loss")</f>
        <v>Loss</v>
      </c>
      <c r="O829" t="str">
        <f>IF(Table1[[#This Row],[MARKET_CAP]]&gt;200000000000,"Large Cap",
IF(Table1[[#This Row],[MARKET_CAP]]&gt;50000000000,"Mid Cap","Small Cap"))</f>
        <v>Small Cap</v>
      </c>
      <c r="P829" t="str">
        <f>IF(Table1[[#This Row],[NET_TRDQTY]]&gt;1000000,"High Volume","Low Volume")</f>
        <v>Low Volume</v>
      </c>
    </row>
    <row r="830" spans="1:16" x14ac:dyDescent="0.3">
      <c r="A830" t="s">
        <v>1665</v>
      </c>
      <c r="B830" t="s">
        <v>1666</v>
      </c>
      <c r="C830">
        <v>5191</v>
      </c>
      <c r="D830">
        <v>5200</v>
      </c>
      <c r="E830">
        <v>5051</v>
      </c>
      <c r="F830">
        <v>5065</v>
      </c>
      <c r="G830">
        <v>5275.5</v>
      </c>
      <c r="H830">
        <v>340775</v>
      </c>
      <c r="I830">
        <v>41370</v>
      </c>
      <c r="J830">
        <v>1010000000000</v>
      </c>
      <c r="K830">
        <v>200081612</v>
      </c>
      <c r="L830">
        <f>(Table1[[#This Row],[CLOSE_PRICE]] - Table1[[#This Row],[PREV_CL_PR]]) / Table1[[#This Row],[PREV_CL_PR]] * 100</f>
        <v>-3.9901431143967394</v>
      </c>
      <c r="M830">
        <f>Table1[[#This Row],[HIGH_PRICE]]-Table1[[#This Row],[LOW_PRICE]]</f>
        <v>149</v>
      </c>
      <c r="N830" t="str">
        <f>IF(Table1[[#This Row],[CLOSE_PRICE]]&gt;Table1[[#This Row],[OPEN_PRICE]],"Gain","Loss")</f>
        <v>Loss</v>
      </c>
      <c r="O830" t="str">
        <f>IF(Table1[[#This Row],[MARKET_CAP]]&gt;200000000000,"Large Cap",
IF(Table1[[#This Row],[MARKET_CAP]]&gt;50000000000,"Mid Cap","Small Cap"))</f>
        <v>Large Cap</v>
      </c>
      <c r="P830" t="str">
        <f>IF(Table1[[#This Row],[NET_TRDQTY]]&gt;1000000,"High Volume","Low Volume")</f>
        <v>Low Volume</v>
      </c>
    </row>
    <row r="831" spans="1:16" x14ac:dyDescent="0.3">
      <c r="A831" t="s">
        <v>1667</v>
      </c>
      <c r="B831" t="s">
        <v>1668</v>
      </c>
      <c r="C831">
        <v>1395</v>
      </c>
      <c r="D831">
        <v>1395</v>
      </c>
      <c r="E831">
        <v>1336.1</v>
      </c>
      <c r="F831">
        <v>1347.9</v>
      </c>
      <c r="G831">
        <v>1395</v>
      </c>
      <c r="H831">
        <v>6970</v>
      </c>
      <c r="I831">
        <v>704</v>
      </c>
      <c r="J831">
        <v>11466403334</v>
      </c>
      <c r="K831">
        <v>8506865</v>
      </c>
      <c r="L831">
        <f>(Table1[[#This Row],[CLOSE_PRICE]] - Table1[[#This Row],[PREV_CL_PR]]) / Table1[[#This Row],[PREV_CL_PR]] * 100</f>
        <v>-3.3763440860214988</v>
      </c>
      <c r="M831">
        <f>Table1[[#This Row],[HIGH_PRICE]]-Table1[[#This Row],[LOW_PRICE]]</f>
        <v>58.900000000000091</v>
      </c>
      <c r="N831" t="str">
        <f>IF(Table1[[#This Row],[CLOSE_PRICE]]&gt;Table1[[#This Row],[OPEN_PRICE]],"Gain","Loss")</f>
        <v>Loss</v>
      </c>
      <c r="O831" t="str">
        <f>IF(Table1[[#This Row],[MARKET_CAP]]&gt;200000000000,"Large Cap",
IF(Table1[[#This Row],[MARKET_CAP]]&gt;50000000000,"Mid Cap","Small Cap"))</f>
        <v>Small Cap</v>
      </c>
      <c r="P831" t="str">
        <f>IF(Table1[[#This Row],[NET_TRDQTY]]&gt;1000000,"High Volume","Low Volume")</f>
        <v>Low Volume</v>
      </c>
    </row>
    <row r="832" spans="1:16" x14ac:dyDescent="0.3">
      <c r="A832" t="s">
        <v>1669</v>
      </c>
      <c r="B832" t="s">
        <v>1670</v>
      </c>
      <c r="C832">
        <v>164</v>
      </c>
      <c r="D832">
        <v>164</v>
      </c>
      <c r="E832">
        <v>158</v>
      </c>
      <c r="F832">
        <v>158.26</v>
      </c>
      <c r="G832">
        <v>159.66</v>
      </c>
      <c r="H832">
        <v>13736</v>
      </c>
      <c r="I832">
        <v>155</v>
      </c>
      <c r="J832">
        <v>8743026855</v>
      </c>
      <c r="K832">
        <v>55244704</v>
      </c>
      <c r="L832">
        <f>(Table1[[#This Row],[CLOSE_PRICE]] - Table1[[#This Row],[PREV_CL_PR]]) / Table1[[#This Row],[PREV_CL_PR]] * 100</f>
        <v>-0.87686333458599874</v>
      </c>
      <c r="M832">
        <f>Table1[[#This Row],[HIGH_PRICE]]-Table1[[#This Row],[LOW_PRICE]]</f>
        <v>6</v>
      </c>
      <c r="N832" t="str">
        <f>IF(Table1[[#This Row],[CLOSE_PRICE]]&gt;Table1[[#This Row],[OPEN_PRICE]],"Gain","Loss")</f>
        <v>Loss</v>
      </c>
      <c r="O832" t="str">
        <f>IF(Table1[[#This Row],[MARKET_CAP]]&gt;200000000000,"Large Cap",
IF(Table1[[#This Row],[MARKET_CAP]]&gt;50000000000,"Mid Cap","Small Cap"))</f>
        <v>Small Cap</v>
      </c>
      <c r="P832" t="str">
        <f>IF(Table1[[#This Row],[NET_TRDQTY]]&gt;1000000,"High Volume","Low Volume")</f>
        <v>Low Volume</v>
      </c>
    </row>
    <row r="833" spans="1:16" x14ac:dyDescent="0.3">
      <c r="A833" t="s">
        <v>1671</v>
      </c>
      <c r="B833" t="s">
        <v>1672</v>
      </c>
      <c r="C833">
        <v>430.1</v>
      </c>
      <c r="D833">
        <v>445.85</v>
      </c>
      <c r="E833">
        <v>421.25</v>
      </c>
      <c r="F833">
        <v>436</v>
      </c>
      <c r="G833">
        <v>439.45</v>
      </c>
      <c r="H833">
        <v>1623018</v>
      </c>
      <c r="I833">
        <v>70974</v>
      </c>
      <c r="J833">
        <v>266000000000</v>
      </c>
      <c r="K833">
        <v>611015992</v>
      </c>
      <c r="L833">
        <f>(Table1[[#This Row],[CLOSE_PRICE]] - Table1[[#This Row],[PREV_CL_PR]]) / Table1[[#This Row],[PREV_CL_PR]] * 100</f>
        <v>-0.78507224940265985</v>
      </c>
      <c r="M833">
        <f>Table1[[#This Row],[HIGH_PRICE]]-Table1[[#This Row],[LOW_PRICE]]</f>
        <v>24.600000000000023</v>
      </c>
      <c r="N833" t="str">
        <f>IF(Table1[[#This Row],[CLOSE_PRICE]]&gt;Table1[[#This Row],[OPEN_PRICE]],"Gain","Loss")</f>
        <v>Gain</v>
      </c>
      <c r="O833" t="str">
        <f>IF(Table1[[#This Row],[MARKET_CAP]]&gt;200000000000,"Large Cap",
IF(Table1[[#This Row],[MARKET_CAP]]&gt;50000000000,"Mid Cap","Small Cap"))</f>
        <v>Large Cap</v>
      </c>
      <c r="P833" t="str">
        <f>IF(Table1[[#This Row],[NET_TRDQTY]]&gt;1000000,"High Volume","Low Volume")</f>
        <v>High Volume</v>
      </c>
    </row>
    <row r="834" spans="1:16" x14ac:dyDescent="0.3">
      <c r="A834" t="s">
        <v>1673</v>
      </c>
      <c r="B834" t="s">
        <v>1674</v>
      </c>
      <c r="C834">
        <v>70</v>
      </c>
      <c r="D834">
        <v>70</v>
      </c>
      <c r="E834">
        <v>66.2</v>
      </c>
      <c r="F834">
        <v>66.489999999999995</v>
      </c>
      <c r="G834">
        <v>71.16</v>
      </c>
      <c r="H834">
        <v>16207486</v>
      </c>
      <c r="I834">
        <v>46673</v>
      </c>
      <c r="J834">
        <v>102000000000</v>
      </c>
      <c r="K834">
        <v>1530602463</v>
      </c>
      <c r="L834">
        <f>(Table1[[#This Row],[CLOSE_PRICE]] - Table1[[#This Row],[PREV_CL_PR]]) / Table1[[#This Row],[PREV_CL_PR]] * 100</f>
        <v>-6.5626756604834204</v>
      </c>
      <c r="M834">
        <f>Table1[[#This Row],[HIGH_PRICE]]-Table1[[#This Row],[LOW_PRICE]]</f>
        <v>3.7999999999999972</v>
      </c>
      <c r="N834" t="str">
        <f>IF(Table1[[#This Row],[CLOSE_PRICE]]&gt;Table1[[#This Row],[OPEN_PRICE]],"Gain","Loss")</f>
        <v>Loss</v>
      </c>
      <c r="O834" t="str">
        <f>IF(Table1[[#This Row],[MARKET_CAP]]&gt;200000000000,"Large Cap",
IF(Table1[[#This Row],[MARKET_CAP]]&gt;50000000000,"Mid Cap","Small Cap"))</f>
        <v>Mid Cap</v>
      </c>
      <c r="P834" t="str">
        <f>IF(Table1[[#This Row],[NET_TRDQTY]]&gt;1000000,"High Volume","Low Volume")</f>
        <v>High Volume</v>
      </c>
    </row>
    <row r="835" spans="1:16" x14ac:dyDescent="0.3">
      <c r="A835" t="s">
        <v>1675</v>
      </c>
      <c r="B835" t="s">
        <v>1676</v>
      </c>
      <c r="C835">
        <v>480</v>
      </c>
      <c r="D835">
        <v>482.5</v>
      </c>
      <c r="E835">
        <v>458</v>
      </c>
      <c r="F835">
        <v>467.6</v>
      </c>
      <c r="G835">
        <v>489.9</v>
      </c>
      <c r="H835">
        <v>255592</v>
      </c>
      <c r="I835">
        <v>10551</v>
      </c>
      <c r="J835">
        <v>30474011504</v>
      </c>
      <c r="K835">
        <v>65171111</v>
      </c>
      <c r="L835">
        <f>(Table1[[#This Row],[CLOSE_PRICE]] - Table1[[#This Row],[PREV_CL_PR]]) / Table1[[#This Row],[PREV_CL_PR]] * 100</f>
        <v>-4.5519493774239548</v>
      </c>
      <c r="M835">
        <f>Table1[[#This Row],[HIGH_PRICE]]-Table1[[#This Row],[LOW_PRICE]]</f>
        <v>24.5</v>
      </c>
      <c r="N835" t="str">
        <f>IF(Table1[[#This Row],[CLOSE_PRICE]]&gt;Table1[[#This Row],[OPEN_PRICE]],"Gain","Loss")</f>
        <v>Loss</v>
      </c>
      <c r="O835" t="str">
        <f>IF(Table1[[#This Row],[MARKET_CAP]]&gt;200000000000,"Large Cap",
IF(Table1[[#This Row],[MARKET_CAP]]&gt;50000000000,"Mid Cap","Small Cap"))</f>
        <v>Small Cap</v>
      </c>
      <c r="P835" t="str">
        <f>IF(Table1[[#This Row],[NET_TRDQTY]]&gt;1000000,"High Volume","Low Volume")</f>
        <v>Low Volume</v>
      </c>
    </row>
    <row r="836" spans="1:16" x14ac:dyDescent="0.3">
      <c r="A836" t="s">
        <v>1677</v>
      </c>
      <c r="B836" t="s">
        <v>1678</v>
      </c>
      <c r="C836">
        <v>49.9</v>
      </c>
      <c r="D836">
        <v>53.85</v>
      </c>
      <c r="E836">
        <v>46.11</v>
      </c>
      <c r="F836">
        <v>53.85</v>
      </c>
      <c r="G836">
        <v>44.88</v>
      </c>
      <c r="H836">
        <v>49065</v>
      </c>
      <c r="I836">
        <v>401</v>
      </c>
      <c r="J836">
        <v>678239242.20000005</v>
      </c>
      <c r="K836">
        <v>12594972</v>
      </c>
      <c r="L836">
        <f>(Table1[[#This Row],[CLOSE_PRICE]] - Table1[[#This Row],[PREV_CL_PR]]) / Table1[[#This Row],[PREV_CL_PR]] * 100</f>
        <v>19.986631016042779</v>
      </c>
      <c r="M836">
        <f>Table1[[#This Row],[HIGH_PRICE]]-Table1[[#This Row],[LOW_PRICE]]</f>
        <v>7.740000000000002</v>
      </c>
      <c r="N836" t="str">
        <f>IF(Table1[[#This Row],[CLOSE_PRICE]]&gt;Table1[[#This Row],[OPEN_PRICE]],"Gain","Loss")</f>
        <v>Gain</v>
      </c>
      <c r="O836" t="str">
        <f>IF(Table1[[#This Row],[MARKET_CAP]]&gt;200000000000,"Large Cap",
IF(Table1[[#This Row],[MARKET_CAP]]&gt;50000000000,"Mid Cap","Small Cap"))</f>
        <v>Small Cap</v>
      </c>
      <c r="P836" t="str">
        <f>IF(Table1[[#This Row],[NET_TRDQTY]]&gt;1000000,"High Volume","Low Volume")</f>
        <v>Low Volume</v>
      </c>
    </row>
    <row r="837" spans="1:16" x14ac:dyDescent="0.3">
      <c r="A837" t="s">
        <v>1679</v>
      </c>
      <c r="B837" t="s">
        <v>1680</v>
      </c>
      <c r="C837">
        <v>355.05</v>
      </c>
      <c r="D837">
        <v>356.8</v>
      </c>
      <c r="E837">
        <v>351</v>
      </c>
      <c r="F837">
        <v>354.05</v>
      </c>
      <c r="G837">
        <v>362.25</v>
      </c>
      <c r="H837">
        <v>51023</v>
      </c>
      <c r="I837">
        <v>1200</v>
      </c>
      <c r="J837">
        <v>16470506904</v>
      </c>
      <c r="K837">
        <v>46520285</v>
      </c>
      <c r="L837">
        <f>(Table1[[#This Row],[CLOSE_PRICE]] - Table1[[#This Row],[PREV_CL_PR]]) / Table1[[#This Row],[PREV_CL_PR]] * 100</f>
        <v>-2.2636300897170432</v>
      </c>
      <c r="M837">
        <f>Table1[[#This Row],[HIGH_PRICE]]-Table1[[#This Row],[LOW_PRICE]]</f>
        <v>5.8000000000000114</v>
      </c>
      <c r="N837" t="str">
        <f>IF(Table1[[#This Row],[CLOSE_PRICE]]&gt;Table1[[#This Row],[OPEN_PRICE]],"Gain","Loss")</f>
        <v>Loss</v>
      </c>
      <c r="O837" t="str">
        <f>IF(Table1[[#This Row],[MARKET_CAP]]&gt;200000000000,"Large Cap",
IF(Table1[[#This Row],[MARKET_CAP]]&gt;50000000000,"Mid Cap","Small Cap"))</f>
        <v>Small Cap</v>
      </c>
      <c r="P837" t="str">
        <f>IF(Table1[[#This Row],[NET_TRDQTY]]&gt;1000000,"High Volume","Low Volume")</f>
        <v>Low Volume</v>
      </c>
    </row>
    <row r="838" spans="1:16" x14ac:dyDescent="0.3">
      <c r="A838" t="s">
        <v>1681</v>
      </c>
      <c r="B838" t="s">
        <v>1682</v>
      </c>
      <c r="C838">
        <v>165.78</v>
      </c>
      <c r="D838">
        <v>165.86</v>
      </c>
      <c r="E838">
        <v>155.01</v>
      </c>
      <c r="F838">
        <v>156.53</v>
      </c>
      <c r="G838">
        <v>168.48</v>
      </c>
      <c r="H838">
        <v>558618</v>
      </c>
      <c r="I838">
        <v>8902</v>
      </c>
      <c r="J838">
        <v>19300266398</v>
      </c>
      <c r="K838">
        <v>123300750</v>
      </c>
      <c r="L838">
        <f>(Table1[[#This Row],[CLOSE_PRICE]] - Table1[[#This Row],[PREV_CL_PR]]) / Table1[[#This Row],[PREV_CL_PR]] * 100</f>
        <v>-7.0928300094966703</v>
      </c>
      <c r="M838">
        <f>Table1[[#This Row],[HIGH_PRICE]]-Table1[[#This Row],[LOW_PRICE]]</f>
        <v>10.850000000000023</v>
      </c>
      <c r="N838" t="str">
        <f>IF(Table1[[#This Row],[CLOSE_PRICE]]&gt;Table1[[#This Row],[OPEN_PRICE]],"Gain","Loss")</f>
        <v>Loss</v>
      </c>
      <c r="O838" t="str">
        <f>IF(Table1[[#This Row],[MARKET_CAP]]&gt;200000000000,"Large Cap",
IF(Table1[[#This Row],[MARKET_CAP]]&gt;50000000000,"Mid Cap","Small Cap"))</f>
        <v>Small Cap</v>
      </c>
      <c r="P838" t="str">
        <f>IF(Table1[[#This Row],[NET_TRDQTY]]&gt;1000000,"High Volume","Low Volume")</f>
        <v>Low Volume</v>
      </c>
    </row>
    <row r="839" spans="1:16" x14ac:dyDescent="0.3">
      <c r="A839" t="s">
        <v>1683</v>
      </c>
      <c r="B839" t="s">
        <v>1684</v>
      </c>
      <c r="C839">
        <v>48.83</v>
      </c>
      <c r="D839">
        <v>48.83</v>
      </c>
      <c r="E839">
        <v>45.75</v>
      </c>
      <c r="F839">
        <v>46</v>
      </c>
      <c r="G839">
        <v>48.21</v>
      </c>
      <c r="H839">
        <v>189724</v>
      </c>
      <c r="I839">
        <v>1928</v>
      </c>
      <c r="J839">
        <v>3299149072</v>
      </c>
      <c r="K839">
        <v>71720632</v>
      </c>
      <c r="L839">
        <f>(Table1[[#This Row],[CLOSE_PRICE]] - Table1[[#This Row],[PREV_CL_PR]]) / Table1[[#This Row],[PREV_CL_PR]] * 100</f>
        <v>-4.5841111802530614</v>
      </c>
      <c r="M839">
        <f>Table1[[#This Row],[HIGH_PRICE]]-Table1[[#This Row],[LOW_PRICE]]</f>
        <v>3.0799999999999983</v>
      </c>
      <c r="N839" t="str">
        <f>IF(Table1[[#This Row],[CLOSE_PRICE]]&gt;Table1[[#This Row],[OPEN_PRICE]],"Gain","Loss")</f>
        <v>Loss</v>
      </c>
      <c r="O839" t="str">
        <f>IF(Table1[[#This Row],[MARKET_CAP]]&gt;200000000000,"Large Cap",
IF(Table1[[#This Row],[MARKET_CAP]]&gt;50000000000,"Mid Cap","Small Cap"))</f>
        <v>Small Cap</v>
      </c>
      <c r="P839" t="str">
        <f>IF(Table1[[#This Row],[NET_TRDQTY]]&gt;1000000,"High Volume","Low Volume")</f>
        <v>Low Volume</v>
      </c>
    </row>
    <row r="840" spans="1:16" x14ac:dyDescent="0.3">
      <c r="A840" t="s">
        <v>1685</v>
      </c>
      <c r="B840" t="s">
        <v>1686</v>
      </c>
      <c r="C840">
        <v>15.12</v>
      </c>
      <c r="D840">
        <v>15.96</v>
      </c>
      <c r="E840">
        <v>14</v>
      </c>
      <c r="F840">
        <v>14.52</v>
      </c>
      <c r="G840">
        <v>15.64</v>
      </c>
      <c r="H840">
        <v>220081</v>
      </c>
      <c r="I840">
        <v>1073</v>
      </c>
      <c r="J840">
        <v>747294335.10000002</v>
      </c>
      <c r="K840">
        <v>51466552</v>
      </c>
      <c r="L840">
        <f>(Table1[[#This Row],[CLOSE_PRICE]] - Table1[[#This Row],[PREV_CL_PR]]) / Table1[[#This Row],[PREV_CL_PR]] * 100</f>
        <v>-7.1611253196931015</v>
      </c>
      <c r="M840">
        <f>Table1[[#This Row],[HIGH_PRICE]]-Table1[[#This Row],[LOW_PRICE]]</f>
        <v>1.9600000000000009</v>
      </c>
      <c r="N840" t="str">
        <f>IF(Table1[[#This Row],[CLOSE_PRICE]]&gt;Table1[[#This Row],[OPEN_PRICE]],"Gain","Loss")</f>
        <v>Loss</v>
      </c>
      <c r="O840" t="str">
        <f>IF(Table1[[#This Row],[MARKET_CAP]]&gt;200000000000,"Large Cap",
IF(Table1[[#This Row],[MARKET_CAP]]&gt;50000000000,"Mid Cap","Small Cap"))</f>
        <v>Small Cap</v>
      </c>
      <c r="P840" t="str">
        <f>IF(Table1[[#This Row],[NET_TRDQTY]]&gt;1000000,"High Volume","Low Volume")</f>
        <v>Low Volume</v>
      </c>
    </row>
    <row r="841" spans="1:16" x14ac:dyDescent="0.3">
      <c r="A841" t="s">
        <v>1687</v>
      </c>
      <c r="B841" t="s">
        <v>1688</v>
      </c>
      <c r="C841">
        <v>77.989999999999995</v>
      </c>
      <c r="D841">
        <v>77.989999999999995</v>
      </c>
      <c r="E841">
        <v>73.010000000000005</v>
      </c>
      <c r="F841">
        <v>73.25</v>
      </c>
      <c r="G841">
        <v>79.319999999999993</v>
      </c>
      <c r="H841">
        <v>857622</v>
      </c>
      <c r="I841">
        <v>7661</v>
      </c>
      <c r="J841">
        <v>9210622669</v>
      </c>
      <c r="K841">
        <v>125742289</v>
      </c>
      <c r="L841">
        <f>(Table1[[#This Row],[CLOSE_PRICE]] - Table1[[#This Row],[PREV_CL_PR]]) / Table1[[#This Row],[PREV_CL_PR]] * 100</f>
        <v>-7.6525466464952006</v>
      </c>
      <c r="M841">
        <f>Table1[[#This Row],[HIGH_PRICE]]-Table1[[#This Row],[LOW_PRICE]]</f>
        <v>4.9799999999999898</v>
      </c>
      <c r="N841" t="str">
        <f>IF(Table1[[#This Row],[CLOSE_PRICE]]&gt;Table1[[#This Row],[OPEN_PRICE]],"Gain","Loss")</f>
        <v>Loss</v>
      </c>
      <c r="O841" t="str">
        <f>IF(Table1[[#This Row],[MARKET_CAP]]&gt;200000000000,"Large Cap",
IF(Table1[[#This Row],[MARKET_CAP]]&gt;50000000000,"Mid Cap","Small Cap"))</f>
        <v>Small Cap</v>
      </c>
      <c r="P841" t="str">
        <f>IF(Table1[[#This Row],[NET_TRDQTY]]&gt;1000000,"High Volume","Low Volume")</f>
        <v>Low Volume</v>
      </c>
    </row>
    <row r="842" spans="1:16" x14ac:dyDescent="0.3">
      <c r="A842" t="s">
        <v>1689</v>
      </c>
      <c r="B842" t="s">
        <v>1690</v>
      </c>
      <c r="C842">
        <v>388</v>
      </c>
      <c r="D842">
        <v>388.05</v>
      </c>
      <c r="E842">
        <v>376</v>
      </c>
      <c r="F842">
        <v>380.35</v>
      </c>
      <c r="G842">
        <v>394.6</v>
      </c>
      <c r="H842">
        <v>8674</v>
      </c>
      <c r="I842">
        <v>212</v>
      </c>
      <c r="J842">
        <v>5617389150</v>
      </c>
      <c r="K842">
        <v>14769000</v>
      </c>
      <c r="L842">
        <f>(Table1[[#This Row],[CLOSE_PRICE]] - Table1[[#This Row],[PREV_CL_PR]]) / Table1[[#This Row],[PREV_CL_PR]] * 100</f>
        <v>-3.6112519006588948</v>
      </c>
      <c r="M842">
        <f>Table1[[#This Row],[HIGH_PRICE]]-Table1[[#This Row],[LOW_PRICE]]</f>
        <v>12.050000000000011</v>
      </c>
      <c r="N842" t="str">
        <f>IF(Table1[[#This Row],[CLOSE_PRICE]]&gt;Table1[[#This Row],[OPEN_PRICE]],"Gain","Loss")</f>
        <v>Loss</v>
      </c>
      <c r="O842" t="str">
        <f>IF(Table1[[#This Row],[MARKET_CAP]]&gt;200000000000,"Large Cap",
IF(Table1[[#This Row],[MARKET_CAP]]&gt;50000000000,"Mid Cap","Small Cap"))</f>
        <v>Small Cap</v>
      </c>
      <c r="P842" t="str">
        <f>IF(Table1[[#This Row],[NET_TRDQTY]]&gt;1000000,"High Volume","Low Volume")</f>
        <v>Low Volume</v>
      </c>
    </row>
    <row r="843" spans="1:16" x14ac:dyDescent="0.3">
      <c r="A843" t="s">
        <v>1691</v>
      </c>
      <c r="B843" t="s">
        <v>1692</v>
      </c>
      <c r="C843">
        <v>18.29</v>
      </c>
      <c r="D843">
        <v>18.29</v>
      </c>
      <c r="E843">
        <v>17.21</v>
      </c>
      <c r="F843">
        <v>17.46</v>
      </c>
      <c r="G843">
        <v>18.29</v>
      </c>
      <c r="H843">
        <v>63216</v>
      </c>
      <c r="I843">
        <v>365</v>
      </c>
      <c r="J843">
        <v>893788312.5</v>
      </c>
      <c r="K843">
        <v>51190625</v>
      </c>
      <c r="L843">
        <f>(Table1[[#This Row],[CLOSE_PRICE]] - Table1[[#This Row],[PREV_CL_PR]]) / Table1[[#This Row],[PREV_CL_PR]] * 100</f>
        <v>-4.537998906506278</v>
      </c>
      <c r="M843">
        <f>Table1[[#This Row],[HIGH_PRICE]]-Table1[[#This Row],[LOW_PRICE]]</f>
        <v>1.0799999999999983</v>
      </c>
      <c r="N843" t="str">
        <f>IF(Table1[[#This Row],[CLOSE_PRICE]]&gt;Table1[[#This Row],[OPEN_PRICE]],"Gain","Loss")</f>
        <v>Loss</v>
      </c>
      <c r="O843" t="str">
        <f>IF(Table1[[#This Row],[MARKET_CAP]]&gt;200000000000,"Large Cap",
IF(Table1[[#This Row],[MARKET_CAP]]&gt;50000000000,"Mid Cap","Small Cap"))</f>
        <v>Small Cap</v>
      </c>
      <c r="P843" t="str">
        <f>IF(Table1[[#This Row],[NET_TRDQTY]]&gt;1000000,"High Volume","Low Volume")</f>
        <v>Low Volume</v>
      </c>
    </row>
    <row r="844" spans="1:16" x14ac:dyDescent="0.3">
      <c r="A844" t="s">
        <v>1693</v>
      </c>
      <c r="B844" t="s">
        <v>1694</v>
      </c>
      <c r="C844">
        <v>475</v>
      </c>
      <c r="D844">
        <v>475.95</v>
      </c>
      <c r="E844">
        <v>445.7</v>
      </c>
      <c r="F844">
        <v>449.15</v>
      </c>
      <c r="G844">
        <v>489.45</v>
      </c>
      <c r="H844">
        <v>14250496</v>
      </c>
      <c r="I844">
        <v>185265</v>
      </c>
      <c r="J844">
        <v>434000000000</v>
      </c>
      <c r="K844">
        <v>967024020</v>
      </c>
      <c r="L844">
        <f>(Table1[[#This Row],[CLOSE_PRICE]] - Table1[[#This Row],[PREV_CL_PR]]) / Table1[[#This Row],[PREV_CL_PR]] * 100</f>
        <v>-8.2337317397078369</v>
      </c>
      <c r="M844">
        <f>Table1[[#This Row],[HIGH_PRICE]]-Table1[[#This Row],[LOW_PRICE]]</f>
        <v>30.25</v>
      </c>
      <c r="N844" t="str">
        <f>IF(Table1[[#This Row],[CLOSE_PRICE]]&gt;Table1[[#This Row],[OPEN_PRICE]],"Gain","Loss")</f>
        <v>Loss</v>
      </c>
      <c r="O844" t="str">
        <f>IF(Table1[[#This Row],[MARKET_CAP]]&gt;200000000000,"Large Cap",
IF(Table1[[#This Row],[MARKET_CAP]]&gt;50000000000,"Mid Cap","Small Cap"))</f>
        <v>Large Cap</v>
      </c>
      <c r="P844" t="str">
        <f>IF(Table1[[#This Row],[NET_TRDQTY]]&gt;1000000,"High Volume","Low Volume")</f>
        <v>High Volume</v>
      </c>
    </row>
    <row r="845" spans="1:16" x14ac:dyDescent="0.3">
      <c r="A845" t="s">
        <v>1695</v>
      </c>
      <c r="B845" t="s">
        <v>1696</v>
      </c>
      <c r="C845">
        <v>128.43</v>
      </c>
      <c r="D845">
        <v>128.43</v>
      </c>
      <c r="E845">
        <v>120.1</v>
      </c>
      <c r="F845">
        <v>122.26</v>
      </c>
      <c r="G845">
        <v>128.43</v>
      </c>
      <c r="H845">
        <v>1544702</v>
      </c>
      <c r="I845">
        <v>11240</v>
      </c>
      <c r="J845">
        <v>16174301118</v>
      </c>
      <c r="K845">
        <v>132294300</v>
      </c>
      <c r="L845">
        <f>(Table1[[#This Row],[CLOSE_PRICE]] - Table1[[#This Row],[PREV_CL_PR]]) / Table1[[#This Row],[PREV_CL_PR]] * 100</f>
        <v>-4.804173479716578</v>
      </c>
      <c r="M845">
        <f>Table1[[#This Row],[HIGH_PRICE]]-Table1[[#This Row],[LOW_PRICE]]</f>
        <v>8.3300000000000125</v>
      </c>
      <c r="N845" t="str">
        <f>IF(Table1[[#This Row],[CLOSE_PRICE]]&gt;Table1[[#This Row],[OPEN_PRICE]],"Gain","Loss")</f>
        <v>Loss</v>
      </c>
      <c r="O845" t="str">
        <f>IF(Table1[[#This Row],[MARKET_CAP]]&gt;200000000000,"Large Cap",
IF(Table1[[#This Row],[MARKET_CAP]]&gt;50000000000,"Mid Cap","Small Cap"))</f>
        <v>Small Cap</v>
      </c>
      <c r="P845" t="str">
        <f>IF(Table1[[#This Row],[NET_TRDQTY]]&gt;1000000,"High Volume","Low Volume")</f>
        <v>High Volume</v>
      </c>
    </row>
    <row r="846" spans="1:16" x14ac:dyDescent="0.3">
      <c r="A846" t="s">
        <v>1697</v>
      </c>
      <c r="B846" t="s">
        <v>1698</v>
      </c>
      <c r="C846">
        <v>324</v>
      </c>
      <c r="D846">
        <v>329.65</v>
      </c>
      <c r="E846">
        <v>316.2</v>
      </c>
      <c r="F846">
        <v>319.14999999999998</v>
      </c>
      <c r="G846">
        <v>336.3</v>
      </c>
      <c r="H846">
        <v>13182560</v>
      </c>
      <c r="I846">
        <v>133399</v>
      </c>
      <c r="J846">
        <v>679000000000</v>
      </c>
      <c r="K846">
        <v>2127822518</v>
      </c>
      <c r="L846">
        <f>(Table1[[#This Row],[CLOSE_PRICE]] - Table1[[#This Row],[PREV_CL_PR]]) / Table1[[#This Row],[PREV_CL_PR]] * 100</f>
        <v>-5.0996134403806224</v>
      </c>
      <c r="M846">
        <f>Table1[[#This Row],[HIGH_PRICE]]-Table1[[#This Row],[LOW_PRICE]]</f>
        <v>13.449999999999989</v>
      </c>
      <c r="N846" t="str">
        <f>IF(Table1[[#This Row],[CLOSE_PRICE]]&gt;Table1[[#This Row],[OPEN_PRICE]],"Gain","Loss")</f>
        <v>Loss</v>
      </c>
      <c r="O846" t="str">
        <f>IF(Table1[[#This Row],[MARKET_CAP]]&gt;200000000000,"Large Cap",
IF(Table1[[#This Row],[MARKET_CAP]]&gt;50000000000,"Mid Cap","Small Cap"))</f>
        <v>Large Cap</v>
      </c>
      <c r="P846" t="str">
        <f>IF(Table1[[#This Row],[NET_TRDQTY]]&gt;1000000,"High Volume","Low Volume")</f>
        <v>High Volume</v>
      </c>
    </row>
    <row r="847" spans="1:16" x14ac:dyDescent="0.3">
      <c r="A847" t="s">
        <v>1699</v>
      </c>
      <c r="B847" t="s">
        <v>1700</v>
      </c>
      <c r="C847">
        <v>195.49</v>
      </c>
      <c r="D847">
        <v>196.5</v>
      </c>
      <c r="E847">
        <v>179.4</v>
      </c>
      <c r="F847">
        <v>180.69</v>
      </c>
      <c r="G847">
        <v>197.14</v>
      </c>
      <c r="H847">
        <v>255658</v>
      </c>
      <c r="I847">
        <v>3293</v>
      </c>
      <c r="J847">
        <v>15114060246</v>
      </c>
      <c r="K847">
        <v>83646357</v>
      </c>
      <c r="L847">
        <f>(Table1[[#This Row],[CLOSE_PRICE]] - Table1[[#This Row],[PREV_CL_PR]]) / Table1[[#This Row],[PREV_CL_PR]] * 100</f>
        <v>-8.3443238307801515</v>
      </c>
      <c r="M847">
        <f>Table1[[#This Row],[HIGH_PRICE]]-Table1[[#This Row],[LOW_PRICE]]</f>
        <v>17.099999999999994</v>
      </c>
      <c r="N847" t="str">
        <f>IF(Table1[[#This Row],[CLOSE_PRICE]]&gt;Table1[[#This Row],[OPEN_PRICE]],"Gain","Loss")</f>
        <v>Loss</v>
      </c>
      <c r="O847" t="str">
        <f>IF(Table1[[#This Row],[MARKET_CAP]]&gt;200000000000,"Large Cap",
IF(Table1[[#This Row],[MARKET_CAP]]&gt;50000000000,"Mid Cap","Small Cap"))</f>
        <v>Small Cap</v>
      </c>
      <c r="P847" t="str">
        <f>IF(Table1[[#This Row],[NET_TRDQTY]]&gt;1000000,"High Volume","Low Volume")</f>
        <v>Low Volume</v>
      </c>
    </row>
    <row r="848" spans="1:16" x14ac:dyDescent="0.3">
      <c r="A848" t="s">
        <v>1701</v>
      </c>
      <c r="B848" t="s">
        <v>1702</v>
      </c>
      <c r="C848">
        <v>1495.8</v>
      </c>
      <c r="D848">
        <v>1522.9</v>
      </c>
      <c r="E848">
        <v>1420</v>
      </c>
      <c r="F848">
        <v>1435.3</v>
      </c>
      <c r="G848">
        <v>1488.6</v>
      </c>
      <c r="H848">
        <v>44813</v>
      </c>
      <c r="I848">
        <v>5028</v>
      </c>
      <c r="J848">
        <v>24663918187</v>
      </c>
      <c r="K848">
        <v>17183807</v>
      </c>
      <c r="L848">
        <f>(Table1[[#This Row],[CLOSE_PRICE]] - Table1[[#This Row],[PREV_CL_PR]]) / Table1[[#This Row],[PREV_CL_PR]] * 100</f>
        <v>-3.5805454789735291</v>
      </c>
      <c r="M848">
        <f>Table1[[#This Row],[HIGH_PRICE]]-Table1[[#This Row],[LOW_PRICE]]</f>
        <v>102.90000000000009</v>
      </c>
      <c r="N848" t="str">
        <f>IF(Table1[[#This Row],[CLOSE_PRICE]]&gt;Table1[[#This Row],[OPEN_PRICE]],"Gain","Loss")</f>
        <v>Loss</v>
      </c>
      <c r="O848" t="str">
        <f>IF(Table1[[#This Row],[MARKET_CAP]]&gt;200000000000,"Large Cap",
IF(Table1[[#This Row],[MARKET_CAP]]&gt;50000000000,"Mid Cap","Small Cap"))</f>
        <v>Small Cap</v>
      </c>
      <c r="P848" t="str">
        <f>IF(Table1[[#This Row],[NET_TRDQTY]]&gt;1000000,"High Volume","Low Volume")</f>
        <v>Low Volume</v>
      </c>
    </row>
    <row r="849" spans="1:16" x14ac:dyDescent="0.3">
      <c r="A849" t="s">
        <v>1703</v>
      </c>
      <c r="B849" t="s">
        <v>1704</v>
      </c>
      <c r="C849">
        <v>139.16</v>
      </c>
      <c r="D849">
        <v>139.94</v>
      </c>
      <c r="E849">
        <v>133.21</v>
      </c>
      <c r="F849">
        <v>138</v>
      </c>
      <c r="G849">
        <v>139.16</v>
      </c>
      <c r="H849">
        <v>1402</v>
      </c>
      <c r="I849">
        <v>77</v>
      </c>
      <c r="J849">
        <v>745200000</v>
      </c>
      <c r="K849">
        <v>5400000</v>
      </c>
      <c r="L849">
        <f>(Table1[[#This Row],[CLOSE_PRICE]] - Table1[[#This Row],[PREV_CL_PR]]) / Table1[[#This Row],[PREV_CL_PR]] * 100</f>
        <v>-0.83357286576602241</v>
      </c>
      <c r="M849">
        <f>Table1[[#This Row],[HIGH_PRICE]]-Table1[[#This Row],[LOW_PRICE]]</f>
        <v>6.7299999999999898</v>
      </c>
      <c r="N849" t="str">
        <f>IF(Table1[[#This Row],[CLOSE_PRICE]]&gt;Table1[[#This Row],[OPEN_PRICE]],"Gain","Loss")</f>
        <v>Loss</v>
      </c>
      <c r="O849" t="str">
        <f>IF(Table1[[#This Row],[MARKET_CAP]]&gt;200000000000,"Large Cap",
IF(Table1[[#This Row],[MARKET_CAP]]&gt;50000000000,"Mid Cap","Small Cap"))</f>
        <v>Small Cap</v>
      </c>
      <c r="P849" t="str">
        <f>IF(Table1[[#This Row],[NET_TRDQTY]]&gt;1000000,"High Volume","Low Volume")</f>
        <v>Low Volume</v>
      </c>
    </row>
    <row r="850" spans="1:16" x14ac:dyDescent="0.3">
      <c r="A850" t="s">
        <v>1705</v>
      </c>
      <c r="B850" t="s">
        <v>1706</v>
      </c>
      <c r="C850">
        <v>74.3</v>
      </c>
      <c r="D850">
        <v>74.5</v>
      </c>
      <c r="E850">
        <v>71.5</v>
      </c>
      <c r="F850">
        <v>72.010000000000005</v>
      </c>
      <c r="G850">
        <v>75.540000000000006</v>
      </c>
      <c r="H850">
        <v>1104797</v>
      </c>
      <c r="I850">
        <v>10560</v>
      </c>
      <c r="J850">
        <v>14625787925</v>
      </c>
      <c r="K850">
        <v>203107734</v>
      </c>
      <c r="L850">
        <f>(Table1[[#This Row],[CLOSE_PRICE]] - Table1[[#This Row],[PREV_CL_PR]]) / Table1[[#This Row],[PREV_CL_PR]] * 100</f>
        <v>-4.673020916070957</v>
      </c>
      <c r="M850">
        <f>Table1[[#This Row],[HIGH_PRICE]]-Table1[[#This Row],[LOW_PRICE]]</f>
        <v>3</v>
      </c>
      <c r="N850" t="str">
        <f>IF(Table1[[#This Row],[CLOSE_PRICE]]&gt;Table1[[#This Row],[OPEN_PRICE]],"Gain","Loss")</f>
        <v>Loss</v>
      </c>
      <c r="O850" t="str">
        <f>IF(Table1[[#This Row],[MARKET_CAP]]&gt;200000000000,"Large Cap",
IF(Table1[[#This Row],[MARKET_CAP]]&gt;50000000000,"Mid Cap","Small Cap"))</f>
        <v>Small Cap</v>
      </c>
      <c r="P850" t="str">
        <f>IF(Table1[[#This Row],[NET_TRDQTY]]&gt;1000000,"High Volume","Low Volume")</f>
        <v>High Volume</v>
      </c>
    </row>
    <row r="851" spans="1:16" x14ac:dyDescent="0.3">
      <c r="A851" t="s">
        <v>1707</v>
      </c>
      <c r="B851" t="s">
        <v>1708</v>
      </c>
      <c r="C851">
        <v>144</v>
      </c>
      <c r="D851">
        <v>144</v>
      </c>
      <c r="E851">
        <v>133</v>
      </c>
      <c r="F851">
        <v>135.6</v>
      </c>
      <c r="G851">
        <v>141.16</v>
      </c>
      <c r="H851">
        <v>9474</v>
      </c>
      <c r="I851">
        <v>281</v>
      </c>
      <c r="J851">
        <v>2329024920</v>
      </c>
      <c r="K851">
        <v>17175700</v>
      </c>
      <c r="L851">
        <f>(Table1[[#This Row],[CLOSE_PRICE]] - Table1[[#This Row],[PREV_CL_PR]]) / Table1[[#This Row],[PREV_CL_PR]] * 100</f>
        <v>-3.9387928591669041</v>
      </c>
      <c r="M851">
        <f>Table1[[#This Row],[HIGH_PRICE]]-Table1[[#This Row],[LOW_PRICE]]</f>
        <v>11</v>
      </c>
      <c r="N851" t="str">
        <f>IF(Table1[[#This Row],[CLOSE_PRICE]]&gt;Table1[[#This Row],[OPEN_PRICE]],"Gain","Loss")</f>
        <v>Loss</v>
      </c>
      <c r="O851" t="str">
        <f>IF(Table1[[#This Row],[MARKET_CAP]]&gt;200000000000,"Large Cap",
IF(Table1[[#This Row],[MARKET_CAP]]&gt;50000000000,"Mid Cap","Small Cap"))</f>
        <v>Small Cap</v>
      </c>
      <c r="P851" t="str">
        <f>IF(Table1[[#This Row],[NET_TRDQTY]]&gt;1000000,"High Volume","Low Volume")</f>
        <v>Low Volume</v>
      </c>
    </row>
    <row r="852" spans="1:16" x14ac:dyDescent="0.3">
      <c r="A852" t="s">
        <v>1709</v>
      </c>
      <c r="B852" t="s">
        <v>1710</v>
      </c>
      <c r="C852">
        <v>286.25</v>
      </c>
      <c r="D852">
        <v>286.3</v>
      </c>
      <c r="E852">
        <v>274</v>
      </c>
      <c r="F852">
        <v>277.35000000000002</v>
      </c>
      <c r="G852">
        <v>286.3</v>
      </c>
      <c r="H852">
        <v>110283</v>
      </c>
      <c r="I852">
        <v>4869</v>
      </c>
      <c r="J852">
        <v>19263271862</v>
      </c>
      <c r="K852">
        <v>69454739</v>
      </c>
      <c r="L852">
        <f>(Table1[[#This Row],[CLOSE_PRICE]] - Table1[[#This Row],[PREV_CL_PR]]) / Table1[[#This Row],[PREV_CL_PR]] * 100</f>
        <v>-3.1260915123995767</v>
      </c>
      <c r="M852">
        <f>Table1[[#This Row],[HIGH_PRICE]]-Table1[[#This Row],[LOW_PRICE]]</f>
        <v>12.300000000000011</v>
      </c>
      <c r="N852" t="str">
        <f>IF(Table1[[#This Row],[CLOSE_PRICE]]&gt;Table1[[#This Row],[OPEN_PRICE]],"Gain","Loss")</f>
        <v>Loss</v>
      </c>
      <c r="O852" t="str">
        <f>IF(Table1[[#This Row],[MARKET_CAP]]&gt;200000000000,"Large Cap",
IF(Table1[[#This Row],[MARKET_CAP]]&gt;50000000000,"Mid Cap","Small Cap"))</f>
        <v>Small Cap</v>
      </c>
      <c r="P852" t="str">
        <f>IF(Table1[[#This Row],[NET_TRDQTY]]&gt;1000000,"High Volume","Low Volume")</f>
        <v>Low Volume</v>
      </c>
    </row>
    <row r="853" spans="1:16" x14ac:dyDescent="0.3">
      <c r="A853" t="s">
        <v>1711</v>
      </c>
      <c r="B853" t="s">
        <v>1712</v>
      </c>
      <c r="C853">
        <v>6.94</v>
      </c>
      <c r="D853">
        <v>6.95</v>
      </c>
      <c r="E853">
        <v>6.45</v>
      </c>
      <c r="F853">
        <v>6.6</v>
      </c>
      <c r="G853">
        <v>6.92</v>
      </c>
      <c r="H853">
        <v>806984</v>
      </c>
      <c r="I853">
        <v>2203</v>
      </c>
      <c r="J853">
        <v>4351115333</v>
      </c>
      <c r="K853">
        <v>659259899</v>
      </c>
      <c r="L853">
        <f>(Table1[[#This Row],[CLOSE_PRICE]] - Table1[[#This Row],[PREV_CL_PR]]) / Table1[[#This Row],[PREV_CL_PR]] * 100</f>
        <v>-4.6242774566474028</v>
      </c>
      <c r="M853">
        <f>Table1[[#This Row],[HIGH_PRICE]]-Table1[[#This Row],[LOW_PRICE]]</f>
        <v>0.5</v>
      </c>
      <c r="N853" t="str">
        <f>IF(Table1[[#This Row],[CLOSE_PRICE]]&gt;Table1[[#This Row],[OPEN_PRICE]],"Gain","Loss")</f>
        <v>Loss</v>
      </c>
      <c r="O853" t="str">
        <f>IF(Table1[[#This Row],[MARKET_CAP]]&gt;200000000000,"Large Cap",
IF(Table1[[#This Row],[MARKET_CAP]]&gt;50000000000,"Mid Cap","Small Cap"))</f>
        <v>Small Cap</v>
      </c>
      <c r="P853" t="str">
        <f>IF(Table1[[#This Row],[NET_TRDQTY]]&gt;1000000,"High Volume","Low Volume")</f>
        <v>Low Volume</v>
      </c>
    </row>
    <row r="854" spans="1:16" x14ac:dyDescent="0.3">
      <c r="A854" t="s">
        <v>1713</v>
      </c>
      <c r="B854" t="s">
        <v>1714</v>
      </c>
      <c r="C854">
        <v>23.5</v>
      </c>
      <c r="D854">
        <v>24.29</v>
      </c>
      <c r="E854">
        <v>23.05</v>
      </c>
      <c r="F854">
        <v>23.2</v>
      </c>
      <c r="G854">
        <v>23.96</v>
      </c>
      <c r="H854">
        <v>1627155</v>
      </c>
      <c r="I854">
        <v>1283</v>
      </c>
      <c r="J854">
        <v>11617858664</v>
      </c>
      <c r="K854">
        <v>500769770</v>
      </c>
      <c r="L854">
        <f>(Table1[[#This Row],[CLOSE_PRICE]] - Table1[[#This Row],[PREV_CL_PR]]) / Table1[[#This Row],[PREV_CL_PR]] * 100</f>
        <v>-3.1719532554257164</v>
      </c>
      <c r="M854">
        <f>Table1[[#This Row],[HIGH_PRICE]]-Table1[[#This Row],[LOW_PRICE]]</f>
        <v>1.2399999999999984</v>
      </c>
      <c r="N854" t="str">
        <f>IF(Table1[[#This Row],[CLOSE_PRICE]]&gt;Table1[[#This Row],[OPEN_PRICE]],"Gain","Loss")</f>
        <v>Loss</v>
      </c>
      <c r="O854" t="str">
        <f>IF(Table1[[#This Row],[MARKET_CAP]]&gt;200000000000,"Large Cap",
IF(Table1[[#This Row],[MARKET_CAP]]&gt;50000000000,"Mid Cap","Small Cap"))</f>
        <v>Small Cap</v>
      </c>
      <c r="P854" t="str">
        <f>IF(Table1[[#This Row],[NET_TRDQTY]]&gt;1000000,"High Volume","Low Volume")</f>
        <v>High Volume</v>
      </c>
    </row>
    <row r="855" spans="1:16" x14ac:dyDescent="0.3">
      <c r="A855" t="s">
        <v>1715</v>
      </c>
      <c r="B855" t="s">
        <v>1716</v>
      </c>
      <c r="C855">
        <v>62</v>
      </c>
      <c r="D855">
        <v>63.01</v>
      </c>
      <c r="E855">
        <v>60.5</v>
      </c>
      <c r="F855">
        <v>61.16</v>
      </c>
      <c r="G855">
        <v>63.17</v>
      </c>
      <c r="H855">
        <v>32326</v>
      </c>
      <c r="I855">
        <v>340</v>
      </c>
      <c r="J855">
        <v>4505751876</v>
      </c>
      <c r="K855">
        <v>73671548</v>
      </c>
      <c r="L855">
        <f>(Table1[[#This Row],[CLOSE_PRICE]] - Table1[[#This Row],[PREV_CL_PR]]) / Table1[[#This Row],[PREV_CL_PR]] * 100</f>
        <v>-3.1818901377236108</v>
      </c>
      <c r="M855">
        <f>Table1[[#This Row],[HIGH_PRICE]]-Table1[[#This Row],[LOW_PRICE]]</f>
        <v>2.509999999999998</v>
      </c>
      <c r="N855" t="str">
        <f>IF(Table1[[#This Row],[CLOSE_PRICE]]&gt;Table1[[#This Row],[OPEN_PRICE]],"Gain","Loss")</f>
        <v>Loss</v>
      </c>
      <c r="O855" t="str">
        <f>IF(Table1[[#This Row],[MARKET_CAP]]&gt;200000000000,"Large Cap",
IF(Table1[[#This Row],[MARKET_CAP]]&gt;50000000000,"Mid Cap","Small Cap"))</f>
        <v>Small Cap</v>
      </c>
      <c r="P855" t="str">
        <f>IF(Table1[[#This Row],[NET_TRDQTY]]&gt;1000000,"High Volume","Low Volume")</f>
        <v>Low Volume</v>
      </c>
    </row>
    <row r="856" spans="1:16" x14ac:dyDescent="0.3">
      <c r="A856" t="s">
        <v>1717</v>
      </c>
      <c r="B856" t="s">
        <v>1718</v>
      </c>
      <c r="C856">
        <v>478</v>
      </c>
      <c r="D856">
        <v>478</v>
      </c>
      <c r="E856">
        <v>461.6</v>
      </c>
      <c r="F856">
        <v>467.15</v>
      </c>
      <c r="G856">
        <v>482.15</v>
      </c>
      <c r="H856">
        <v>63177</v>
      </c>
      <c r="I856">
        <v>6384</v>
      </c>
      <c r="J856">
        <v>55815905118</v>
      </c>
      <c r="K856">
        <v>119481762</v>
      </c>
      <c r="L856">
        <f>(Table1[[#This Row],[CLOSE_PRICE]] - Table1[[#This Row],[PREV_CL_PR]]) / Table1[[#This Row],[PREV_CL_PR]] * 100</f>
        <v>-3.1110650212589448</v>
      </c>
      <c r="M856">
        <f>Table1[[#This Row],[HIGH_PRICE]]-Table1[[#This Row],[LOW_PRICE]]</f>
        <v>16.399999999999977</v>
      </c>
      <c r="N856" t="str">
        <f>IF(Table1[[#This Row],[CLOSE_PRICE]]&gt;Table1[[#This Row],[OPEN_PRICE]],"Gain","Loss")</f>
        <v>Loss</v>
      </c>
      <c r="O856" t="str">
        <f>IF(Table1[[#This Row],[MARKET_CAP]]&gt;200000000000,"Large Cap",
IF(Table1[[#This Row],[MARKET_CAP]]&gt;50000000000,"Mid Cap","Small Cap"))</f>
        <v>Mid Cap</v>
      </c>
      <c r="P856" t="str">
        <f>IF(Table1[[#This Row],[NET_TRDQTY]]&gt;1000000,"High Volume","Low Volume")</f>
        <v>Low Volume</v>
      </c>
    </row>
    <row r="857" spans="1:16" x14ac:dyDescent="0.3">
      <c r="A857" t="s">
        <v>1719</v>
      </c>
      <c r="B857" t="s">
        <v>1720</v>
      </c>
      <c r="C857">
        <v>932.1</v>
      </c>
      <c r="D857">
        <v>932.1</v>
      </c>
      <c r="E857">
        <v>894</v>
      </c>
      <c r="F857">
        <v>905.2</v>
      </c>
      <c r="G857">
        <v>936</v>
      </c>
      <c r="H857">
        <v>323864</v>
      </c>
      <c r="I857">
        <v>16884</v>
      </c>
      <c r="J857">
        <v>94071291502</v>
      </c>
      <c r="K857">
        <v>103923212</v>
      </c>
      <c r="L857">
        <f>(Table1[[#This Row],[CLOSE_PRICE]] - Table1[[#This Row],[PREV_CL_PR]]) / Table1[[#This Row],[PREV_CL_PR]] * 100</f>
        <v>-3.290598290598286</v>
      </c>
      <c r="M857">
        <f>Table1[[#This Row],[HIGH_PRICE]]-Table1[[#This Row],[LOW_PRICE]]</f>
        <v>38.100000000000023</v>
      </c>
      <c r="N857" t="str">
        <f>IF(Table1[[#This Row],[CLOSE_PRICE]]&gt;Table1[[#This Row],[OPEN_PRICE]],"Gain","Loss")</f>
        <v>Loss</v>
      </c>
      <c r="O857" t="str">
        <f>IF(Table1[[#This Row],[MARKET_CAP]]&gt;200000000000,"Large Cap",
IF(Table1[[#This Row],[MARKET_CAP]]&gt;50000000000,"Mid Cap","Small Cap"))</f>
        <v>Mid Cap</v>
      </c>
      <c r="P857" t="str">
        <f>IF(Table1[[#This Row],[NET_TRDQTY]]&gt;1000000,"High Volume","Low Volume")</f>
        <v>Low Volume</v>
      </c>
    </row>
    <row r="858" spans="1:16" x14ac:dyDescent="0.3">
      <c r="A858" t="s">
        <v>1721</v>
      </c>
      <c r="B858" t="s">
        <v>1722</v>
      </c>
      <c r="C858">
        <v>285</v>
      </c>
      <c r="D858">
        <v>286.39999999999998</v>
      </c>
      <c r="E858">
        <v>277.75</v>
      </c>
      <c r="F858">
        <v>281.05</v>
      </c>
      <c r="G858">
        <v>289.2</v>
      </c>
      <c r="H858">
        <v>263612</v>
      </c>
      <c r="I858">
        <v>18172</v>
      </c>
      <c r="J858">
        <v>91445180604</v>
      </c>
      <c r="K858">
        <v>325369794</v>
      </c>
      <c r="L858">
        <f>(Table1[[#This Row],[CLOSE_PRICE]] - Table1[[#This Row],[PREV_CL_PR]]) / Table1[[#This Row],[PREV_CL_PR]] * 100</f>
        <v>-2.8181189488243352</v>
      </c>
      <c r="M858">
        <f>Table1[[#This Row],[HIGH_PRICE]]-Table1[[#This Row],[LOW_PRICE]]</f>
        <v>8.6499999999999773</v>
      </c>
      <c r="N858" t="str">
        <f>IF(Table1[[#This Row],[CLOSE_PRICE]]&gt;Table1[[#This Row],[OPEN_PRICE]],"Gain","Loss")</f>
        <v>Loss</v>
      </c>
      <c r="O858" t="str">
        <f>IF(Table1[[#This Row],[MARKET_CAP]]&gt;200000000000,"Large Cap",
IF(Table1[[#This Row],[MARKET_CAP]]&gt;50000000000,"Mid Cap","Small Cap"))</f>
        <v>Mid Cap</v>
      </c>
      <c r="P858" t="str">
        <f>IF(Table1[[#This Row],[NET_TRDQTY]]&gt;1000000,"High Volume","Low Volume")</f>
        <v>Low Volume</v>
      </c>
    </row>
    <row r="859" spans="1:16" x14ac:dyDescent="0.3">
      <c r="A859" t="s">
        <v>1723</v>
      </c>
      <c r="B859" t="s">
        <v>1724</v>
      </c>
      <c r="C859">
        <v>28150</v>
      </c>
      <c r="D859">
        <v>28190</v>
      </c>
      <c r="E859">
        <v>27105</v>
      </c>
      <c r="F859">
        <v>27215</v>
      </c>
      <c r="G859">
        <v>28330</v>
      </c>
      <c r="H859">
        <v>4974</v>
      </c>
      <c r="I859">
        <v>2897</v>
      </c>
      <c r="J859">
        <v>241000000000</v>
      </c>
      <c r="K859">
        <v>8841523</v>
      </c>
      <c r="L859">
        <f>(Table1[[#This Row],[CLOSE_PRICE]] - Table1[[#This Row],[PREV_CL_PR]]) / Table1[[#This Row],[PREV_CL_PR]] * 100</f>
        <v>-3.9357571478997531</v>
      </c>
      <c r="M859">
        <f>Table1[[#This Row],[HIGH_PRICE]]-Table1[[#This Row],[LOW_PRICE]]</f>
        <v>1085</v>
      </c>
      <c r="N859" t="str">
        <f>IF(Table1[[#This Row],[CLOSE_PRICE]]&gt;Table1[[#This Row],[OPEN_PRICE]],"Gain","Loss")</f>
        <v>Loss</v>
      </c>
      <c r="O859" t="str">
        <f>IF(Table1[[#This Row],[MARKET_CAP]]&gt;200000000000,"Large Cap",
IF(Table1[[#This Row],[MARKET_CAP]]&gt;50000000000,"Mid Cap","Small Cap"))</f>
        <v>Large Cap</v>
      </c>
      <c r="P859" t="str">
        <f>IF(Table1[[#This Row],[NET_TRDQTY]]&gt;1000000,"High Volume","Low Volume")</f>
        <v>Low Volume</v>
      </c>
    </row>
    <row r="860" spans="1:16" x14ac:dyDescent="0.3">
      <c r="A860" t="s">
        <v>1725</v>
      </c>
      <c r="B860" t="s">
        <v>1726</v>
      </c>
      <c r="C860">
        <v>2010</v>
      </c>
      <c r="D860">
        <v>2010</v>
      </c>
      <c r="E860">
        <v>1920</v>
      </c>
      <c r="F860">
        <v>1951.7</v>
      </c>
      <c r="G860">
        <v>2021.9</v>
      </c>
      <c r="H860">
        <v>5288</v>
      </c>
      <c r="I860">
        <v>1233</v>
      </c>
      <c r="J860">
        <v>19796231671</v>
      </c>
      <c r="K860">
        <v>10143071</v>
      </c>
      <c r="L860">
        <f>(Table1[[#This Row],[CLOSE_PRICE]] - Table1[[#This Row],[PREV_CL_PR]]) / Table1[[#This Row],[PREV_CL_PR]] * 100</f>
        <v>-3.4719817992976925</v>
      </c>
      <c r="M860">
        <f>Table1[[#This Row],[HIGH_PRICE]]-Table1[[#This Row],[LOW_PRICE]]</f>
        <v>90</v>
      </c>
      <c r="N860" t="str">
        <f>IF(Table1[[#This Row],[CLOSE_PRICE]]&gt;Table1[[#This Row],[OPEN_PRICE]],"Gain","Loss")</f>
        <v>Loss</v>
      </c>
      <c r="O860" t="str">
        <f>IF(Table1[[#This Row],[MARKET_CAP]]&gt;200000000000,"Large Cap",
IF(Table1[[#This Row],[MARKET_CAP]]&gt;50000000000,"Mid Cap","Small Cap"))</f>
        <v>Small Cap</v>
      </c>
      <c r="P860" t="str">
        <f>IF(Table1[[#This Row],[NET_TRDQTY]]&gt;1000000,"High Volume","Low Volume")</f>
        <v>Low Volume</v>
      </c>
    </row>
    <row r="861" spans="1:16" x14ac:dyDescent="0.3">
      <c r="A861" t="s">
        <v>1727</v>
      </c>
      <c r="B861" t="s">
        <v>1728</v>
      </c>
      <c r="C861">
        <v>30.76</v>
      </c>
      <c r="D861">
        <v>32.6</v>
      </c>
      <c r="E861">
        <v>29.25</v>
      </c>
      <c r="F861">
        <v>29.47</v>
      </c>
      <c r="G861">
        <v>30.76</v>
      </c>
      <c r="H861">
        <v>164535</v>
      </c>
      <c r="I861">
        <v>1613</v>
      </c>
      <c r="J861">
        <v>2707548440</v>
      </c>
      <c r="K861">
        <v>91874735</v>
      </c>
      <c r="L861">
        <f>(Table1[[#This Row],[CLOSE_PRICE]] - Table1[[#This Row],[PREV_CL_PR]]) / Table1[[#This Row],[PREV_CL_PR]] * 100</f>
        <v>-4.1937581274382403</v>
      </c>
      <c r="M861">
        <f>Table1[[#This Row],[HIGH_PRICE]]-Table1[[#This Row],[LOW_PRICE]]</f>
        <v>3.3500000000000014</v>
      </c>
      <c r="N861" t="str">
        <f>IF(Table1[[#This Row],[CLOSE_PRICE]]&gt;Table1[[#This Row],[OPEN_PRICE]],"Gain","Loss")</f>
        <v>Loss</v>
      </c>
      <c r="O861" t="str">
        <f>IF(Table1[[#This Row],[MARKET_CAP]]&gt;200000000000,"Large Cap",
IF(Table1[[#This Row],[MARKET_CAP]]&gt;50000000000,"Mid Cap","Small Cap"))</f>
        <v>Small Cap</v>
      </c>
      <c r="P861" t="str">
        <f>IF(Table1[[#This Row],[NET_TRDQTY]]&gt;1000000,"High Volume","Low Volume")</f>
        <v>Low Volume</v>
      </c>
    </row>
    <row r="862" spans="1:16" x14ac:dyDescent="0.3">
      <c r="A862" t="s">
        <v>1729</v>
      </c>
      <c r="B862" t="s">
        <v>1730</v>
      </c>
      <c r="C862">
        <v>113.2</v>
      </c>
      <c r="D862">
        <v>115</v>
      </c>
      <c r="E862">
        <v>108</v>
      </c>
      <c r="F862">
        <v>110.4</v>
      </c>
      <c r="G862">
        <v>113.07</v>
      </c>
      <c r="H862">
        <v>3472</v>
      </c>
      <c r="I862">
        <v>61</v>
      </c>
      <c r="J862">
        <v>1261221744</v>
      </c>
      <c r="K862">
        <v>11424110</v>
      </c>
      <c r="L862">
        <f>(Table1[[#This Row],[CLOSE_PRICE]] - Table1[[#This Row],[PREV_CL_PR]]) / Table1[[#This Row],[PREV_CL_PR]] * 100</f>
        <v>-2.3613690634120346</v>
      </c>
      <c r="M862">
        <f>Table1[[#This Row],[HIGH_PRICE]]-Table1[[#This Row],[LOW_PRICE]]</f>
        <v>7</v>
      </c>
      <c r="N862" t="str">
        <f>IF(Table1[[#This Row],[CLOSE_PRICE]]&gt;Table1[[#This Row],[OPEN_PRICE]],"Gain","Loss")</f>
        <v>Loss</v>
      </c>
      <c r="O862" t="str">
        <f>IF(Table1[[#This Row],[MARKET_CAP]]&gt;200000000000,"Large Cap",
IF(Table1[[#This Row],[MARKET_CAP]]&gt;50000000000,"Mid Cap","Small Cap"))</f>
        <v>Small Cap</v>
      </c>
      <c r="P862" t="str">
        <f>IF(Table1[[#This Row],[NET_TRDQTY]]&gt;1000000,"High Volume","Low Volume")</f>
        <v>Low Volume</v>
      </c>
    </row>
    <row r="863" spans="1:16" x14ac:dyDescent="0.3">
      <c r="A863" t="s">
        <v>1731</v>
      </c>
      <c r="B863" t="s">
        <v>1732</v>
      </c>
      <c r="C863">
        <v>283.5</v>
      </c>
      <c r="D863">
        <v>283.55</v>
      </c>
      <c r="E863">
        <v>265.45</v>
      </c>
      <c r="F863">
        <v>269.14999999999998</v>
      </c>
      <c r="G863">
        <v>283.55</v>
      </c>
      <c r="H863">
        <v>290191</v>
      </c>
      <c r="I863">
        <v>9254</v>
      </c>
      <c r="J863">
        <v>17306475807</v>
      </c>
      <c r="K863">
        <v>64300486</v>
      </c>
      <c r="L863">
        <f>(Table1[[#This Row],[CLOSE_PRICE]] - Table1[[#This Row],[PREV_CL_PR]]) / Table1[[#This Row],[PREV_CL_PR]] * 100</f>
        <v>-5.0784694057485567</v>
      </c>
      <c r="M863">
        <f>Table1[[#This Row],[HIGH_PRICE]]-Table1[[#This Row],[LOW_PRICE]]</f>
        <v>18.100000000000023</v>
      </c>
      <c r="N863" t="str">
        <f>IF(Table1[[#This Row],[CLOSE_PRICE]]&gt;Table1[[#This Row],[OPEN_PRICE]],"Gain","Loss")</f>
        <v>Loss</v>
      </c>
      <c r="O863" t="str">
        <f>IF(Table1[[#This Row],[MARKET_CAP]]&gt;200000000000,"Large Cap",
IF(Table1[[#This Row],[MARKET_CAP]]&gt;50000000000,"Mid Cap","Small Cap"))</f>
        <v>Small Cap</v>
      </c>
      <c r="P863" t="str">
        <f>IF(Table1[[#This Row],[NET_TRDQTY]]&gt;1000000,"High Volume","Low Volume")</f>
        <v>Low Volume</v>
      </c>
    </row>
    <row r="864" spans="1:16" x14ac:dyDescent="0.3">
      <c r="A864" t="s">
        <v>1733</v>
      </c>
      <c r="B864" t="s">
        <v>1734</v>
      </c>
      <c r="C864">
        <v>445</v>
      </c>
      <c r="D864">
        <v>446.2</v>
      </c>
      <c r="E864">
        <v>429.5</v>
      </c>
      <c r="F864">
        <v>438.15</v>
      </c>
      <c r="G864">
        <v>451.4</v>
      </c>
      <c r="H864">
        <v>2277031</v>
      </c>
      <c r="I864">
        <v>27918</v>
      </c>
      <c r="J864">
        <v>221000000000</v>
      </c>
      <c r="K864">
        <v>504494950</v>
      </c>
      <c r="L864">
        <f>(Table1[[#This Row],[CLOSE_PRICE]] - Table1[[#This Row],[PREV_CL_PR]]) / Table1[[#This Row],[PREV_CL_PR]] * 100</f>
        <v>-2.9353123615418699</v>
      </c>
      <c r="M864">
        <f>Table1[[#This Row],[HIGH_PRICE]]-Table1[[#This Row],[LOW_PRICE]]</f>
        <v>16.699999999999989</v>
      </c>
      <c r="N864" t="str">
        <f>IF(Table1[[#This Row],[CLOSE_PRICE]]&gt;Table1[[#This Row],[OPEN_PRICE]],"Gain","Loss")</f>
        <v>Loss</v>
      </c>
      <c r="O864" t="str">
        <f>IF(Table1[[#This Row],[MARKET_CAP]]&gt;200000000000,"Large Cap",
IF(Table1[[#This Row],[MARKET_CAP]]&gt;50000000000,"Mid Cap","Small Cap"))</f>
        <v>Large Cap</v>
      </c>
      <c r="P864" t="str">
        <f>IF(Table1[[#This Row],[NET_TRDQTY]]&gt;1000000,"High Volume","Low Volume")</f>
        <v>High Volume</v>
      </c>
    </row>
    <row r="865" spans="1:16" x14ac:dyDescent="0.3">
      <c r="A865" t="s">
        <v>1735</v>
      </c>
      <c r="B865" t="s">
        <v>1736</v>
      </c>
      <c r="C865">
        <v>20</v>
      </c>
      <c r="D865">
        <v>20.18</v>
      </c>
      <c r="E865">
        <v>19.36</v>
      </c>
      <c r="F865">
        <v>19.62</v>
      </c>
      <c r="G865">
        <v>20.34</v>
      </c>
      <c r="H865">
        <v>273735</v>
      </c>
      <c r="I865">
        <v>545</v>
      </c>
      <c r="J865">
        <v>3583696711</v>
      </c>
      <c r="K865">
        <v>182655286</v>
      </c>
      <c r="L865">
        <f>(Table1[[#This Row],[CLOSE_PRICE]] - Table1[[#This Row],[PREV_CL_PR]]) / Table1[[#This Row],[PREV_CL_PR]] * 100</f>
        <v>-3.5398230088495519</v>
      </c>
      <c r="M865">
        <f>Table1[[#This Row],[HIGH_PRICE]]-Table1[[#This Row],[LOW_PRICE]]</f>
        <v>0.82000000000000028</v>
      </c>
      <c r="N865" t="str">
        <f>IF(Table1[[#This Row],[CLOSE_PRICE]]&gt;Table1[[#This Row],[OPEN_PRICE]],"Gain","Loss")</f>
        <v>Loss</v>
      </c>
      <c r="O865" t="str">
        <f>IF(Table1[[#This Row],[MARKET_CAP]]&gt;200000000000,"Large Cap",
IF(Table1[[#This Row],[MARKET_CAP]]&gt;50000000000,"Mid Cap","Small Cap"))</f>
        <v>Small Cap</v>
      </c>
      <c r="P865" t="str">
        <f>IF(Table1[[#This Row],[NET_TRDQTY]]&gt;1000000,"High Volume","Low Volume")</f>
        <v>Low Volume</v>
      </c>
    </row>
    <row r="866" spans="1:16" x14ac:dyDescent="0.3">
      <c r="A866" t="s">
        <v>1737</v>
      </c>
      <c r="B866" t="s">
        <v>1738</v>
      </c>
      <c r="C866">
        <v>191</v>
      </c>
      <c r="D866">
        <v>194.87</v>
      </c>
      <c r="E866">
        <v>183.46</v>
      </c>
      <c r="F866">
        <v>184.85</v>
      </c>
      <c r="G866">
        <v>198.28</v>
      </c>
      <c r="H866">
        <v>852764</v>
      </c>
      <c r="I866">
        <v>5505</v>
      </c>
      <c r="J866">
        <v>26267306446</v>
      </c>
      <c r="K866">
        <v>142100657</v>
      </c>
      <c r="L866">
        <f>(Table1[[#This Row],[CLOSE_PRICE]] - Table1[[#This Row],[PREV_CL_PR]]) / Table1[[#This Row],[PREV_CL_PR]] * 100</f>
        <v>-6.7732499495662735</v>
      </c>
      <c r="M866">
        <f>Table1[[#This Row],[HIGH_PRICE]]-Table1[[#This Row],[LOW_PRICE]]</f>
        <v>11.409999999999997</v>
      </c>
      <c r="N866" t="str">
        <f>IF(Table1[[#This Row],[CLOSE_PRICE]]&gt;Table1[[#This Row],[OPEN_PRICE]],"Gain","Loss")</f>
        <v>Loss</v>
      </c>
      <c r="O866" t="str">
        <f>IF(Table1[[#This Row],[MARKET_CAP]]&gt;200000000000,"Large Cap",
IF(Table1[[#This Row],[MARKET_CAP]]&gt;50000000000,"Mid Cap","Small Cap"))</f>
        <v>Small Cap</v>
      </c>
      <c r="P866" t="str">
        <f>IF(Table1[[#This Row],[NET_TRDQTY]]&gt;1000000,"High Volume","Low Volume")</f>
        <v>Low Volume</v>
      </c>
    </row>
    <row r="867" spans="1:16" x14ac:dyDescent="0.3">
      <c r="A867" t="s">
        <v>1739</v>
      </c>
      <c r="B867" t="s">
        <v>1740</v>
      </c>
      <c r="C867">
        <v>170</v>
      </c>
      <c r="D867">
        <v>170.01</v>
      </c>
      <c r="E867">
        <v>164</v>
      </c>
      <c r="F867">
        <v>165.11</v>
      </c>
      <c r="G867">
        <v>172.48</v>
      </c>
      <c r="H867">
        <v>5959076</v>
      </c>
      <c r="I867">
        <v>38969</v>
      </c>
      <c r="J867">
        <v>331000000000</v>
      </c>
      <c r="K867">
        <v>2001900000</v>
      </c>
      <c r="L867">
        <f>(Table1[[#This Row],[CLOSE_PRICE]] - Table1[[#This Row],[PREV_CL_PR]]) / Table1[[#This Row],[PREV_CL_PR]] * 100</f>
        <v>-4.2729591836734562</v>
      </c>
      <c r="M867">
        <f>Table1[[#This Row],[HIGH_PRICE]]-Table1[[#This Row],[LOW_PRICE]]</f>
        <v>6.0099999999999909</v>
      </c>
      <c r="N867" t="str">
        <f>IF(Table1[[#This Row],[CLOSE_PRICE]]&gt;Table1[[#This Row],[OPEN_PRICE]],"Gain","Loss")</f>
        <v>Loss</v>
      </c>
      <c r="O867" t="str">
        <f>IF(Table1[[#This Row],[MARKET_CAP]]&gt;200000000000,"Large Cap",
IF(Table1[[#This Row],[MARKET_CAP]]&gt;50000000000,"Mid Cap","Small Cap"))</f>
        <v>Large Cap</v>
      </c>
      <c r="P867" t="str">
        <f>IF(Table1[[#This Row],[NET_TRDQTY]]&gt;1000000,"High Volume","Low Volume")</f>
        <v>High Volume</v>
      </c>
    </row>
    <row r="868" spans="1:16" x14ac:dyDescent="0.3">
      <c r="A868" t="s">
        <v>1741</v>
      </c>
      <c r="B868" t="s">
        <v>1742</v>
      </c>
      <c r="C868">
        <v>160.08000000000001</v>
      </c>
      <c r="D868">
        <v>160.49</v>
      </c>
      <c r="E868">
        <v>151.69999999999999</v>
      </c>
      <c r="F868">
        <v>153.6</v>
      </c>
      <c r="G868">
        <v>162.93</v>
      </c>
      <c r="H868">
        <v>211941</v>
      </c>
      <c r="I868">
        <v>3167</v>
      </c>
      <c r="J868">
        <v>11600169062</v>
      </c>
      <c r="K868">
        <v>75521934</v>
      </c>
      <c r="L868">
        <f>(Table1[[#This Row],[CLOSE_PRICE]] - Table1[[#This Row],[PREV_CL_PR]]) / Table1[[#This Row],[PREV_CL_PR]] * 100</f>
        <v>-5.726385564352797</v>
      </c>
      <c r="M868">
        <f>Table1[[#This Row],[HIGH_PRICE]]-Table1[[#This Row],[LOW_PRICE]]</f>
        <v>8.7900000000000205</v>
      </c>
      <c r="N868" t="str">
        <f>IF(Table1[[#This Row],[CLOSE_PRICE]]&gt;Table1[[#This Row],[OPEN_PRICE]],"Gain","Loss")</f>
        <v>Loss</v>
      </c>
      <c r="O868" t="str">
        <f>IF(Table1[[#This Row],[MARKET_CAP]]&gt;200000000000,"Large Cap",
IF(Table1[[#This Row],[MARKET_CAP]]&gt;50000000000,"Mid Cap","Small Cap"))</f>
        <v>Small Cap</v>
      </c>
      <c r="P868" t="str">
        <f>IF(Table1[[#This Row],[NET_TRDQTY]]&gt;1000000,"High Volume","Low Volume")</f>
        <v>Low Volume</v>
      </c>
    </row>
    <row r="869" spans="1:16" x14ac:dyDescent="0.3">
      <c r="A869" t="s">
        <v>1743</v>
      </c>
      <c r="B869" t="s">
        <v>1744</v>
      </c>
      <c r="C869">
        <v>16.7</v>
      </c>
      <c r="D869">
        <v>17.2</v>
      </c>
      <c r="E869">
        <v>15.16</v>
      </c>
      <c r="F869">
        <v>16.21</v>
      </c>
      <c r="G869">
        <v>16.7</v>
      </c>
      <c r="H869">
        <v>8480</v>
      </c>
      <c r="I869">
        <v>97</v>
      </c>
      <c r="J869">
        <v>477162017.80000001</v>
      </c>
      <c r="K869">
        <v>29436275</v>
      </c>
      <c r="L869">
        <f>(Table1[[#This Row],[CLOSE_PRICE]] - Table1[[#This Row],[PREV_CL_PR]]) / Table1[[#This Row],[PREV_CL_PR]] * 100</f>
        <v>-2.934131736526937</v>
      </c>
      <c r="M869">
        <f>Table1[[#This Row],[HIGH_PRICE]]-Table1[[#This Row],[LOW_PRICE]]</f>
        <v>2.0399999999999991</v>
      </c>
      <c r="N869" t="str">
        <f>IF(Table1[[#This Row],[CLOSE_PRICE]]&gt;Table1[[#This Row],[OPEN_PRICE]],"Gain","Loss")</f>
        <v>Loss</v>
      </c>
      <c r="O869" t="str">
        <f>IF(Table1[[#This Row],[MARKET_CAP]]&gt;200000000000,"Large Cap",
IF(Table1[[#This Row],[MARKET_CAP]]&gt;50000000000,"Mid Cap","Small Cap"))</f>
        <v>Small Cap</v>
      </c>
      <c r="P869" t="str">
        <f>IF(Table1[[#This Row],[NET_TRDQTY]]&gt;1000000,"High Volume","Low Volume")</f>
        <v>Low Volume</v>
      </c>
    </row>
    <row r="870" spans="1:16" x14ac:dyDescent="0.3">
      <c r="A870" t="s">
        <v>1745</v>
      </c>
      <c r="B870" t="s">
        <v>1746</v>
      </c>
      <c r="C870">
        <v>9.91</v>
      </c>
      <c r="D870">
        <v>9.91</v>
      </c>
      <c r="E870">
        <v>9.14</v>
      </c>
      <c r="F870">
        <v>9.23</v>
      </c>
      <c r="G870">
        <v>9.94</v>
      </c>
      <c r="H870">
        <v>7493527</v>
      </c>
      <c r="I870">
        <v>7414</v>
      </c>
      <c r="J870">
        <v>21454047134</v>
      </c>
      <c r="K870">
        <v>2324382138</v>
      </c>
      <c r="L870">
        <f>(Table1[[#This Row],[CLOSE_PRICE]] - Table1[[#This Row],[PREV_CL_PR]]) / Table1[[#This Row],[PREV_CL_PR]] * 100</f>
        <v>-7.1428571428571344</v>
      </c>
      <c r="M870">
        <f>Table1[[#This Row],[HIGH_PRICE]]-Table1[[#This Row],[LOW_PRICE]]</f>
        <v>0.76999999999999957</v>
      </c>
      <c r="N870" t="str">
        <f>IF(Table1[[#This Row],[CLOSE_PRICE]]&gt;Table1[[#This Row],[OPEN_PRICE]],"Gain","Loss")</f>
        <v>Loss</v>
      </c>
      <c r="O870" t="str">
        <f>IF(Table1[[#This Row],[MARKET_CAP]]&gt;200000000000,"Large Cap",
IF(Table1[[#This Row],[MARKET_CAP]]&gt;50000000000,"Mid Cap","Small Cap"))</f>
        <v>Small Cap</v>
      </c>
      <c r="P870" t="str">
        <f>IF(Table1[[#This Row],[NET_TRDQTY]]&gt;1000000,"High Volume","Low Volume")</f>
        <v>High Volume</v>
      </c>
    </row>
    <row r="871" spans="1:16" x14ac:dyDescent="0.3">
      <c r="A871" t="s">
        <v>1747</v>
      </c>
      <c r="B871" t="s">
        <v>1748</v>
      </c>
      <c r="C871">
        <v>755.3</v>
      </c>
      <c r="D871">
        <v>760</v>
      </c>
      <c r="E871">
        <v>701.45</v>
      </c>
      <c r="F871">
        <v>707.4</v>
      </c>
      <c r="G871">
        <v>764</v>
      </c>
      <c r="H871">
        <v>64833</v>
      </c>
      <c r="I871">
        <v>4179</v>
      </c>
      <c r="J871">
        <v>11162584539</v>
      </c>
      <c r="K871">
        <v>15779735</v>
      </c>
      <c r="L871">
        <f>(Table1[[#This Row],[CLOSE_PRICE]] - Table1[[#This Row],[PREV_CL_PR]]) / Table1[[#This Row],[PREV_CL_PR]] * 100</f>
        <v>-7.4083769633507881</v>
      </c>
      <c r="M871">
        <f>Table1[[#This Row],[HIGH_PRICE]]-Table1[[#This Row],[LOW_PRICE]]</f>
        <v>58.549999999999955</v>
      </c>
      <c r="N871" t="str">
        <f>IF(Table1[[#This Row],[CLOSE_PRICE]]&gt;Table1[[#This Row],[OPEN_PRICE]],"Gain","Loss")</f>
        <v>Loss</v>
      </c>
      <c r="O871" t="str">
        <f>IF(Table1[[#This Row],[MARKET_CAP]]&gt;200000000000,"Large Cap",
IF(Table1[[#This Row],[MARKET_CAP]]&gt;50000000000,"Mid Cap","Small Cap"))</f>
        <v>Small Cap</v>
      </c>
      <c r="P871" t="str">
        <f>IF(Table1[[#This Row],[NET_TRDQTY]]&gt;1000000,"High Volume","Low Volume")</f>
        <v>Low Volume</v>
      </c>
    </row>
    <row r="872" spans="1:16" x14ac:dyDescent="0.3">
      <c r="A872" t="s">
        <v>1749</v>
      </c>
      <c r="B872" t="s">
        <v>1750</v>
      </c>
      <c r="C872">
        <v>2763</v>
      </c>
      <c r="D872">
        <v>2774.5</v>
      </c>
      <c r="E872">
        <v>2651</v>
      </c>
      <c r="F872">
        <v>2690.3</v>
      </c>
      <c r="G872">
        <v>2804</v>
      </c>
      <c r="H872">
        <v>467336</v>
      </c>
      <c r="I872">
        <v>56076</v>
      </c>
      <c r="J872">
        <v>1330000000000</v>
      </c>
      <c r="K872">
        <v>494258520</v>
      </c>
      <c r="L872">
        <f>(Table1[[#This Row],[CLOSE_PRICE]] - Table1[[#This Row],[PREV_CL_PR]]) / Table1[[#This Row],[PREV_CL_PR]] * 100</f>
        <v>-4.0549215406561991</v>
      </c>
      <c r="M872">
        <f>Table1[[#This Row],[HIGH_PRICE]]-Table1[[#This Row],[LOW_PRICE]]</f>
        <v>123.5</v>
      </c>
      <c r="N872" t="str">
        <f>IF(Table1[[#This Row],[CLOSE_PRICE]]&gt;Table1[[#This Row],[OPEN_PRICE]],"Gain","Loss")</f>
        <v>Loss</v>
      </c>
      <c r="O872" t="str">
        <f>IF(Table1[[#This Row],[MARKET_CAP]]&gt;200000000000,"Large Cap",
IF(Table1[[#This Row],[MARKET_CAP]]&gt;50000000000,"Mid Cap","Small Cap"))</f>
        <v>Large Cap</v>
      </c>
      <c r="P872" t="str">
        <f>IF(Table1[[#This Row],[NET_TRDQTY]]&gt;1000000,"High Volume","Low Volume")</f>
        <v>Low Volume</v>
      </c>
    </row>
    <row r="873" spans="1:16" x14ac:dyDescent="0.3">
      <c r="A873" t="s">
        <v>1751</v>
      </c>
      <c r="B873" t="s">
        <v>1752</v>
      </c>
      <c r="C873">
        <v>545</v>
      </c>
      <c r="D873">
        <v>550.04999999999995</v>
      </c>
      <c r="E873">
        <v>528.9</v>
      </c>
      <c r="F873">
        <v>531.25</v>
      </c>
      <c r="G873">
        <v>552.1</v>
      </c>
      <c r="H873">
        <v>1050325</v>
      </c>
      <c r="I873">
        <v>30339</v>
      </c>
      <c r="J873">
        <v>769000000000</v>
      </c>
      <c r="K873">
        <v>1447581188</v>
      </c>
      <c r="L873">
        <f>(Table1[[#This Row],[CLOSE_PRICE]] - Table1[[#This Row],[PREV_CL_PR]]) / Table1[[#This Row],[PREV_CL_PR]] * 100</f>
        <v>-3.7764897663466801</v>
      </c>
      <c r="M873">
        <f>Table1[[#This Row],[HIGH_PRICE]]-Table1[[#This Row],[LOW_PRICE]]</f>
        <v>21.149999999999977</v>
      </c>
      <c r="N873" t="str">
        <f>IF(Table1[[#This Row],[CLOSE_PRICE]]&gt;Table1[[#This Row],[OPEN_PRICE]],"Gain","Loss")</f>
        <v>Loss</v>
      </c>
      <c r="O873" t="str">
        <f>IF(Table1[[#This Row],[MARKET_CAP]]&gt;200000000000,"Large Cap",
IF(Table1[[#This Row],[MARKET_CAP]]&gt;50000000000,"Mid Cap","Small Cap"))</f>
        <v>Large Cap</v>
      </c>
      <c r="P873" t="str">
        <f>IF(Table1[[#This Row],[NET_TRDQTY]]&gt;1000000,"High Volume","Low Volume")</f>
        <v>High Volume</v>
      </c>
    </row>
    <row r="874" spans="1:16" x14ac:dyDescent="0.3">
      <c r="A874" t="s">
        <v>1753</v>
      </c>
      <c r="B874" t="s">
        <v>1754</v>
      </c>
      <c r="C874">
        <v>229</v>
      </c>
      <c r="D874">
        <v>231.45</v>
      </c>
      <c r="E874">
        <v>216.9</v>
      </c>
      <c r="F874">
        <v>224.75</v>
      </c>
      <c r="G874">
        <v>233.45</v>
      </c>
      <c r="H874">
        <v>330078</v>
      </c>
      <c r="I874">
        <v>7048</v>
      </c>
      <c r="J874">
        <v>44512712915</v>
      </c>
      <c r="K874">
        <v>198054340</v>
      </c>
      <c r="L874">
        <f>(Table1[[#This Row],[CLOSE_PRICE]] - Table1[[#This Row],[PREV_CL_PR]]) / Table1[[#This Row],[PREV_CL_PR]] * 100</f>
        <v>-3.7267080745341565</v>
      </c>
      <c r="M874">
        <f>Table1[[#This Row],[HIGH_PRICE]]-Table1[[#This Row],[LOW_PRICE]]</f>
        <v>14.549999999999983</v>
      </c>
      <c r="N874" t="str">
        <f>IF(Table1[[#This Row],[CLOSE_PRICE]]&gt;Table1[[#This Row],[OPEN_PRICE]],"Gain","Loss")</f>
        <v>Loss</v>
      </c>
      <c r="O874" t="str">
        <f>IF(Table1[[#This Row],[MARKET_CAP]]&gt;200000000000,"Large Cap",
IF(Table1[[#This Row],[MARKET_CAP]]&gt;50000000000,"Mid Cap","Small Cap"))</f>
        <v>Small Cap</v>
      </c>
      <c r="P874" t="str">
        <f>IF(Table1[[#This Row],[NET_TRDQTY]]&gt;1000000,"High Volume","Low Volume")</f>
        <v>Low Volume</v>
      </c>
    </row>
    <row r="875" spans="1:16" x14ac:dyDescent="0.3">
      <c r="A875" t="s">
        <v>1755</v>
      </c>
      <c r="B875" t="s">
        <v>1756</v>
      </c>
      <c r="C875">
        <v>5153</v>
      </c>
      <c r="D875">
        <v>5205</v>
      </c>
      <c r="E875">
        <v>5060</v>
      </c>
      <c r="F875">
        <v>5135</v>
      </c>
      <c r="G875">
        <v>5203.5</v>
      </c>
      <c r="H875">
        <v>4153</v>
      </c>
      <c r="I875">
        <v>1576</v>
      </c>
      <c r="J875">
        <v>49559071185</v>
      </c>
      <c r="K875">
        <v>9651231</v>
      </c>
      <c r="L875">
        <f>(Table1[[#This Row],[CLOSE_PRICE]] - Table1[[#This Row],[PREV_CL_PR]]) / Table1[[#This Row],[PREV_CL_PR]] * 100</f>
        <v>-1.3164216392812531</v>
      </c>
      <c r="M875">
        <f>Table1[[#This Row],[HIGH_PRICE]]-Table1[[#This Row],[LOW_PRICE]]</f>
        <v>145</v>
      </c>
      <c r="N875" t="str">
        <f>IF(Table1[[#This Row],[CLOSE_PRICE]]&gt;Table1[[#This Row],[OPEN_PRICE]],"Gain","Loss")</f>
        <v>Loss</v>
      </c>
      <c r="O875" t="str">
        <f>IF(Table1[[#This Row],[MARKET_CAP]]&gt;200000000000,"Large Cap",
IF(Table1[[#This Row],[MARKET_CAP]]&gt;50000000000,"Mid Cap","Small Cap"))</f>
        <v>Small Cap</v>
      </c>
      <c r="P875" t="str">
        <f>IF(Table1[[#This Row],[NET_TRDQTY]]&gt;1000000,"High Volume","Low Volume")</f>
        <v>Low Volume</v>
      </c>
    </row>
    <row r="876" spans="1:16" x14ac:dyDescent="0.3">
      <c r="A876" t="s">
        <v>1757</v>
      </c>
      <c r="B876" t="s">
        <v>1758</v>
      </c>
      <c r="C876">
        <v>71.3</v>
      </c>
      <c r="D876">
        <v>71.3</v>
      </c>
      <c r="E876">
        <v>66.45</v>
      </c>
      <c r="F876">
        <v>67.39</v>
      </c>
      <c r="G876">
        <v>73.069999999999993</v>
      </c>
      <c r="H876">
        <v>36421794</v>
      </c>
      <c r="I876">
        <v>84570</v>
      </c>
      <c r="J876">
        <v>725000000000</v>
      </c>
      <c r="K876">
        <v>10752402175</v>
      </c>
      <c r="L876">
        <f>(Table1[[#This Row],[CLOSE_PRICE]] - Table1[[#This Row],[PREV_CL_PR]]) / Table1[[#This Row],[PREV_CL_PR]] * 100</f>
        <v>-7.7733680032845127</v>
      </c>
      <c r="M876">
        <f>Table1[[#This Row],[HIGH_PRICE]]-Table1[[#This Row],[LOW_PRICE]]</f>
        <v>4.8499999999999943</v>
      </c>
      <c r="N876" t="str">
        <f>IF(Table1[[#This Row],[CLOSE_PRICE]]&gt;Table1[[#This Row],[OPEN_PRICE]],"Gain","Loss")</f>
        <v>Loss</v>
      </c>
      <c r="O876" t="str">
        <f>IF(Table1[[#This Row],[MARKET_CAP]]&gt;200000000000,"Large Cap",
IF(Table1[[#This Row],[MARKET_CAP]]&gt;50000000000,"Mid Cap","Small Cap"))</f>
        <v>Large Cap</v>
      </c>
      <c r="P876" t="str">
        <f>IF(Table1[[#This Row],[NET_TRDQTY]]&gt;1000000,"High Volume","Low Volume")</f>
        <v>High Volume</v>
      </c>
    </row>
    <row r="877" spans="1:16" x14ac:dyDescent="0.3">
      <c r="A877" t="s">
        <v>1759</v>
      </c>
      <c r="B877" t="s">
        <v>1760</v>
      </c>
      <c r="C877">
        <v>9.2200000000000006</v>
      </c>
      <c r="D877">
        <v>9.2200000000000006</v>
      </c>
      <c r="E877">
        <v>8.65</v>
      </c>
      <c r="F877">
        <v>8.6999999999999993</v>
      </c>
      <c r="G877">
        <v>9.34</v>
      </c>
      <c r="H877">
        <v>664844250</v>
      </c>
      <c r="I877">
        <v>221082</v>
      </c>
      <c r="J877">
        <v>943000000000</v>
      </c>
      <c r="K877">
        <v>108000000000</v>
      </c>
      <c r="L877">
        <f>(Table1[[#This Row],[CLOSE_PRICE]] - Table1[[#This Row],[PREV_CL_PR]]) / Table1[[#This Row],[PREV_CL_PR]] * 100</f>
        <v>-6.8522483940042882</v>
      </c>
      <c r="M877">
        <f>Table1[[#This Row],[HIGH_PRICE]]-Table1[[#This Row],[LOW_PRICE]]</f>
        <v>0.57000000000000028</v>
      </c>
      <c r="N877" t="str">
        <f>IF(Table1[[#This Row],[CLOSE_PRICE]]&gt;Table1[[#This Row],[OPEN_PRICE]],"Gain","Loss")</f>
        <v>Loss</v>
      </c>
      <c r="O877" t="str">
        <f>IF(Table1[[#This Row],[MARKET_CAP]]&gt;200000000000,"Large Cap",
IF(Table1[[#This Row],[MARKET_CAP]]&gt;50000000000,"Mid Cap","Small Cap"))</f>
        <v>Large Cap</v>
      </c>
      <c r="P877" t="str">
        <f>IF(Table1[[#This Row],[NET_TRDQTY]]&gt;1000000,"High Volume","Low Volume")</f>
        <v>High Volume</v>
      </c>
    </row>
    <row r="878" spans="1:16" x14ac:dyDescent="0.3">
      <c r="A878" t="s">
        <v>1761</v>
      </c>
      <c r="B878" t="s">
        <v>1762</v>
      </c>
      <c r="C878">
        <v>417.9</v>
      </c>
      <c r="D878">
        <v>417.9</v>
      </c>
      <c r="E878">
        <v>394.4</v>
      </c>
      <c r="F878">
        <v>397.6</v>
      </c>
      <c r="G878">
        <v>417.95</v>
      </c>
      <c r="H878">
        <v>363338</v>
      </c>
      <c r="I878">
        <v>11390</v>
      </c>
      <c r="J878">
        <v>17197669132</v>
      </c>
      <c r="K878">
        <v>43253695</v>
      </c>
      <c r="L878">
        <f>(Table1[[#This Row],[CLOSE_PRICE]] - Table1[[#This Row],[PREV_CL_PR]]) / Table1[[#This Row],[PREV_CL_PR]] * 100</f>
        <v>-4.869003469314503</v>
      </c>
      <c r="M878">
        <f>Table1[[#This Row],[HIGH_PRICE]]-Table1[[#This Row],[LOW_PRICE]]</f>
        <v>23.5</v>
      </c>
      <c r="N878" t="str">
        <f>IF(Table1[[#This Row],[CLOSE_PRICE]]&gt;Table1[[#This Row],[OPEN_PRICE]],"Gain","Loss")</f>
        <v>Loss</v>
      </c>
      <c r="O878" t="str">
        <f>IF(Table1[[#This Row],[MARKET_CAP]]&gt;200000000000,"Large Cap",
IF(Table1[[#This Row],[MARKET_CAP]]&gt;50000000000,"Mid Cap","Small Cap"))</f>
        <v>Small Cap</v>
      </c>
      <c r="P878" t="str">
        <f>IF(Table1[[#This Row],[NET_TRDQTY]]&gt;1000000,"High Volume","Low Volume")</f>
        <v>Low Volume</v>
      </c>
    </row>
    <row r="879" spans="1:16" x14ac:dyDescent="0.3">
      <c r="A879" t="s">
        <v>1763</v>
      </c>
      <c r="B879" t="s">
        <v>1764</v>
      </c>
      <c r="C879">
        <v>62.47</v>
      </c>
      <c r="D879">
        <v>62.47</v>
      </c>
      <c r="E879">
        <v>59.94</v>
      </c>
      <c r="F879">
        <v>60.24</v>
      </c>
      <c r="G879">
        <v>62.95</v>
      </c>
      <c r="H879">
        <v>40208242</v>
      </c>
      <c r="I879">
        <v>173317</v>
      </c>
      <c r="J879">
        <v>518000000000</v>
      </c>
      <c r="K879">
        <v>8594892611</v>
      </c>
      <c r="L879">
        <f>(Table1[[#This Row],[CLOSE_PRICE]] - Table1[[#This Row],[PREV_CL_PR]]) / Table1[[#This Row],[PREV_CL_PR]] * 100</f>
        <v>-4.3050039714058785</v>
      </c>
      <c r="M879">
        <f>Table1[[#This Row],[HIGH_PRICE]]-Table1[[#This Row],[LOW_PRICE]]</f>
        <v>2.5300000000000011</v>
      </c>
      <c r="N879" t="str">
        <f>IF(Table1[[#This Row],[CLOSE_PRICE]]&gt;Table1[[#This Row],[OPEN_PRICE]],"Gain","Loss")</f>
        <v>Loss</v>
      </c>
      <c r="O879" t="str">
        <f>IF(Table1[[#This Row],[MARKET_CAP]]&gt;200000000000,"Large Cap",
IF(Table1[[#This Row],[MARKET_CAP]]&gt;50000000000,"Mid Cap","Small Cap"))</f>
        <v>Large Cap</v>
      </c>
      <c r="P879" t="str">
        <f>IF(Table1[[#This Row],[NET_TRDQTY]]&gt;1000000,"High Volume","Low Volume")</f>
        <v>High Volume</v>
      </c>
    </row>
    <row r="880" spans="1:16" x14ac:dyDescent="0.3">
      <c r="A880" t="s">
        <v>1765</v>
      </c>
      <c r="B880" t="s">
        <v>1766</v>
      </c>
      <c r="C880">
        <v>118.71</v>
      </c>
      <c r="D880">
        <v>119.42</v>
      </c>
      <c r="E880">
        <v>114.72</v>
      </c>
      <c r="F880">
        <v>115.38</v>
      </c>
      <c r="G880">
        <v>120.53</v>
      </c>
      <c r="H880">
        <v>7773470</v>
      </c>
      <c r="I880">
        <v>54286</v>
      </c>
      <c r="J880">
        <v>103000000000</v>
      </c>
      <c r="K880">
        <v>891692735</v>
      </c>
      <c r="L880">
        <f>(Table1[[#This Row],[CLOSE_PRICE]] - Table1[[#This Row],[PREV_CL_PR]]) / Table1[[#This Row],[PREV_CL_PR]] * 100</f>
        <v>-4.2727951547332657</v>
      </c>
      <c r="M880">
        <f>Table1[[#This Row],[HIGH_PRICE]]-Table1[[#This Row],[LOW_PRICE]]</f>
        <v>4.7000000000000028</v>
      </c>
      <c r="N880" t="str">
        <f>IF(Table1[[#This Row],[CLOSE_PRICE]]&gt;Table1[[#This Row],[OPEN_PRICE]],"Gain","Loss")</f>
        <v>Loss</v>
      </c>
      <c r="O880" t="str">
        <f>IF(Table1[[#This Row],[MARKET_CAP]]&gt;200000000000,"Large Cap",
IF(Table1[[#This Row],[MARKET_CAP]]&gt;50000000000,"Mid Cap","Small Cap"))</f>
        <v>Mid Cap</v>
      </c>
      <c r="P880" t="str">
        <f>IF(Table1[[#This Row],[NET_TRDQTY]]&gt;1000000,"High Volume","Low Volume")</f>
        <v>High Volume</v>
      </c>
    </row>
    <row r="881" spans="1:16" x14ac:dyDescent="0.3">
      <c r="A881" t="s">
        <v>1767</v>
      </c>
      <c r="B881" t="s">
        <v>1768</v>
      </c>
      <c r="C881">
        <v>758.95</v>
      </c>
      <c r="D881">
        <v>759</v>
      </c>
      <c r="E881">
        <v>725.1</v>
      </c>
      <c r="F881">
        <v>725.45</v>
      </c>
      <c r="G881">
        <v>763.25</v>
      </c>
      <c r="H881">
        <v>17965</v>
      </c>
      <c r="I881">
        <v>1441</v>
      </c>
      <c r="J881">
        <v>6795370675</v>
      </c>
      <c r="K881">
        <v>9367111</v>
      </c>
      <c r="L881">
        <f>(Table1[[#This Row],[CLOSE_PRICE]] - Table1[[#This Row],[PREV_CL_PR]]) / Table1[[#This Row],[PREV_CL_PR]] * 100</f>
        <v>-4.9525057320668138</v>
      </c>
      <c r="M881">
        <f>Table1[[#This Row],[HIGH_PRICE]]-Table1[[#This Row],[LOW_PRICE]]</f>
        <v>33.899999999999977</v>
      </c>
      <c r="N881" t="str">
        <f>IF(Table1[[#This Row],[CLOSE_PRICE]]&gt;Table1[[#This Row],[OPEN_PRICE]],"Gain","Loss")</f>
        <v>Loss</v>
      </c>
      <c r="O881" t="str">
        <f>IF(Table1[[#This Row],[MARKET_CAP]]&gt;200000000000,"Large Cap",
IF(Table1[[#This Row],[MARKET_CAP]]&gt;50000000000,"Mid Cap","Small Cap"))</f>
        <v>Small Cap</v>
      </c>
      <c r="P881" t="str">
        <f>IF(Table1[[#This Row],[NET_TRDQTY]]&gt;1000000,"High Volume","Low Volume")</f>
        <v>Low Volume</v>
      </c>
    </row>
    <row r="882" spans="1:16" x14ac:dyDescent="0.3">
      <c r="A882" t="s">
        <v>1769</v>
      </c>
      <c r="B882" t="s">
        <v>1770</v>
      </c>
      <c r="C882">
        <v>975</v>
      </c>
      <c r="D882">
        <v>975</v>
      </c>
      <c r="E882">
        <v>917.9</v>
      </c>
      <c r="F882">
        <v>923.9</v>
      </c>
      <c r="G882">
        <v>977.9</v>
      </c>
      <c r="H882">
        <v>45269</v>
      </c>
      <c r="I882">
        <v>5717</v>
      </c>
      <c r="J882">
        <v>37435315624</v>
      </c>
      <c r="K882">
        <v>40518796</v>
      </c>
      <c r="L882">
        <f>(Table1[[#This Row],[CLOSE_PRICE]] - Table1[[#This Row],[PREV_CL_PR]]) / Table1[[#This Row],[PREV_CL_PR]] * 100</f>
        <v>-5.5220370181000105</v>
      </c>
      <c r="M882">
        <f>Table1[[#This Row],[HIGH_PRICE]]-Table1[[#This Row],[LOW_PRICE]]</f>
        <v>57.100000000000023</v>
      </c>
      <c r="N882" t="str">
        <f>IF(Table1[[#This Row],[CLOSE_PRICE]]&gt;Table1[[#This Row],[OPEN_PRICE]],"Gain","Loss")</f>
        <v>Loss</v>
      </c>
      <c r="O882" t="str">
        <f>IF(Table1[[#This Row],[MARKET_CAP]]&gt;200000000000,"Large Cap",
IF(Table1[[#This Row],[MARKET_CAP]]&gt;50000000000,"Mid Cap","Small Cap"))</f>
        <v>Small Cap</v>
      </c>
      <c r="P882" t="str">
        <f>IF(Table1[[#This Row],[NET_TRDQTY]]&gt;1000000,"High Volume","Low Volume")</f>
        <v>Low Volume</v>
      </c>
    </row>
    <row r="883" spans="1:16" x14ac:dyDescent="0.3">
      <c r="A883" t="s">
        <v>1771</v>
      </c>
      <c r="B883" t="s">
        <v>1772</v>
      </c>
      <c r="C883">
        <v>53</v>
      </c>
      <c r="D883">
        <v>53</v>
      </c>
      <c r="E883">
        <v>50.34</v>
      </c>
      <c r="F883">
        <v>50.56</v>
      </c>
      <c r="G883">
        <v>53.99</v>
      </c>
      <c r="H883">
        <v>11545263</v>
      </c>
      <c r="I883">
        <v>36526</v>
      </c>
      <c r="J883">
        <v>136000000000</v>
      </c>
      <c r="K883">
        <v>2694314331</v>
      </c>
      <c r="L883">
        <f>(Table1[[#This Row],[CLOSE_PRICE]] - Table1[[#This Row],[PREV_CL_PR]]) / Table1[[#This Row],[PREV_CL_PR]] * 100</f>
        <v>-6.3530283385812183</v>
      </c>
      <c r="M883">
        <f>Table1[[#This Row],[HIGH_PRICE]]-Table1[[#This Row],[LOW_PRICE]]</f>
        <v>2.6599999999999966</v>
      </c>
      <c r="N883" t="str">
        <f>IF(Table1[[#This Row],[CLOSE_PRICE]]&gt;Table1[[#This Row],[OPEN_PRICE]],"Gain","Loss")</f>
        <v>Loss</v>
      </c>
      <c r="O883" t="str">
        <f>IF(Table1[[#This Row],[MARKET_CAP]]&gt;200000000000,"Large Cap",
IF(Table1[[#This Row],[MARKET_CAP]]&gt;50000000000,"Mid Cap","Small Cap"))</f>
        <v>Mid Cap</v>
      </c>
      <c r="P883" t="str">
        <f>IF(Table1[[#This Row],[NET_TRDQTY]]&gt;1000000,"High Volume","Low Volume")</f>
        <v>High Volume</v>
      </c>
    </row>
    <row r="884" spans="1:16" x14ac:dyDescent="0.3">
      <c r="A884" t="s">
        <v>1773</v>
      </c>
      <c r="B884" t="s">
        <v>1774</v>
      </c>
      <c r="C884">
        <v>143.46</v>
      </c>
      <c r="D884">
        <v>145.99</v>
      </c>
      <c r="E884">
        <v>135.5</v>
      </c>
      <c r="F884">
        <v>136.85</v>
      </c>
      <c r="G884">
        <v>144.65</v>
      </c>
      <c r="H884">
        <v>37692</v>
      </c>
      <c r="I884">
        <v>899</v>
      </c>
      <c r="J884">
        <v>9863959694</v>
      </c>
      <c r="K884">
        <v>72078624</v>
      </c>
      <c r="L884">
        <f>(Table1[[#This Row],[CLOSE_PRICE]] - Table1[[#This Row],[PREV_CL_PR]]) / Table1[[#This Row],[PREV_CL_PR]] * 100</f>
        <v>-5.3923263048738406</v>
      </c>
      <c r="M884">
        <f>Table1[[#This Row],[HIGH_PRICE]]-Table1[[#This Row],[LOW_PRICE]]</f>
        <v>10.490000000000009</v>
      </c>
      <c r="N884" t="str">
        <f>IF(Table1[[#This Row],[CLOSE_PRICE]]&gt;Table1[[#This Row],[OPEN_PRICE]],"Gain","Loss")</f>
        <v>Loss</v>
      </c>
      <c r="O884" t="str">
        <f>IF(Table1[[#This Row],[MARKET_CAP]]&gt;200000000000,"Large Cap",
IF(Table1[[#This Row],[MARKET_CAP]]&gt;50000000000,"Mid Cap","Small Cap"))</f>
        <v>Small Cap</v>
      </c>
      <c r="P884" t="str">
        <f>IF(Table1[[#This Row],[NET_TRDQTY]]&gt;1000000,"High Volume","Low Volume")</f>
        <v>Low Volume</v>
      </c>
    </row>
    <row r="885" spans="1:16" x14ac:dyDescent="0.3">
      <c r="A885" t="s">
        <v>1775</v>
      </c>
      <c r="B885" t="s">
        <v>1776</v>
      </c>
      <c r="C885">
        <v>314</v>
      </c>
      <c r="D885">
        <v>314</v>
      </c>
      <c r="E885">
        <v>294.89999999999998</v>
      </c>
      <c r="F885">
        <v>298.05</v>
      </c>
      <c r="G885">
        <v>314.89999999999998</v>
      </c>
      <c r="H885">
        <v>65206</v>
      </c>
      <c r="I885">
        <v>2014</v>
      </c>
      <c r="J885">
        <v>9381138056</v>
      </c>
      <c r="K885">
        <v>31475048</v>
      </c>
      <c r="L885">
        <f>(Table1[[#This Row],[CLOSE_PRICE]] - Table1[[#This Row],[PREV_CL_PR]]) / Table1[[#This Row],[PREV_CL_PR]] * 100</f>
        <v>-5.3509050492219652</v>
      </c>
      <c r="M885">
        <f>Table1[[#This Row],[HIGH_PRICE]]-Table1[[#This Row],[LOW_PRICE]]</f>
        <v>19.100000000000023</v>
      </c>
      <c r="N885" t="str">
        <f>IF(Table1[[#This Row],[CLOSE_PRICE]]&gt;Table1[[#This Row],[OPEN_PRICE]],"Gain","Loss")</f>
        <v>Loss</v>
      </c>
      <c r="O885" t="str">
        <f>IF(Table1[[#This Row],[MARKET_CAP]]&gt;200000000000,"Large Cap",
IF(Table1[[#This Row],[MARKET_CAP]]&gt;50000000000,"Mid Cap","Small Cap"))</f>
        <v>Small Cap</v>
      </c>
      <c r="P885" t="str">
        <f>IF(Table1[[#This Row],[NET_TRDQTY]]&gt;1000000,"High Volume","Low Volume")</f>
        <v>Low Volume</v>
      </c>
    </row>
    <row r="886" spans="1:16" x14ac:dyDescent="0.3">
      <c r="A886" t="s">
        <v>1777</v>
      </c>
      <c r="B886" t="s">
        <v>1778</v>
      </c>
      <c r="C886">
        <v>58.94</v>
      </c>
      <c r="D886">
        <v>58.94</v>
      </c>
      <c r="E886">
        <v>52.25</v>
      </c>
      <c r="F886">
        <v>53.6</v>
      </c>
      <c r="G886">
        <v>58.64</v>
      </c>
      <c r="H886">
        <v>186742</v>
      </c>
      <c r="I886">
        <v>2063</v>
      </c>
      <c r="J886">
        <v>3388806239</v>
      </c>
      <c r="K886">
        <v>63223997</v>
      </c>
      <c r="L886">
        <f>(Table1[[#This Row],[CLOSE_PRICE]] - Table1[[#This Row],[PREV_CL_PR]]) / Table1[[#This Row],[PREV_CL_PR]] * 100</f>
        <v>-8.5948158253751679</v>
      </c>
      <c r="M886">
        <f>Table1[[#This Row],[HIGH_PRICE]]-Table1[[#This Row],[LOW_PRICE]]</f>
        <v>6.6899999999999977</v>
      </c>
      <c r="N886" t="str">
        <f>IF(Table1[[#This Row],[CLOSE_PRICE]]&gt;Table1[[#This Row],[OPEN_PRICE]],"Gain","Loss")</f>
        <v>Loss</v>
      </c>
      <c r="O886" t="str">
        <f>IF(Table1[[#This Row],[MARKET_CAP]]&gt;200000000000,"Large Cap",
IF(Table1[[#This Row],[MARKET_CAP]]&gt;50000000000,"Mid Cap","Small Cap"))</f>
        <v>Small Cap</v>
      </c>
      <c r="P886" t="str">
        <f>IF(Table1[[#This Row],[NET_TRDQTY]]&gt;1000000,"High Volume","Low Volume")</f>
        <v>Low Volume</v>
      </c>
    </row>
    <row r="887" spans="1:16" x14ac:dyDescent="0.3">
      <c r="A887" t="s">
        <v>1779</v>
      </c>
      <c r="B887" t="s">
        <v>1780</v>
      </c>
      <c r="C887">
        <v>334.8</v>
      </c>
      <c r="D887">
        <v>334.8</v>
      </c>
      <c r="E887">
        <v>316</v>
      </c>
      <c r="F887">
        <v>318.8</v>
      </c>
      <c r="G887">
        <v>338.45</v>
      </c>
      <c r="H887">
        <v>430185</v>
      </c>
      <c r="I887">
        <v>14186</v>
      </c>
      <c r="J887">
        <v>138000000000</v>
      </c>
      <c r="K887">
        <v>432159696</v>
      </c>
      <c r="L887">
        <f>(Table1[[#This Row],[CLOSE_PRICE]] - Table1[[#This Row],[PREV_CL_PR]]) / Table1[[#This Row],[PREV_CL_PR]] * 100</f>
        <v>-5.8058797459004214</v>
      </c>
      <c r="M887">
        <f>Table1[[#This Row],[HIGH_PRICE]]-Table1[[#This Row],[LOW_PRICE]]</f>
        <v>18.800000000000011</v>
      </c>
      <c r="N887" t="str">
        <f>IF(Table1[[#This Row],[CLOSE_PRICE]]&gt;Table1[[#This Row],[OPEN_PRICE]],"Gain","Loss")</f>
        <v>Loss</v>
      </c>
      <c r="O887" t="str">
        <f>IF(Table1[[#This Row],[MARKET_CAP]]&gt;200000000000,"Large Cap",
IF(Table1[[#This Row],[MARKET_CAP]]&gt;50000000000,"Mid Cap","Small Cap"))</f>
        <v>Mid Cap</v>
      </c>
      <c r="P887" t="str">
        <f>IF(Table1[[#This Row],[NET_TRDQTY]]&gt;1000000,"High Volume","Low Volume")</f>
        <v>Low Volume</v>
      </c>
    </row>
    <row r="888" spans="1:16" x14ac:dyDescent="0.3">
      <c r="A888" t="s">
        <v>1781</v>
      </c>
      <c r="B888" t="s">
        <v>1782</v>
      </c>
      <c r="C888">
        <v>156</v>
      </c>
      <c r="D888">
        <v>156</v>
      </c>
      <c r="E888">
        <v>147.4</v>
      </c>
      <c r="F888">
        <v>147.97999999999999</v>
      </c>
      <c r="G888">
        <v>156.63</v>
      </c>
      <c r="H888">
        <v>1791088</v>
      </c>
      <c r="I888">
        <v>36467</v>
      </c>
      <c r="J888">
        <v>207000000000</v>
      </c>
      <c r="K888">
        <v>1400001600</v>
      </c>
      <c r="L888">
        <f>(Table1[[#This Row],[CLOSE_PRICE]] - Table1[[#This Row],[PREV_CL_PR]]) / Table1[[#This Row],[PREV_CL_PR]] * 100</f>
        <v>-5.5225691119198146</v>
      </c>
      <c r="M888">
        <f>Table1[[#This Row],[HIGH_PRICE]]-Table1[[#This Row],[LOW_PRICE]]</f>
        <v>8.5999999999999943</v>
      </c>
      <c r="N888" t="str">
        <f>IF(Table1[[#This Row],[CLOSE_PRICE]]&gt;Table1[[#This Row],[OPEN_PRICE]],"Gain","Loss")</f>
        <v>Loss</v>
      </c>
      <c r="O888" t="str">
        <f>IF(Table1[[#This Row],[MARKET_CAP]]&gt;200000000000,"Large Cap",
IF(Table1[[#This Row],[MARKET_CAP]]&gt;50000000000,"Mid Cap","Small Cap"))</f>
        <v>Large Cap</v>
      </c>
      <c r="P888" t="str">
        <f>IF(Table1[[#This Row],[NET_TRDQTY]]&gt;1000000,"High Volume","Low Volume")</f>
        <v>High Volume</v>
      </c>
    </row>
    <row r="889" spans="1:16" x14ac:dyDescent="0.3">
      <c r="A889" t="s">
        <v>1783</v>
      </c>
      <c r="B889" t="s">
        <v>1784</v>
      </c>
      <c r="C889">
        <v>387</v>
      </c>
      <c r="D889">
        <v>387.5</v>
      </c>
      <c r="E889">
        <v>356.9</v>
      </c>
      <c r="F889">
        <v>360.05</v>
      </c>
      <c r="G889">
        <v>384.85</v>
      </c>
      <c r="H889">
        <v>136913</v>
      </c>
      <c r="I889">
        <v>3868</v>
      </c>
      <c r="J889">
        <v>11087685743</v>
      </c>
      <c r="K889">
        <v>30794850</v>
      </c>
      <c r="L889">
        <f>(Table1[[#This Row],[CLOSE_PRICE]] - Table1[[#This Row],[PREV_CL_PR]]) / Table1[[#This Row],[PREV_CL_PR]] * 100</f>
        <v>-6.4440691178381204</v>
      </c>
      <c r="M889">
        <f>Table1[[#This Row],[HIGH_PRICE]]-Table1[[#This Row],[LOW_PRICE]]</f>
        <v>30.600000000000023</v>
      </c>
      <c r="N889" t="str">
        <f>IF(Table1[[#This Row],[CLOSE_PRICE]]&gt;Table1[[#This Row],[OPEN_PRICE]],"Gain","Loss")</f>
        <v>Loss</v>
      </c>
      <c r="O889" t="str">
        <f>IF(Table1[[#This Row],[MARKET_CAP]]&gt;200000000000,"Large Cap",
IF(Table1[[#This Row],[MARKET_CAP]]&gt;50000000000,"Mid Cap","Small Cap"))</f>
        <v>Small Cap</v>
      </c>
      <c r="P889" t="str">
        <f>IF(Table1[[#This Row],[NET_TRDQTY]]&gt;1000000,"High Volume","Low Volume")</f>
        <v>Low Volume</v>
      </c>
    </row>
    <row r="890" spans="1:16" x14ac:dyDescent="0.3">
      <c r="A890" t="s">
        <v>1785</v>
      </c>
      <c r="B890" t="s">
        <v>1786</v>
      </c>
      <c r="C890">
        <v>466.8</v>
      </c>
      <c r="D890">
        <v>467</v>
      </c>
      <c r="E890">
        <v>443.6</v>
      </c>
      <c r="F890">
        <v>453.5</v>
      </c>
      <c r="G890">
        <v>473</v>
      </c>
      <c r="H890">
        <v>1518705</v>
      </c>
      <c r="I890">
        <v>43320</v>
      </c>
      <c r="J890">
        <v>193000000000</v>
      </c>
      <c r="K890">
        <v>425227927</v>
      </c>
      <c r="L890">
        <f>(Table1[[#This Row],[CLOSE_PRICE]] - Table1[[#This Row],[PREV_CL_PR]]) / Table1[[#This Row],[PREV_CL_PR]] * 100</f>
        <v>-4.1226215644820297</v>
      </c>
      <c r="M890">
        <f>Table1[[#This Row],[HIGH_PRICE]]-Table1[[#This Row],[LOW_PRICE]]</f>
        <v>23.399999999999977</v>
      </c>
      <c r="N890" t="str">
        <f>IF(Table1[[#This Row],[CLOSE_PRICE]]&gt;Table1[[#This Row],[OPEN_PRICE]],"Gain","Loss")</f>
        <v>Loss</v>
      </c>
      <c r="O890" t="str">
        <f>IF(Table1[[#This Row],[MARKET_CAP]]&gt;200000000000,"Large Cap",
IF(Table1[[#This Row],[MARKET_CAP]]&gt;50000000000,"Mid Cap","Small Cap"))</f>
        <v>Mid Cap</v>
      </c>
      <c r="P890" t="str">
        <f>IF(Table1[[#This Row],[NET_TRDQTY]]&gt;1000000,"High Volume","Low Volume")</f>
        <v>High Volume</v>
      </c>
    </row>
    <row r="891" spans="1:16" x14ac:dyDescent="0.3">
      <c r="A891" t="s">
        <v>1787</v>
      </c>
      <c r="B891" t="s">
        <v>1788</v>
      </c>
      <c r="C891">
        <v>267</v>
      </c>
      <c r="D891">
        <v>267</v>
      </c>
      <c r="E891">
        <v>253.55</v>
      </c>
      <c r="F891">
        <v>255.05</v>
      </c>
      <c r="G891">
        <v>269.8</v>
      </c>
      <c r="H891">
        <v>455011</v>
      </c>
      <c r="I891">
        <v>13833</v>
      </c>
      <c r="J891">
        <v>79286828309</v>
      </c>
      <c r="K891">
        <v>310867784</v>
      </c>
      <c r="L891">
        <f>(Table1[[#This Row],[CLOSE_PRICE]] - Table1[[#This Row],[PREV_CL_PR]]) / Table1[[#This Row],[PREV_CL_PR]] * 100</f>
        <v>-5.4670126019273537</v>
      </c>
      <c r="M891">
        <f>Table1[[#This Row],[HIGH_PRICE]]-Table1[[#This Row],[LOW_PRICE]]</f>
        <v>13.449999999999989</v>
      </c>
      <c r="N891" t="str">
        <f>IF(Table1[[#This Row],[CLOSE_PRICE]]&gt;Table1[[#This Row],[OPEN_PRICE]],"Gain","Loss")</f>
        <v>Loss</v>
      </c>
      <c r="O891" t="str">
        <f>IF(Table1[[#This Row],[MARKET_CAP]]&gt;200000000000,"Large Cap",
IF(Table1[[#This Row],[MARKET_CAP]]&gt;50000000000,"Mid Cap","Small Cap"))</f>
        <v>Mid Cap</v>
      </c>
      <c r="P891" t="str">
        <f>IF(Table1[[#This Row],[NET_TRDQTY]]&gt;1000000,"High Volume","Low Volume")</f>
        <v>Low Volume</v>
      </c>
    </row>
    <row r="892" spans="1:16" x14ac:dyDescent="0.3">
      <c r="A892" t="s">
        <v>1789</v>
      </c>
      <c r="B892" t="s">
        <v>1790</v>
      </c>
      <c r="C892">
        <v>130.06</v>
      </c>
      <c r="D892">
        <v>135</v>
      </c>
      <c r="E892">
        <v>122.99</v>
      </c>
      <c r="F892">
        <v>134.63</v>
      </c>
      <c r="G892">
        <v>133.07</v>
      </c>
      <c r="H892">
        <v>26401</v>
      </c>
      <c r="I892">
        <v>1912</v>
      </c>
      <c r="J892">
        <v>2938643057</v>
      </c>
      <c r="K892">
        <v>21827550</v>
      </c>
      <c r="L892">
        <f>(Table1[[#This Row],[CLOSE_PRICE]] - Table1[[#This Row],[PREV_CL_PR]]) / Table1[[#This Row],[PREV_CL_PR]] * 100</f>
        <v>1.1723153227624576</v>
      </c>
      <c r="M892">
        <f>Table1[[#This Row],[HIGH_PRICE]]-Table1[[#This Row],[LOW_PRICE]]</f>
        <v>12.010000000000005</v>
      </c>
      <c r="N892" t="str">
        <f>IF(Table1[[#This Row],[CLOSE_PRICE]]&gt;Table1[[#This Row],[OPEN_PRICE]],"Gain","Loss")</f>
        <v>Gain</v>
      </c>
      <c r="O892" t="str">
        <f>IF(Table1[[#This Row],[MARKET_CAP]]&gt;200000000000,"Large Cap",
IF(Table1[[#This Row],[MARKET_CAP]]&gt;50000000000,"Mid Cap","Small Cap"))</f>
        <v>Small Cap</v>
      </c>
      <c r="P892" t="str">
        <f>IF(Table1[[#This Row],[NET_TRDQTY]]&gt;1000000,"High Volume","Low Volume")</f>
        <v>Low Volume</v>
      </c>
    </row>
    <row r="893" spans="1:16" x14ac:dyDescent="0.3">
      <c r="A893" t="s">
        <v>1791</v>
      </c>
      <c r="B893" t="s">
        <v>1792</v>
      </c>
      <c r="C893">
        <v>115</v>
      </c>
      <c r="D893">
        <v>115.01</v>
      </c>
      <c r="E893">
        <v>106.35</v>
      </c>
      <c r="F893">
        <v>107.79</v>
      </c>
      <c r="G893">
        <v>116.98</v>
      </c>
      <c r="H893">
        <v>181726</v>
      </c>
      <c r="I893">
        <v>3912</v>
      </c>
      <c r="J893">
        <v>8330086761</v>
      </c>
      <c r="K893">
        <v>77280701</v>
      </c>
      <c r="L893">
        <f>(Table1[[#This Row],[CLOSE_PRICE]] - Table1[[#This Row],[PREV_CL_PR]]) / Table1[[#This Row],[PREV_CL_PR]] * 100</f>
        <v>-7.8560437681654962</v>
      </c>
      <c r="M893">
        <f>Table1[[#This Row],[HIGH_PRICE]]-Table1[[#This Row],[LOW_PRICE]]</f>
        <v>8.6600000000000108</v>
      </c>
      <c r="N893" t="str">
        <f>IF(Table1[[#This Row],[CLOSE_PRICE]]&gt;Table1[[#This Row],[OPEN_PRICE]],"Gain","Loss")</f>
        <v>Loss</v>
      </c>
      <c r="O893" t="str">
        <f>IF(Table1[[#This Row],[MARKET_CAP]]&gt;200000000000,"Large Cap",
IF(Table1[[#This Row],[MARKET_CAP]]&gt;50000000000,"Mid Cap","Small Cap"))</f>
        <v>Small Cap</v>
      </c>
      <c r="P893" t="str">
        <f>IF(Table1[[#This Row],[NET_TRDQTY]]&gt;1000000,"High Volume","Low Volume")</f>
        <v>Low Volume</v>
      </c>
    </row>
    <row r="894" spans="1:16" x14ac:dyDescent="0.3">
      <c r="A894" t="s">
        <v>1793</v>
      </c>
      <c r="B894" t="s">
        <v>1794</v>
      </c>
      <c r="C894">
        <v>1320</v>
      </c>
      <c r="D894">
        <v>1323.9</v>
      </c>
      <c r="E894">
        <v>1262</v>
      </c>
      <c r="F894">
        <v>1274.9000000000001</v>
      </c>
      <c r="G894">
        <v>1332.8</v>
      </c>
      <c r="H894">
        <v>182458</v>
      </c>
      <c r="I894">
        <v>14041</v>
      </c>
      <c r="J894">
        <v>219000000000</v>
      </c>
      <c r="K894">
        <v>171573159</v>
      </c>
      <c r="L894">
        <f>(Table1[[#This Row],[CLOSE_PRICE]] - Table1[[#This Row],[PREV_CL_PR]]) / Table1[[#This Row],[PREV_CL_PR]] * 100</f>
        <v>-4.3442376950780206</v>
      </c>
      <c r="M894">
        <f>Table1[[#This Row],[HIGH_PRICE]]-Table1[[#This Row],[LOW_PRICE]]</f>
        <v>61.900000000000091</v>
      </c>
      <c r="N894" t="str">
        <f>IF(Table1[[#This Row],[CLOSE_PRICE]]&gt;Table1[[#This Row],[OPEN_PRICE]],"Gain","Loss")</f>
        <v>Loss</v>
      </c>
      <c r="O894" t="str">
        <f>IF(Table1[[#This Row],[MARKET_CAP]]&gt;200000000000,"Large Cap",
IF(Table1[[#This Row],[MARKET_CAP]]&gt;50000000000,"Mid Cap","Small Cap"))</f>
        <v>Large Cap</v>
      </c>
      <c r="P894" t="str">
        <f>IF(Table1[[#This Row],[NET_TRDQTY]]&gt;1000000,"High Volume","Low Volume")</f>
        <v>Low Volume</v>
      </c>
    </row>
    <row r="895" spans="1:16" x14ac:dyDescent="0.3">
      <c r="A895" t="s">
        <v>1795</v>
      </c>
      <c r="B895" t="s">
        <v>1796</v>
      </c>
      <c r="C895">
        <v>38.15</v>
      </c>
      <c r="D895">
        <v>39.76</v>
      </c>
      <c r="E895">
        <v>37.049999999999997</v>
      </c>
      <c r="F895">
        <v>37.58</v>
      </c>
      <c r="G895">
        <v>39.979999999999997</v>
      </c>
      <c r="H895">
        <v>1003809</v>
      </c>
      <c r="I895">
        <v>3830</v>
      </c>
      <c r="J895">
        <v>21265073178</v>
      </c>
      <c r="K895">
        <v>565861447</v>
      </c>
      <c r="L895">
        <f>(Table1[[#This Row],[CLOSE_PRICE]] - Table1[[#This Row],[PREV_CL_PR]]) / Table1[[#This Row],[PREV_CL_PR]] * 100</f>
        <v>-6.0030015007503721</v>
      </c>
      <c r="M895">
        <f>Table1[[#This Row],[HIGH_PRICE]]-Table1[[#This Row],[LOW_PRICE]]</f>
        <v>2.7100000000000009</v>
      </c>
      <c r="N895" t="str">
        <f>IF(Table1[[#This Row],[CLOSE_PRICE]]&gt;Table1[[#This Row],[OPEN_PRICE]],"Gain","Loss")</f>
        <v>Loss</v>
      </c>
      <c r="O895" t="str">
        <f>IF(Table1[[#This Row],[MARKET_CAP]]&gt;200000000000,"Large Cap",
IF(Table1[[#This Row],[MARKET_CAP]]&gt;50000000000,"Mid Cap","Small Cap"))</f>
        <v>Small Cap</v>
      </c>
      <c r="P895" t="str">
        <f>IF(Table1[[#This Row],[NET_TRDQTY]]&gt;1000000,"High Volume","Low Volume")</f>
        <v>High Volume</v>
      </c>
    </row>
    <row r="896" spans="1:16" x14ac:dyDescent="0.3">
      <c r="A896" t="s">
        <v>1797</v>
      </c>
      <c r="B896" t="s">
        <v>1798</v>
      </c>
      <c r="C896">
        <v>1224.0999999999999</v>
      </c>
      <c r="D896">
        <v>1224.0999999999999</v>
      </c>
      <c r="E896">
        <v>1173</v>
      </c>
      <c r="F896">
        <v>1179.7</v>
      </c>
      <c r="G896">
        <v>1235.3</v>
      </c>
      <c r="H896">
        <v>94109</v>
      </c>
      <c r="I896">
        <v>11340</v>
      </c>
      <c r="J896">
        <v>63649658848</v>
      </c>
      <c r="K896">
        <v>53954106</v>
      </c>
      <c r="L896">
        <f>(Table1[[#This Row],[CLOSE_PRICE]] - Table1[[#This Row],[PREV_CL_PR]]) / Table1[[#This Row],[PREV_CL_PR]] * 100</f>
        <v>-4.5009309479478601</v>
      </c>
      <c r="M896">
        <f>Table1[[#This Row],[HIGH_PRICE]]-Table1[[#This Row],[LOW_PRICE]]</f>
        <v>51.099999999999909</v>
      </c>
      <c r="N896" t="str">
        <f>IF(Table1[[#This Row],[CLOSE_PRICE]]&gt;Table1[[#This Row],[OPEN_PRICE]],"Gain","Loss")</f>
        <v>Loss</v>
      </c>
      <c r="O896" t="str">
        <f>IF(Table1[[#This Row],[MARKET_CAP]]&gt;200000000000,"Large Cap",
IF(Table1[[#This Row],[MARKET_CAP]]&gt;50000000000,"Mid Cap","Small Cap"))</f>
        <v>Mid Cap</v>
      </c>
      <c r="P896" t="str">
        <f>IF(Table1[[#This Row],[NET_TRDQTY]]&gt;1000000,"High Volume","Low Volume")</f>
        <v>Low Volume</v>
      </c>
    </row>
    <row r="897" spans="1:16" x14ac:dyDescent="0.3">
      <c r="A897" t="s">
        <v>1799</v>
      </c>
      <c r="B897" t="s">
        <v>1800</v>
      </c>
      <c r="C897">
        <v>1002.1</v>
      </c>
      <c r="D897">
        <v>1004</v>
      </c>
      <c r="E897">
        <v>955.6</v>
      </c>
      <c r="F897">
        <v>966.2</v>
      </c>
      <c r="G897">
        <v>995.6</v>
      </c>
      <c r="H897">
        <v>2592</v>
      </c>
      <c r="I897">
        <v>520</v>
      </c>
      <c r="J897">
        <v>12058176000</v>
      </c>
      <c r="K897">
        <v>12480000</v>
      </c>
      <c r="L897">
        <f>(Table1[[#This Row],[CLOSE_PRICE]] - Table1[[#This Row],[PREV_CL_PR]]) / Table1[[#This Row],[PREV_CL_PR]] * 100</f>
        <v>-2.9529931699477681</v>
      </c>
      <c r="M897">
        <f>Table1[[#This Row],[HIGH_PRICE]]-Table1[[#This Row],[LOW_PRICE]]</f>
        <v>48.399999999999977</v>
      </c>
      <c r="N897" t="str">
        <f>IF(Table1[[#This Row],[CLOSE_PRICE]]&gt;Table1[[#This Row],[OPEN_PRICE]],"Gain","Loss")</f>
        <v>Loss</v>
      </c>
      <c r="O897" t="str">
        <f>IF(Table1[[#This Row],[MARKET_CAP]]&gt;200000000000,"Large Cap",
IF(Table1[[#This Row],[MARKET_CAP]]&gt;50000000000,"Mid Cap","Small Cap"))</f>
        <v>Small Cap</v>
      </c>
      <c r="P897" t="str">
        <f>IF(Table1[[#This Row],[NET_TRDQTY]]&gt;1000000,"High Volume","Low Volume")</f>
        <v>Low Volume</v>
      </c>
    </row>
    <row r="898" spans="1:16" x14ac:dyDescent="0.3">
      <c r="A898" t="s">
        <v>1801</v>
      </c>
      <c r="B898" t="s">
        <v>1802</v>
      </c>
      <c r="C898">
        <v>101.3</v>
      </c>
      <c r="D898">
        <v>101.3</v>
      </c>
      <c r="E898">
        <v>94</v>
      </c>
      <c r="F898">
        <v>94.75</v>
      </c>
      <c r="G898">
        <v>101.3</v>
      </c>
      <c r="H898">
        <v>560709</v>
      </c>
      <c r="I898">
        <v>5358</v>
      </c>
      <c r="J898">
        <v>20882390719</v>
      </c>
      <c r="K898">
        <v>220394625</v>
      </c>
      <c r="L898">
        <f>(Table1[[#This Row],[CLOSE_PRICE]] - Table1[[#This Row],[PREV_CL_PR]]) / Table1[[#This Row],[PREV_CL_PR]] * 100</f>
        <v>-6.4659427443237885</v>
      </c>
      <c r="M898">
        <f>Table1[[#This Row],[HIGH_PRICE]]-Table1[[#This Row],[LOW_PRICE]]</f>
        <v>7.2999999999999972</v>
      </c>
      <c r="N898" t="str">
        <f>IF(Table1[[#This Row],[CLOSE_PRICE]]&gt;Table1[[#This Row],[OPEN_PRICE]],"Gain","Loss")</f>
        <v>Loss</v>
      </c>
      <c r="O898" t="str">
        <f>IF(Table1[[#This Row],[MARKET_CAP]]&gt;200000000000,"Large Cap",
IF(Table1[[#This Row],[MARKET_CAP]]&gt;50000000000,"Mid Cap","Small Cap"))</f>
        <v>Small Cap</v>
      </c>
      <c r="P898" t="str">
        <f>IF(Table1[[#This Row],[NET_TRDQTY]]&gt;1000000,"High Volume","Low Volume")</f>
        <v>Low Volume</v>
      </c>
    </row>
    <row r="899" spans="1:16" x14ac:dyDescent="0.3">
      <c r="A899" t="s">
        <v>1803</v>
      </c>
      <c r="B899" t="s">
        <v>1804</v>
      </c>
      <c r="C899">
        <v>32.94</v>
      </c>
      <c r="D899">
        <v>32.94</v>
      </c>
      <c r="E899">
        <v>31.02</v>
      </c>
      <c r="F899">
        <v>31.43</v>
      </c>
      <c r="G899">
        <v>32.94</v>
      </c>
      <c r="H899">
        <v>3540</v>
      </c>
      <c r="I899">
        <v>43</v>
      </c>
      <c r="J899">
        <v>1469784663</v>
      </c>
      <c r="K899">
        <v>46763750</v>
      </c>
      <c r="L899">
        <f>(Table1[[#This Row],[CLOSE_PRICE]] - Table1[[#This Row],[PREV_CL_PR]]) / Table1[[#This Row],[PREV_CL_PR]] * 100</f>
        <v>-4.5840922890103162</v>
      </c>
      <c r="M899">
        <f>Table1[[#This Row],[HIGH_PRICE]]-Table1[[#This Row],[LOW_PRICE]]</f>
        <v>1.9199999999999982</v>
      </c>
      <c r="N899" t="str">
        <f>IF(Table1[[#This Row],[CLOSE_PRICE]]&gt;Table1[[#This Row],[OPEN_PRICE]],"Gain","Loss")</f>
        <v>Loss</v>
      </c>
      <c r="O899" t="str">
        <f>IF(Table1[[#This Row],[MARKET_CAP]]&gt;200000000000,"Large Cap",
IF(Table1[[#This Row],[MARKET_CAP]]&gt;50000000000,"Mid Cap","Small Cap"))</f>
        <v>Small Cap</v>
      </c>
      <c r="P899" t="str">
        <f>IF(Table1[[#This Row],[NET_TRDQTY]]&gt;1000000,"High Volume","Low Volume")</f>
        <v>Low Volume</v>
      </c>
    </row>
    <row r="900" spans="1:16" x14ac:dyDescent="0.3">
      <c r="A900" t="s">
        <v>1805</v>
      </c>
      <c r="B900" t="s">
        <v>1806</v>
      </c>
      <c r="C900">
        <v>31.2</v>
      </c>
      <c r="D900">
        <v>31.25</v>
      </c>
      <c r="E900">
        <v>29.51</v>
      </c>
      <c r="F900">
        <v>30.09</v>
      </c>
      <c r="G900">
        <v>31.14</v>
      </c>
      <c r="H900">
        <v>48019</v>
      </c>
      <c r="I900">
        <v>754</v>
      </c>
      <c r="J900">
        <v>1335340038</v>
      </c>
      <c r="K900">
        <v>44378200</v>
      </c>
      <c r="L900">
        <f>(Table1[[#This Row],[CLOSE_PRICE]] - Table1[[#This Row],[PREV_CL_PR]]) / Table1[[#This Row],[PREV_CL_PR]] * 100</f>
        <v>-3.3718689788053973</v>
      </c>
      <c r="M900">
        <f>Table1[[#This Row],[HIGH_PRICE]]-Table1[[#This Row],[LOW_PRICE]]</f>
        <v>1.7399999999999984</v>
      </c>
      <c r="N900" t="str">
        <f>IF(Table1[[#This Row],[CLOSE_PRICE]]&gt;Table1[[#This Row],[OPEN_PRICE]],"Gain","Loss")</f>
        <v>Loss</v>
      </c>
      <c r="O900" t="str">
        <f>IF(Table1[[#This Row],[MARKET_CAP]]&gt;200000000000,"Large Cap",
IF(Table1[[#This Row],[MARKET_CAP]]&gt;50000000000,"Mid Cap","Small Cap"))</f>
        <v>Small Cap</v>
      </c>
      <c r="P900" t="str">
        <f>IF(Table1[[#This Row],[NET_TRDQTY]]&gt;1000000,"High Volume","Low Volume")</f>
        <v>Low Volume</v>
      </c>
    </row>
    <row r="901" spans="1:16" x14ac:dyDescent="0.3">
      <c r="A901" t="s">
        <v>1807</v>
      </c>
      <c r="B901" t="s">
        <v>1808</v>
      </c>
      <c r="C901">
        <v>432.5</v>
      </c>
      <c r="D901">
        <v>437.2</v>
      </c>
      <c r="E901">
        <v>414</v>
      </c>
      <c r="F901">
        <v>423.5</v>
      </c>
      <c r="G901">
        <v>440.65</v>
      </c>
      <c r="H901">
        <v>422085</v>
      </c>
      <c r="I901">
        <v>27480</v>
      </c>
      <c r="J901">
        <v>102000000000</v>
      </c>
      <c r="K901">
        <v>240317117</v>
      </c>
      <c r="L901">
        <f>(Table1[[#This Row],[CLOSE_PRICE]] - Table1[[#This Row],[PREV_CL_PR]]) / Table1[[#This Row],[PREV_CL_PR]] * 100</f>
        <v>-3.8919777601270802</v>
      </c>
      <c r="M901">
        <f>Table1[[#This Row],[HIGH_PRICE]]-Table1[[#This Row],[LOW_PRICE]]</f>
        <v>23.199999999999989</v>
      </c>
      <c r="N901" t="str">
        <f>IF(Table1[[#This Row],[CLOSE_PRICE]]&gt;Table1[[#This Row],[OPEN_PRICE]],"Gain","Loss")</f>
        <v>Loss</v>
      </c>
      <c r="O901" t="str">
        <f>IF(Table1[[#This Row],[MARKET_CAP]]&gt;200000000000,"Large Cap",
IF(Table1[[#This Row],[MARKET_CAP]]&gt;50000000000,"Mid Cap","Small Cap"))</f>
        <v>Mid Cap</v>
      </c>
      <c r="P901" t="str">
        <f>IF(Table1[[#This Row],[NET_TRDQTY]]&gt;1000000,"High Volume","Low Volume")</f>
        <v>Low Volume</v>
      </c>
    </row>
    <row r="902" spans="1:16" x14ac:dyDescent="0.3">
      <c r="A902" t="s">
        <v>1809</v>
      </c>
      <c r="B902" t="s">
        <v>1810</v>
      </c>
      <c r="C902">
        <v>351</v>
      </c>
      <c r="D902">
        <v>356.05</v>
      </c>
      <c r="E902">
        <v>345.25</v>
      </c>
      <c r="F902">
        <v>349.45</v>
      </c>
      <c r="G902">
        <v>359.85</v>
      </c>
      <c r="H902">
        <v>211665</v>
      </c>
      <c r="I902">
        <v>15281</v>
      </c>
      <c r="J902">
        <v>108000000000</v>
      </c>
      <c r="K902">
        <v>309897201</v>
      </c>
      <c r="L902">
        <f>(Table1[[#This Row],[CLOSE_PRICE]] - Table1[[#This Row],[PREV_CL_PR]]) / Table1[[#This Row],[PREV_CL_PR]] * 100</f>
        <v>-2.8900930943448753</v>
      </c>
      <c r="M902">
        <f>Table1[[#This Row],[HIGH_PRICE]]-Table1[[#This Row],[LOW_PRICE]]</f>
        <v>10.800000000000011</v>
      </c>
      <c r="N902" t="str">
        <f>IF(Table1[[#This Row],[CLOSE_PRICE]]&gt;Table1[[#This Row],[OPEN_PRICE]],"Gain","Loss")</f>
        <v>Loss</v>
      </c>
      <c r="O902" t="str">
        <f>IF(Table1[[#This Row],[MARKET_CAP]]&gt;200000000000,"Large Cap",
IF(Table1[[#This Row],[MARKET_CAP]]&gt;50000000000,"Mid Cap","Small Cap"))</f>
        <v>Mid Cap</v>
      </c>
      <c r="P902" t="str">
        <f>IF(Table1[[#This Row],[NET_TRDQTY]]&gt;1000000,"High Volume","Low Volume")</f>
        <v>Low Volume</v>
      </c>
    </row>
    <row r="903" spans="1:16" x14ac:dyDescent="0.3">
      <c r="A903" t="s">
        <v>1811</v>
      </c>
      <c r="B903" t="s">
        <v>1812</v>
      </c>
      <c r="C903">
        <v>876.25</v>
      </c>
      <c r="D903">
        <v>876.25</v>
      </c>
      <c r="E903">
        <v>811</v>
      </c>
      <c r="F903">
        <v>816.65</v>
      </c>
      <c r="G903">
        <v>876.25</v>
      </c>
      <c r="H903">
        <v>143386</v>
      </c>
      <c r="I903">
        <v>10303</v>
      </c>
      <c r="J903">
        <v>54737407637</v>
      </c>
      <c r="K903">
        <v>67026765</v>
      </c>
      <c r="L903">
        <f>(Table1[[#This Row],[CLOSE_PRICE]] - Table1[[#This Row],[PREV_CL_PR]]) / Table1[[#This Row],[PREV_CL_PR]] * 100</f>
        <v>-6.8017118402282488</v>
      </c>
      <c r="M903">
        <f>Table1[[#This Row],[HIGH_PRICE]]-Table1[[#This Row],[LOW_PRICE]]</f>
        <v>65.25</v>
      </c>
      <c r="N903" t="str">
        <f>IF(Table1[[#This Row],[CLOSE_PRICE]]&gt;Table1[[#This Row],[OPEN_PRICE]],"Gain","Loss")</f>
        <v>Loss</v>
      </c>
      <c r="O903" t="str">
        <f>IF(Table1[[#This Row],[MARKET_CAP]]&gt;200000000000,"Large Cap",
IF(Table1[[#This Row],[MARKET_CAP]]&gt;50000000000,"Mid Cap","Small Cap"))</f>
        <v>Mid Cap</v>
      </c>
      <c r="P903" t="str">
        <f>IF(Table1[[#This Row],[NET_TRDQTY]]&gt;1000000,"High Volume","Low Volume")</f>
        <v>Low Volume</v>
      </c>
    </row>
    <row r="904" spans="1:16" x14ac:dyDescent="0.3">
      <c r="A904" t="s">
        <v>1813</v>
      </c>
      <c r="B904" t="s">
        <v>1814</v>
      </c>
      <c r="C904">
        <v>1961</v>
      </c>
      <c r="D904">
        <v>1995.7</v>
      </c>
      <c r="E904">
        <v>1943.1</v>
      </c>
      <c r="F904">
        <v>1970.5</v>
      </c>
      <c r="G904">
        <v>1994.4</v>
      </c>
      <c r="H904">
        <v>200497</v>
      </c>
      <c r="I904">
        <v>13958</v>
      </c>
      <c r="J904">
        <v>118000000000</v>
      </c>
      <c r="K904">
        <v>60087148</v>
      </c>
      <c r="L904">
        <f>(Table1[[#This Row],[CLOSE_PRICE]] - Table1[[#This Row],[PREV_CL_PR]]) / Table1[[#This Row],[PREV_CL_PR]] * 100</f>
        <v>-1.1983553951063022</v>
      </c>
      <c r="M904">
        <f>Table1[[#This Row],[HIGH_PRICE]]-Table1[[#This Row],[LOW_PRICE]]</f>
        <v>52.600000000000136</v>
      </c>
      <c r="N904" t="str">
        <f>IF(Table1[[#This Row],[CLOSE_PRICE]]&gt;Table1[[#This Row],[OPEN_PRICE]],"Gain","Loss")</f>
        <v>Gain</v>
      </c>
      <c r="O904" t="str">
        <f>IF(Table1[[#This Row],[MARKET_CAP]]&gt;200000000000,"Large Cap",
IF(Table1[[#This Row],[MARKET_CAP]]&gt;50000000000,"Mid Cap","Small Cap"))</f>
        <v>Mid Cap</v>
      </c>
      <c r="P904" t="str">
        <f>IF(Table1[[#This Row],[NET_TRDQTY]]&gt;1000000,"High Volume","Low Volume")</f>
        <v>Low Volume</v>
      </c>
    </row>
    <row r="905" spans="1:16" x14ac:dyDescent="0.3">
      <c r="A905" t="s">
        <v>1815</v>
      </c>
      <c r="B905" t="s">
        <v>1816</v>
      </c>
      <c r="C905">
        <v>861</v>
      </c>
      <c r="D905">
        <v>869.9</v>
      </c>
      <c r="E905">
        <v>833</v>
      </c>
      <c r="F905">
        <v>838.2</v>
      </c>
      <c r="G905">
        <v>878.65</v>
      </c>
      <c r="H905">
        <v>1677108</v>
      </c>
      <c r="I905">
        <v>83159</v>
      </c>
      <c r="J905">
        <v>1130000000000</v>
      </c>
      <c r="K905">
        <v>1346963981</v>
      </c>
      <c r="L905">
        <f>(Table1[[#This Row],[CLOSE_PRICE]] - Table1[[#This Row],[PREV_CL_PR]]) / Table1[[#This Row],[PREV_CL_PR]] * 100</f>
        <v>-4.6036533318158464</v>
      </c>
      <c r="M905">
        <f>Table1[[#This Row],[HIGH_PRICE]]-Table1[[#This Row],[LOW_PRICE]]</f>
        <v>36.899999999999977</v>
      </c>
      <c r="N905" t="str">
        <f>IF(Table1[[#This Row],[CLOSE_PRICE]]&gt;Table1[[#This Row],[OPEN_PRICE]],"Gain","Loss")</f>
        <v>Loss</v>
      </c>
      <c r="O905" t="str">
        <f>IF(Table1[[#This Row],[MARKET_CAP]]&gt;200000000000,"Large Cap",
IF(Table1[[#This Row],[MARKET_CAP]]&gt;50000000000,"Mid Cap","Small Cap"))</f>
        <v>Large Cap</v>
      </c>
      <c r="P905" t="str">
        <f>IF(Table1[[#This Row],[NET_TRDQTY]]&gt;1000000,"High Volume","Low Volume")</f>
        <v>High Volume</v>
      </c>
    </row>
    <row r="906" spans="1:16" x14ac:dyDescent="0.3">
      <c r="A906" t="s">
        <v>1817</v>
      </c>
      <c r="B906" t="s">
        <v>1818</v>
      </c>
      <c r="C906">
        <v>182.19</v>
      </c>
      <c r="D906">
        <v>184</v>
      </c>
      <c r="E906">
        <v>175</v>
      </c>
      <c r="F906">
        <v>175.57</v>
      </c>
      <c r="G906">
        <v>182.19</v>
      </c>
      <c r="H906">
        <v>2115</v>
      </c>
      <c r="I906">
        <v>102</v>
      </c>
      <c r="J906">
        <v>1043082438</v>
      </c>
      <c r="K906">
        <v>5941120</v>
      </c>
      <c r="L906">
        <f>(Table1[[#This Row],[CLOSE_PRICE]] - Table1[[#This Row],[PREV_CL_PR]]) / Table1[[#This Row],[PREV_CL_PR]] * 100</f>
        <v>-3.6335693506778663</v>
      </c>
      <c r="M906">
        <f>Table1[[#This Row],[HIGH_PRICE]]-Table1[[#This Row],[LOW_PRICE]]</f>
        <v>9</v>
      </c>
      <c r="N906" t="str">
        <f>IF(Table1[[#This Row],[CLOSE_PRICE]]&gt;Table1[[#This Row],[OPEN_PRICE]],"Gain","Loss")</f>
        <v>Loss</v>
      </c>
      <c r="O906" t="str">
        <f>IF(Table1[[#This Row],[MARKET_CAP]]&gt;200000000000,"Large Cap",
IF(Table1[[#This Row],[MARKET_CAP]]&gt;50000000000,"Mid Cap","Small Cap"))</f>
        <v>Small Cap</v>
      </c>
      <c r="P906" t="str">
        <f>IF(Table1[[#This Row],[NET_TRDQTY]]&gt;1000000,"High Volume","Low Volume")</f>
        <v>Low Volume</v>
      </c>
    </row>
    <row r="907" spans="1:16" x14ac:dyDescent="0.3">
      <c r="A907" t="s">
        <v>1819</v>
      </c>
      <c r="B907" t="s">
        <v>1820</v>
      </c>
      <c r="C907">
        <v>318.89999999999998</v>
      </c>
      <c r="D907">
        <v>318.89999999999998</v>
      </c>
      <c r="E907">
        <v>304.64999999999998</v>
      </c>
      <c r="F907">
        <v>307.55</v>
      </c>
      <c r="G907">
        <v>323.75</v>
      </c>
      <c r="H907">
        <v>53129</v>
      </c>
      <c r="I907">
        <v>1592</v>
      </c>
      <c r="J907">
        <v>16202278364</v>
      </c>
      <c r="K907">
        <v>52681770</v>
      </c>
      <c r="L907">
        <f>(Table1[[#This Row],[CLOSE_PRICE]] - Table1[[#This Row],[PREV_CL_PR]]) / Table1[[#This Row],[PREV_CL_PR]] * 100</f>
        <v>-5.0038610038610001</v>
      </c>
      <c r="M907">
        <f>Table1[[#This Row],[HIGH_PRICE]]-Table1[[#This Row],[LOW_PRICE]]</f>
        <v>14.25</v>
      </c>
      <c r="N907" t="str">
        <f>IF(Table1[[#This Row],[CLOSE_PRICE]]&gt;Table1[[#This Row],[OPEN_PRICE]],"Gain","Loss")</f>
        <v>Loss</v>
      </c>
      <c r="O907" t="str">
        <f>IF(Table1[[#This Row],[MARKET_CAP]]&gt;200000000000,"Large Cap",
IF(Table1[[#This Row],[MARKET_CAP]]&gt;50000000000,"Mid Cap","Small Cap"))</f>
        <v>Small Cap</v>
      </c>
      <c r="P907" t="str">
        <f>IF(Table1[[#This Row],[NET_TRDQTY]]&gt;1000000,"High Volume","Low Volume")</f>
        <v>Low Volume</v>
      </c>
    </row>
    <row r="908" spans="1:16" x14ac:dyDescent="0.3">
      <c r="A908" t="s">
        <v>1821</v>
      </c>
      <c r="B908" t="s">
        <v>1822</v>
      </c>
      <c r="C908">
        <v>685</v>
      </c>
      <c r="D908">
        <v>690.05</v>
      </c>
      <c r="E908">
        <v>654.5</v>
      </c>
      <c r="F908">
        <v>667.5</v>
      </c>
      <c r="G908">
        <v>686.15</v>
      </c>
      <c r="H908">
        <v>147261</v>
      </c>
      <c r="I908">
        <v>9191</v>
      </c>
      <c r="J908">
        <v>72488508180</v>
      </c>
      <c r="K908">
        <v>108597016</v>
      </c>
      <c r="L908">
        <f>(Table1[[#This Row],[CLOSE_PRICE]] - Table1[[#This Row],[PREV_CL_PR]]) / Table1[[#This Row],[PREV_CL_PR]] * 100</f>
        <v>-2.7180645631421667</v>
      </c>
      <c r="M908">
        <f>Table1[[#This Row],[HIGH_PRICE]]-Table1[[#This Row],[LOW_PRICE]]</f>
        <v>35.549999999999955</v>
      </c>
      <c r="N908" t="str">
        <f>IF(Table1[[#This Row],[CLOSE_PRICE]]&gt;Table1[[#This Row],[OPEN_PRICE]],"Gain","Loss")</f>
        <v>Loss</v>
      </c>
      <c r="O908" t="str">
        <f>IF(Table1[[#This Row],[MARKET_CAP]]&gt;200000000000,"Large Cap",
IF(Table1[[#This Row],[MARKET_CAP]]&gt;50000000000,"Mid Cap","Small Cap"))</f>
        <v>Mid Cap</v>
      </c>
      <c r="P908" t="str">
        <f>IF(Table1[[#This Row],[NET_TRDQTY]]&gt;1000000,"High Volume","Low Volume")</f>
        <v>Low Volume</v>
      </c>
    </row>
    <row r="909" spans="1:16" x14ac:dyDescent="0.3">
      <c r="A909" t="s">
        <v>1823</v>
      </c>
      <c r="B909" t="s">
        <v>1824</v>
      </c>
      <c r="C909">
        <v>738</v>
      </c>
      <c r="D909">
        <v>738</v>
      </c>
      <c r="E909">
        <v>711</v>
      </c>
      <c r="F909">
        <v>712.95</v>
      </c>
      <c r="G909">
        <v>743.75</v>
      </c>
      <c r="H909">
        <v>134198</v>
      </c>
      <c r="I909">
        <v>9436</v>
      </c>
      <c r="J909">
        <v>33990363223</v>
      </c>
      <c r="K909">
        <v>47675662</v>
      </c>
      <c r="L909">
        <f>(Table1[[#This Row],[CLOSE_PRICE]] - Table1[[#This Row],[PREV_CL_PR]]) / Table1[[#This Row],[PREV_CL_PR]] * 100</f>
        <v>-4.1411764705882295</v>
      </c>
      <c r="M909">
        <f>Table1[[#This Row],[HIGH_PRICE]]-Table1[[#This Row],[LOW_PRICE]]</f>
        <v>27</v>
      </c>
      <c r="N909" t="str">
        <f>IF(Table1[[#This Row],[CLOSE_PRICE]]&gt;Table1[[#This Row],[OPEN_PRICE]],"Gain","Loss")</f>
        <v>Loss</v>
      </c>
      <c r="O909" t="str">
        <f>IF(Table1[[#This Row],[MARKET_CAP]]&gt;200000000000,"Large Cap",
IF(Table1[[#This Row],[MARKET_CAP]]&gt;50000000000,"Mid Cap","Small Cap"))</f>
        <v>Small Cap</v>
      </c>
      <c r="P909" t="str">
        <f>IF(Table1[[#This Row],[NET_TRDQTY]]&gt;1000000,"High Volume","Low Volume")</f>
        <v>Low Volume</v>
      </c>
    </row>
    <row r="910" spans="1:16" x14ac:dyDescent="0.3">
      <c r="A910" t="s">
        <v>1825</v>
      </c>
      <c r="B910" t="s">
        <v>1826</v>
      </c>
      <c r="C910">
        <v>141.05000000000001</v>
      </c>
      <c r="D910">
        <v>147.5</v>
      </c>
      <c r="E910">
        <v>132.05000000000001</v>
      </c>
      <c r="F910">
        <v>135.56</v>
      </c>
      <c r="G910">
        <v>148.05000000000001</v>
      </c>
      <c r="H910">
        <v>96505</v>
      </c>
      <c r="I910">
        <v>3312</v>
      </c>
      <c r="J910">
        <v>28469159889</v>
      </c>
      <c r="K910">
        <v>210011507</v>
      </c>
      <c r="L910">
        <f>(Table1[[#This Row],[CLOSE_PRICE]] - Table1[[#This Row],[PREV_CL_PR]]) / Table1[[#This Row],[PREV_CL_PR]] * 100</f>
        <v>-8.4363390746369511</v>
      </c>
      <c r="M910">
        <f>Table1[[#This Row],[HIGH_PRICE]]-Table1[[#This Row],[LOW_PRICE]]</f>
        <v>15.449999999999989</v>
      </c>
      <c r="N910" t="str">
        <f>IF(Table1[[#This Row],[CLOSE_PRICE]]&gt;Table1[[#This Row],[OPEN_PRICE]],"Gain","Loss")</f>
        <v>Loss</v>
      </c>
      <c r="O910" t="str">
        <f>IF(Table1[[#This Row],[MARKET_CAP]]&gt;200000000000,"Large Cap",
IF(Table1[[#This Row],[MARKET_CAP]]&gt;50000000000,"Mid Cap","Small Cap"))</f>
        <v>Small Cap</v>
      </c>
      <c r="P910" t="str">
        <f>IF(Table1[[#This Row],[NET_TRDQTY]]&gt;1000000,"High Volume","Low Volume")</f>
        <v>Low Volume</v>
      </c>
    </row>
    <row r="911" spans="1:16" x14ac:dyDescent="0.3">
      <c r="A911" t="s">
        <v>1827</v>
      </c>
      <c r="B911" t="s">
        <v>1828</v>
      </c>
      <c r="C911">
        <v>735.2</v>
      </c>
      <c r="D911">
        <v>735.25</v>
      </c>
      <c r="E911">
        <v>705</v>
      </c>
      <c r="F911">
        <v>710.25</v>
      </c>
      <c r="G911">
        <v>735.2</v>
      </c>
      <c r="H911">
        <v>24147</v>
      </c>
      <c r="I911">
        <v>2282</v>
      </c>
      <c r="J911">
        <v>16066866396</v>
      </c>
      <c r="K911">
        <v>22621424</v>
      </c>
      <c r="L911">
        <f>(Table1[[#This Row],[CLOSE_PRICE]] - Table1[[#This Row],[PREV_CL_PR]]) / Table1[[#This Row],[PREV_CL_PR]] * 100</f>
        <v>-3.3936343852013122</v>
      </c>
      <c r="M911">
        <f>Table1[[#This Row],[HIGH_PRICE]]-Table1[[#This Row],[LOW_PRICE]]</f>
        <v>30.25</v>
      </c>
      <c r="N911" t="str">
        <f>IF(Table1[[#This Row],[CLOSE_PRICE]]&gt;Table1[[#This Row],[OPEN_PRICE]],"Gain","Loss")</f>
        <v>Loss</v>
      </c>
      <c r="O911" t="str">
        <f>IF(Table1[[#This Row],[MARKET_CAP]]&gt;200000000000,"Large Cap",
IF(Table1[[#This Row],[MARKET_CAP]]&gt;50000000000,"Mid Cap","Small Cap"))</f>
        <v>Small Cap</v>
      </c>
      <c r="P911" t="str">
        <f>IF(Table1[[#This Row],[NET_TRDQTY]]&gt;1000000,"High Volume","Low Volume")</f>
        <v>Low Volume</v>
      </c>
    </row>
    <row r="912" spans="1:16" x14ac:dyDescent="0.3">
      <c r="A912" t="s">
        <v>1829</v>
      </c>
      <c r="B912" t="s">
        <v>1830</v>
      </c>
      <c r="C912">
        <v>87.89</v>
      </c>
      <c r="D912">
        <v>87.89</v>
      </c>
      <c r="E912">
        <v>81.900000000000006</v>
      </c>
      <c r="F912">
        <v>82.12</v>
      </c>
      <c r="G912">
        <v>88.27</v>
      </c>
      <c r="H912">
        <v>167200</v>
      </c>
      <c r="I912">
        <v>2021</v>
      </c>
      <c r="J912">
        <v>5960890427</v>
      </c>
      <c r="K912">
        <v>72587560</v>
      </c>
      <c r="L912">
        <f>(Table1[[#This Row],[CLOSE_PRICE]] - Table1[[#This Row],[PREV_CL_PR]]) / Table1[[#This Row],[PREV_CL_PR]] * 100</f>
        <v>-6.9672595445791226</v>
      </c>
      <c r="M912">
        <f>Table1[[#This Row],[HIGH_PRICE]]-Table1[[#This Row],[LOW_PRICE]]</f>
        <v>5.9899999999999949</v>
      </c>
      <c r="N912" t="str">
        <f>IF(Table1[[#This Row],[CLOSE_PRICE]]&gt;Table1[[#This Row],[OPEN_PRICE]],"Gain","Loss")</f>
        <v>Loss</v>
      </c>
      <c r="O912" t="str">
        <f>IF(Table1[[#This Row],[MARKET_CAP]]&gt;200000000000,"Large Cap",
IF(Table1[[#This Row],[MARKET_CAP]]&gt;50000000000,"Mid Cap","Small Cap"))</f>
        <v>Small Cap</v>
      </c>
      <c r="P912" t="str">
        <f>IF(Table1[[#This Row],[NET_TRDQTY]]&gt;1000000,"High Volume","Low Volume")</f>
        <v>Low Volume</v>
      </c>
    </row>
    <row r="913" spans="1:16" x14ac:dyDescent="0.3">
      <c r="A913" t="s">
        <v>1831</v>
      </c>
      <c r="B913" t="s">
        <v>1832</v>
      </c>
      <c r="C913">
        <v>244.16</v>
      </c>
      <c r="D913">
        <v>245</v>
      </c>
      <c r="E913">
        <v>242.97</v>
      </c>
      <c r="F913">
        <v>244.12</v>
      </c>
      <c r="G913">
        <v>244.16</v>
      </c>
      <c r="H913">
        <v>54529</v>
      </c>
      <c r="I913">
        <v>404</v>
      </c>
      <c r="J913">
        <v>7833810800</v>
      </c>
      <c r="K913">
        <v>32090000</v>
      </c>
      <c r="L913">
        <f>(Table1[[#This Row],[CLOSE_PRICE]] - Table1[[#This Row],[PREV_CL_PR]]) / Table1[[#This Row],[PREV_CL_PR]] * 100</f>
        <v>-1.6382699868935143E-2</v>
      </c>
      <c r="M913">
        <f>Table1[[#This Row],[HIGH_PRICE]]-Table1[[#This Row],[LOW_PRICE]]</f>
        <v>2.0300000000000011</v>
      </c>
      <c r="N913" t="str">
        <f>IF(Table1[[#This Row],[CLOSE_PRICE]]&gt;Table1[[#This Row],[OPEN_PRICE]],"Gain","Loss")</f>
        <v>Loss</v>
      </c>
      <c r="O913" t="str">
        <f>IF(Table1[[#This Row],[MARKET_CAP]]&gt;200000000000,"Large Cap",
IF(Table1[[#This Row],[MARKET_CAP]]&gt;50000000000,"Mid Cap","Small Cap"))</f>
        <v>Small Cap</v>
      </c>
      <c r="P913" t="str">
        <f>IF(Table1[[#This Row],[NET_TRDQTY]]&gt;1000000,"High Volume","Low Volume")</f>
        <v>Low Volume</v>
      </c>
    </row>
    <row r="914" spans="1:16" x14ac:dyDescent="0.3">
      <c r="A914" t="s">
        <v>1833</v>
      </c>
      <c r="B914" t="s">
        <v>1834</v>
      </c>
      <c r="C914">
        <v>189.32</v>
      </c>
      <c r="D914">
        <v>194.29</v>
      </c>
      <c r="E914">
        <v>181.7</v>
      </c>
      <c r="F914">
        <v>182.93</v>
      </c>
      <c r="G914">
        <v>192.2</v>
      </c>
      <c r="H914">
        <v>37919</v>
      </c>
      <c r="I914">
        <v>1493</v>
      </c>
      <c r="J914">
        <v>16874909262</v>
      </c>
      <c r="K914">
        <v>92247905</v>
      </c>
      <c r="L914">
        <f>(Table1[[#This Row],[CLOSE_PRICE]] - Table1[[#This Row],[PREV_CL_PR]]) / Table1[[#This Row],[PREV_CL_PR]] * 100</f>
        <v>-4.8231009365244448</v>
      </c>
      <c r="M914">
        <f>Table1[[#This Row],[HIGH_PRICE]]-Table1[[#This Row],[LOW_PRICE]]</f>
        <v>12.590000000000003</v>
      </c>
      <c r="N914" t="str">
        <f>IF(Table1[[#This Row],[CLOSE_PRICE]]&gt;Table1[[#This Row],[OPEN_PRICE]],"Gain","Loss")</f>
        <v>Loss</v>
      </c>
      <c r="O914" t="str">
        <f>IF(Table1[[#This Row],[MARKET_CAP]]&gt;200000000000,"Large Cap",
IF(Table1[[#This Row],[MARKET_CAP]]&gt;50000000000,"Mid Cap","Small Cap"))</f>
        <v>Small Cap</v>
      </c>
      <c r="P914" t="str">
        <f>IF(Table1[[#This Row],[NET_TRDQTY]]&gt;1000000,"High Volume","Low Volume")</f>
        <v>Low Volume</v>
      </c>
    </row>
    <row r="915" spans="1:16" x14ac:dyDescent="0.3">
      <c r="A915" t="s">
        <v>1835</v>
      </c>
      <c r="B915" t="s">
        <v>1836</v>
      </c>
      <c r="C915">
        <v>125</v>
      </c>
      <c r="D915">
        <v>125</v>
      </c>
      <c r="E915">
        <v>118</v>
      </c>
      <c r="F915">
        <v>119.36</v>
      </c>
      <c r="G915">
        <v>125.99</v>
      </c>
      <c r="H915">
        <v>211450</v>
      </c>
      <c r="I915">
        <v>2424</v>
      </c>
      <c r="J915">
        <v>5735438976</v>
      </c>
      <c r="K915">
        <v>48051600</v>
      </c>
      <c r="L915">
        <f>(Table1[[#This Row],[CLOSE_PRICE]] - Table1[[#This Row],[PREV_CL_PR]]) / Table1[[#This Row],[PREV_CL_PR]] * 100</f>
        <v>-5.2623224065401981</v>
      </c>
      <c r="M915">
        <f>Table1[[#This Row],[HIGH_PRICE]]-Table1[[#This Row],[LOW_PRICE]]</f>
        <v>7</v>
      </c>
      <c r="N915" t="str">
        <f>IF(Table1[[#This Row],[CLOSE_PRICE]]&gt;Table1[[#This Row],[OPEN_PRICE]],"Gain","Loss")</f>
        <v>Loss</v>
      </c>
      <c r="O915" t="str">
        <f>IF(Table1[[#This Row],[MARKET_CAP]]&gt;200000000000,"Large Cap",
IF(Table1[[#This Row],[MARKET_CAP]]&gt;50000000000,"Mid Cap","Small Cap"))</f>
        <v>Small Cap</v>
      </c>
      <c r="P915" t="str">
        <f>IF(Table1[[#This Row],[NET_TRDQTY]]&gt;1000000,"High Volume","Low Volume")</f>
        <v>Low Volume</v>
      </c>
    </row>
    <row r="916" spans="1:16" x14ac:dyDescent="0.3">
      <c r="A916" t="s">
        <v>1837</v>
      </c>
      <c r="B916" t="s">
        <v>1838</v>
      </c>
      <c r="C916">
        <v>31.35</v>
      </c>
      <c r="D916">
        <v>31.81</v>
      </c>
      <c r="E916">
        <v>29</v>
      </c>
      <c r="F916">
        <v>31.52</v>
      </c>
      <c r="G916">
        <v>31.35</v>
      </c>
      <c r="H916">
        <v>985786</v>
      </c>
      <c r="I916">
        <v>2694</v>
      </c>
      <c r="J916">
        <v>8230286520</v>
      </c>
      <c r="K916">
        <v>261113151</v>
      </c>
      <c r="L916">
        <f>(Table1[[#This Row],[CLOSE_PRICE]] - Table1[[#This Row],[PREV_CL_PR]]) / Table1[[#This Row],[PREV_CL_PR]] * 100</f>
        <v>0.54226475279106268</v>
      </c>
      <c r="M916">
        <f>Table1[[#This Row],[HIGH_PRICE]]-Table1[[#This Row],[LOW_PRICE]]</f>
        <v>2.8099999999999987</v>
      </c>
      <c r="N916" t="str">
        <f>IF(Table1[[#This Row],[CLOSE_PRICE]]&gt;Table1[[#This Row],[OPEN_PRICE]],"Gain","Loss")</f>
        <v>Gain</v>
      </c>
      <c r="O916" t="str">
        <f>IF(Table1[[#This Row],[MARKET_CAP]]&gt;200000000000,"Large Cap",
IF(Table1[[#This Row],[MARKET_CAP]]&gt;50000000000,"Mid Cap","Small Cap"))</f>
        <v>Small Cap</v>
      </c>
      <c r="P916" t="str">
        <f>IF(Table1[[#This Row],[NET_TRDQTY]]&gt;1000000,"High Volume","Low Volume")</f>
        <v>Low Volume</v>
      </c>
    </row>
    <row r="917" spans="1:16" x14ac:dyDescent="0.3">
      <c r="A917" t="s">
        <v>1839</v>
      </c>
      <c r="B917" t="s">
        <v>1840</v>
      </c>
      <c r="C917">
        <v>196.1</v>
      </c>
      <c r="D917">
        <v>196.1</v>
      </c>
      <c r="E917">
        <v>179.03</v>
      </c>
      <c r="F917">
        <v>183.32</v>
      </c>
      <c r="G917">
        <v>199.1</v>
      </c>
      <c r="H917">
        <v>315689</v>
      </c>
      <c r="I917">
        <v>3827</v>
      </c>
      <c r="J917">
        <v>29619229084</v>
      </c>
      <c r="K917">
        <v>161571182</v>
      </c>
      <c r="L917">
        <f>(Table1[[#This Row],[CLOSE_PRICE]] - Table1[[#This Row],[PREV_CL_PR]]) / Table1[[#This Row],[PREV_CL_PR]] * 100</f>
        <v>-7.9256654947262692</v>
      </c>
      <c r="M917">
        <f>Table1[[#This Row],[HIGH_PRICE]]-Table1[[#This Row],[LOW_PRICE]]</f>
        <v>17.069999999999993</v>
      </c>
      <c r="N917" t="str">
        <f>IF(Table1[[#This Row],[CLOSE_PRICE]]&gt;Table1[[#This Row],[OPEN_PRICE]],"Gain","Loss")</f>
        <v>Loss</v>
      </c>
      <c r="O917" t="str">
        <f>IF(Table1[[#This Row],[MARKET_CAP]]&gt;200000000000,"Large Cap",
IF(Table1[[#This Row],[MARKET_CAP]]&gt;50000000000,"Mid Cap","Small Cap"))</f>
        <v>Small Cap</v>
      </c>
      <c r="P917" t="str">
        <f>IF(Table1[[#This Row],[NET_TRDQTY]]&gt;1000000,"High Volume","Low Volume")</f>
        <v>Low Volume</v>
      </c>
    </row>
    <row r="918" spans="1:16" x14ac:dyDescent="0.3">
      <c r="A918" t="s">
        <v>1841</v>
      </c>
      <c r="B918" t="s">
        <v>1842</v>
      </c>
      <c r="C918">
        <v>1278.9000000000001</v>
      </c>
      <c r="D918">
        <v>1279.5999999999999</v>
      </c>
      <c r="E918">
        <v>1225</v>
      </c>
      <c r="F918">
        <v>1233.5</v>
      </c>
      <c r="G918">
        <v>1298.0999999999999</v>
      </c>
      <c r="H918">
        <v>24185</v>
      </c>
      <c r="I918">
        <v>2251</v>
      </c>
      <c r="J918">
        <v>13099770000</v>
      </c>
      <c r="K918">
        <v>10620000</v>
      </c>
      <c r="L918">
        <f>(Table1[[#This Row],[CLOSE_PRICE]] - Table1[[#This Row],[PREV_CL_PR]]) / Table1[[#This Row],[PREV_CL_PR]] * 100</f>
        <v>-4.9765041214082055</v>
      </c>
      <c r="M918">
        <f>Table1[[#This Row],[HIGH_PRICE]]-Table1[[#This Row],[LOW_PRICE]]</f>
        <v>54.599999999999909</v>
      </c>
      <c r="N918" t="str">
        <f>IF(Table1[[#This Row],[CLOSE_PRICE]]&gt;Table1[[#This Row],[OPEN_PRICE]],"Gain","Loss")</f>
        <v>Loss</v>
      </c>
      <c r="O918" t="str">
        <f>IF(Table1[[#This Row],[MARKET_CAP]]&gt;200000000000,"Large Cap",
IF(Table1[[#This Row],[MARKET_CAP]]&gt;50000000000,"Mid Cap","Small Cap"))</f>
        <v>Small Cap</v>
      </c>
      <c r="P918" t="str">
        <f>IF(Table1[[#This Row],[NET_TRDQTY]]&gt;1000000,"High Volume","Low Volume")</f>
        <v>Low Volume</v>
      </c>
    </row>
    <row r="919" spans="1:16" x14ac:dyDescent="0.3">
      <c r="A919" t="s">
        <v>1843</v>
      </c>
      <c r="B919" t="s">
        <v>1844</v>
      </c>
      <c r="C919">
        <v>253.85</v>
      </c>
      <c r="D919">
        <v>264.75</v>
      </c>
      <c r="E919">
        <v>245.7</v>
      </c>
      <c r="F919">
        <v>258.2</v>
      </c>
      <c r="G919">
        <v>252.15</v>
      </c>
      <c r="H919">
        <v>1027614</v>
      </c>
      <c r="I919">
        <v>8698</v>
      </c>
      <c r="J919">
        <v>31803317658</v>
      </c>
      <c r="K919">
        <v>123173190</v>
      </c>
      <c r="L919">
        <f>(Table1[[#This Row],[CLOSE_PRICE]] - Table1[[#This Row],[PREV_CL_PR]]) / Table1[[#This Row],[PREV_CL_PR]] * 100</f>
        <v>2.399365457069198</v>
      </c>
      <c r="M919">
        <f>Table1[[#This Row],[HIGH_PRICE]]-Table1[[#This Row],[LOW_PRICE]]</f>
        <v>19.050000000000011</v>
      </c>
      <c r="N919" t="str">
        <f>IF(Table1[[#This Row],[CLOSE_PRICE]]&gt;Table1[[#This Row],[OPEN_PRICE]],"Gain","Loss")</f>
        <v>Gain</v>
      </c>
      <c r="O919" t="str">
        <f>IF(Table1[[#This Row],[MARKET_CAP]]&gt;200000000000,"Large Cap",
IF(Table1[[#This Row],[MARKET_CAP]]&gt;50000000000,"Mid Cap","Small Cap"))</f>
        <v>Small Cap</v>
      </c>
      <c r="P919" t="str">
        <f>IF(Table1[[#This Row],[NET_TRDQTY]]&gt;1000000,"High Volume","Low Volume")</f>
        <v>High Volume</v>
      </c>
    </row>
    <row r="920" spans="1:16" x14ac:dyDescent="0.3">
      <c r="A920" t="s">
        <v>1845</v>
      </c>
      <c r="B920" t="s">
        <v>1846</v>
      </c>
      <c r="C920">
        <v>104.19</v>
      </c>
      <c r="D920">
        <v>106</v>
      </c>
      <c r="E920">
        <v>100.11</v>
      </c>
      <c r="F920">
        <v>102.55</v>
      </c>
      <c r="G920">
        <v>104.19</v>
      </c>
      <c r="H920">
        <v>59600</v>
      </c>
      <c r="I920">
        <v>2738</v>
      </c>
      <c r="J920">
        <v>2056332600</v>
      </c>
      <c r="K920">
        <v>20052000</v>
      </c>
      <c r="L920">
        <f>(Table1[[#This Row],[CLOSE_PRICE]] - Table1[[#This Row],[PREV_CL_PR]]) / Table1[[#This Row],[PREV_CL_PR]] * 100</f>
        <v>-1.5740474133794036</v>
      </c>
      <c r="M920">
        <f>Table1[[#This Row],[HIGH_PRICE]]-Table1[[#This Row],[LOW_PRICE]]</f>
        <v>5.8900000000000006</v>
      </c>
      <c r="N920" t="str">
        <f>IF(Table1[[#This Row],[CLOSE_PRICE]]&gt;Table1[[#This Row],[OPEN_PRICE]],"Gain","Loss")</f>
        <v>Loss</v>
      </c>
      <c r="O920" t="str">
        <f>IF(Table1[[#This Row],[MARKET_CAP]]&gt;200000000000,"Large Cap",
IF(Table1[[#This Row],[MARKET_CAP]]&gt;50000000000,"Mid Cap","Small Cap"))</f>
        <v>Small Cap</v>
      </c>
      <c r="P920" t="str">
        <f>IF(Table1[[#This Row],[NET_TRDQTY]]&gt;1000000,"High Volume","Low Volume")</f>
        <v>Low Volume</v>
      </c>
    </row>
    <row r="921" spans="1:16" x14ac:dyDescent="0.3">
      <c r="A921" t="s">
        <v>1847</v>
      </c>
      <c r="B921" t="s">
        <v>1848</v>
      </c>
      <c r="C921">
        <v>8.98</v>
      </c>
      <c r="D921">
        <v>8.98</v>
      </c>
      <c r="E921">
        <v>8.25</v>
      </c>
      <c r="F921">
        <v>8.42</v>
      </c>
      <c r="G921">
        <v>8.83</v>
      </c>
      <c r="H921">
        <v>387343</v>
      </c>
      <c r="I921">
        <v>1461</v>
      </c>
      <c r="J921">
        <v>1355638271</v>
      </c>
      <c r="K921">
        <v>161002170</v>
      </c>
      <c r="L921">
        <f>(Table1[[#This Row],[CLOSE_PRICE]] - Table1[[#This Row],[PREV_CL_PR]]) / Table1[[#This Row],[PREV_CL_PR]] * 100</f>
        <v>-4.6432616081540221</v>
      </c>
      <c r="M921">
        <f>Table1[[#This Row],[HIGH_PRICE]]-Table1[[#This Row],[LOW_PRICE]]</f>
        <v>0.73000000000000043</v>
      </c>
      <c r="N921" t="str">
        <f>IF(Table1[[#This Row],[CLOSE_PRICE]]&gt;Table1[[#This Row],[OPEN_PRICE]],"Gain","Loss")</f>
        <v>Loss</v>
      </c>
      <c r="O921" t="str">
        <f>IF(Table1[[#This Row],[MARKET_CAP]]&gt;200000000000,"Large Cap",
IF(Table1[[#This Row],[MARKET_CAP]]&gt;50000000000,"Mid Cap","Small Cap"))</f>
        <v>Small Cap</v>
      </c>
      <c r="P921" t="str">
        <f>IF(Table1[[#This Row],[NET_TRDQTY]]&gt;1000000,"High Volume","Low Volume")</f>
        <v>Low Volume</v>
      </c>
    </row>
    <row r="922" spans="1:16" x14ac:dyDescent="0.3">
      <c r="A922" t="s">
        <v>1849</v>
      </c>
      <c r="B922" t="s">
        <v>1850</v>
      </c>
      <c r="C922">
        <v>389</v>
      </c>
      <c r="D922">
        <v>390.25</v>
      </c>
      <c r="E922">
        <v>365</v>
      </c>
      <c r="F922">
        <v>369.1</v>
      </c>
      <c r="G922">
        <v>396.25</v>
      </c>
      <c r="H922">
        <v>312158</v>
      </c>
      <c r="I922">
        <v>9218</v>
      </c>
      <c r="J922">
        <v>33836504300</v>
      </c>
      <c r="K922">
        <v>91673000</v>
      </c>
      <c r="L922">
        <f>(Table1[[#This Row],[CLOSE_PRICE]] - Table1[[#This Row],[PREV_CL_PR]]) / Table1[[#This Row],[PREV_CL_PR]] * 100</f>
        <v>-6.8517350157728654</v>
      </c>
      <c r="M922">
        <f>Table1[[#This Row],[HIGH_PRICE]]-Table1[[#This Row],[LOW_PRICE]]</f>
        <v>25.25</v>
      </c>
      <c r="N922" t="str">
        <f>IF(Table1[[#This Row],[CLOSE_PRICE]]&gt;Table1[[#This Row],[OPEN_PRICE]],"Gain","Loss")</f>
        <v>Loss</v>
      </c>
      <c r="O922" t="str">
        <f>IF(Table1[[#This Row],[MARKET_CAP]]&gt;200000000000,"Large Cap",
IF(Table1[[#This Row],[MARKET_CAP]]&gt;50000000000,"Mid Cap","Small Cap"))</f>
        <v>Small Cap</v>
      </c>
      <c r="P922" t="str">
        <f>IF(Table1[[#This Row],[NET_TRDQTY]]&gt;1000000,"High Volume","Low Volume")</f>
        <v>Low Volume</v>
      </c>
    </row>
    <row r="923" spans="1:16" x14ac:dyDescent="0.3">
      <c r="A923" t="s">
        <v>1851</v>
      </c>
      <c r="B923" t="s">
        <v>1852</v>
      </c>
      <c r="C923">
        <v>137.57</v>
      </c>
      <c r="D923">
        <v>147</v>
      </c>
      <c r="E923">
        <v>133</v>
      </c>
      <c r="F923">
        <v>134.03</v>
      </c>
      <c r="G923">
        <v>141.51</v>
      </c>
      <c r="H923">
        <v>470474</v>
      </c>
      <c r="I923">
        <v>6285</v>
      </c>
      <c r="J923">
        <v>10938397119</v>
      </c>
      <c r="K923">
        <v>81611558</v>
      </c>
      <c r="L923">
        <f>(Table1[[#This Row],[CLOSE_PRICE]] - Table1[[#This Row],[PREV_CL_PR]]) / Table1[[#This Row],[PREV_CL_PR]] * 100</f>
        <v>-5.2858455232845669</v>
      </c>
      <c r="M923">
        <f>Table1[[#This Row],[HIGH_PRICE]]-Table1[[#This Row],[LOW_PRICE]]</f>
        <v>14</v>
      </c>
      <c r="N923" t="str">
        <f>IF(Table1[[#This Row],[CLOSE_PRICE]]&gt;Table1[[#This Row],[OPEN_PRICE]],"Gain","Loss")</f>
        <v>Loss</v>
      </c>
      <c r="O923" t="str">
        <f>IF(Table1[[#This Row],[MARKET_CAP]]&gt;200000000000,"Large Cap",
IF(Table1[[#This Row],[MARKET_CAP]]&gt;50000000000,"Mid Cap","Small Cap"))</f>
        <v>Small Cap</v>
      </c>
      <c r="P923" t="str">
        <f>IF(Table1[[#This Row],[NET_TRDQTY]]&gt;1000000,"High Volume","Low Volume")</f>
        <v>Low Volume</v>
      </c>
    </row>
    <row r="924" spans="1:16" x14ac:dyDescent="0.3">
      <c r="A924" t="s">
        <v>1853</v>
      </c>
      <c r="B924" t="s">
        <v>1854</v>
      </c>
      <c r="C924">
        <v>27.99</v>
      </c>
      <c r="D924">
        <v>29.27</v>
      </c>
      <c r="E924">
        <v>27.25</v>
      </c>
      <c r="F924">
        <v>27.73</v>
      </c>
      <c r="G924">
        <v>28</v>
      </c>
      <c r="H924">
        <v>44937</v>
      </c>
      <c r="I924">
        <v>297</v>
      </c>
      <c r="J924">
        <v>1405006087</v>
      </c>
      <c r="K924">
        <v>50667367</v>
      </c>
      <c r="L924">
        <f>(Table1[[#This Row],[CLOSE_PRICE]] - Table1[[#This Row],[PREV_CL_PR]]) / Table1[[#This Row],[PREV_CL_PR]] * 100</f>
        <v>-0.96428571428571286</v>
      </c>
      <c r="M924">
        <f>Table1[[#This Row],[HIGH_PRICE]]-Table1[[#This Row],[LOW_PRICE]]</f>
        <v>2.0199999999999996</v>
      </c>
      <c r="N924" t="str">
        <f>IF(Table1[[#This Row],[CLOSE_PRICE]]&gt;Table1[[#This Row],[OPEN_PRICE]],"Gain","Loss")</f>
        <v>Loss</v>
      </c>
      <c r="O924" t="str">
        <f>IF(Table1[[#This Row],[MARKET_CAP]]&gt;200000000000,"Large Cap",
IF(Table1[[#This Row],[MARKET_CAP]]&gt;50000000000,"Mid Cap","Small Cap"))</f>
        <v>Small Cap</v>
      </c>
      <c r="P924" t="str">
        <f>IF(Table1[[#This Row],[NET_TRDQTY]]&gt;1000000,"High Volume","Low Volume")</f>
        <v>Low Volume</v>
      </c>
    </row>
    <row r="925" spans="1:16" x14ac:dyDescent="0.3">
      <c r="A925" t="s">
        <v>1855</v>
      </c>
      <c r="B925" t="s">
        <v>1856</v>
      </c>
      <c r="C925">
        <v>806.3</v>
      </c>
      <c r="D925">
        <v>809</v>
      </c>
      <c r="E925">
        <v>771.9</v>
      </c>
      <c r="F925">
        <v>778.35</v>
      </c>
      <c r="G925">
        <v>818.6</v>
      </c>
      <c r="H925">
        <v>7448050</v>
      </c>
      <c r="I925">
        <v>139253</v>
      </c>
      <c r="J925">
        <v>606000000000</v>
      </c>
      <c r="K925">
        <v>779075972</v>
      </c>
      <c r="L925">
        <f>(Table1[[#This Row],[CLOSE_PRICE]] - Table1[[#This Row],[PREV_CL_PR]]) / Table1[[#This Row],[PREV_CL_PR]] * 100</f>
        <v>-4.9169313462008306</v>
      </c>
      <c r="M925">
        <f>Table1[[#This Row],[HIGH_PRICE]]-Table1[[#This Row],[LOW_PRICE]]</f>
        <v>37.100000000000023</v>
      </c>
      <c r="N925" t="str">
        <f>IF(Table1[[#This Row],[CLOSE_PRICE]]&gt;Table1[[#This Row],[OPEN_PRICE]],"Gain","Loss")</f>
        <v>Loss</v>
      </c>
      <c r="O925" t="str">
        <f>IF(Table1[[#This Row],[MARKET_CAP]]&gt;200000000000,"Large Cap",
IF(Table1[[#This Row],[MARKET_CAP]]&gt;50000000000,"Mid Cap","Small Cap"))</f>
        <v>Large Cap</v>
      </c>
      <c r="P925" t="str">
        <f>IF(Table1[[#This Row],[NET_TRDQTY]]&gt;1000000,"High Volume","Low Volume")</f>
        <v>High Volume</v>
      </c>
    </row>
    <row r="926" spans="1:16" x14ac:dyDescent="0.3">
      <c r="A926" t="s">
        <v>1857</v>
      </c>
      <c r="B926" t="s">
        <v>1858</v>
      </c>
      <c r="C926">
        <v>430</v>
      </c>
      <c r="D926">
        <v>430</v>
      </c>
      <c r="E926">
        <v>411.8</v>
      </c>
      <c r="F926">
        <v>413.6</v>
      </c>
      <c r="G926">
        <v>434.55</v>
      </c>
      <c r="H926">
        <v>4793426</v>
      </c>
      <c r="I926">
        <v>84417</v>
      </c>
      <c r="J926">
        <v>1090000000000</v>
      </c>
      <c r="K926">
        <v>2638162757</v>
      </c>
      <c r="L926">
        <f>(Table1[[#This Row],[CLOSE_PRICE]] - Table1[[#This Row],[PREV_CL_PR]]) / Table1[[#This Row],[PREV_CL_PR]] * 100</f>
        <v>-4.8210792774134132</v>
      </c>
      <c r="M926">
        <f>Table1[[#This Row],[HIGH_PRICE]]-Table1[[#This Row],[LOW_PRICE]]</f>
        <v>18.199999999999989</v>
      </c>
      <c r="N926" t="str">
        <f>IF(Table1[[#This Row],[CLOSE_PRICE]]&gt;Table1[[#This Row],[OPEN_PRICE]],"Gain","Loss")</f>
        <v>Loss</v>
      </c>
      <c r="O926" t="str">
        <f>IF(Table1[[#This Row],[MARKET_CAP]]&gt;200000000000,"Large Cap",
IF(Table1[[#This Row],[MARKET_CAP]]&gt;50000000000,"Mid Cap","Small Cap"))</f>
        <v>Large Cap</v>
      </c>
      <c r="P926" t="str">
        <f>IF(Table1[[#This Row],[NET_TRDQTY]]&gt;1000000,"High Volume","Low Volume")</f>
        <v>High Volume</v>
      </c>
    </row>
    <row r="927" spans="1:16" x14ac:dyDescent="0.3">
      <c r="A927" t="s">
        <v>1859</v>
      </c>
      <c r="B927" t="s">
        <v>1860</v>
      </c>
      <c r="C927">
        <v>136.5</v>
      </c>
      <c r="D927">
        <v>136.9</v>
      </c>
      <c r="E927">
        <v>129.32</v>
      </c>
      <c r="F927">
        <v>131.41999999999999</v>
      </c>
      <c r="G927">
        <v>139.72999999999999</v>
      </c>
      <c r="H927">
        <v>801461</v>
      </c>
      <c r="I927">
        <v>10656</v>
      </c>
      <c r="J927">
        <v>12855704158</v>
      </c>
      <c r="K927">
        <v>97821520</v>
      </c>
      <c r="L927">
        <f>(Table1[[#This Row],[CLOSE_PRICE]] - Table1[[#This Row],[PREV_CL_PR]]) / Table1[[#This Row],[PREV_CL_PR]] * 100</f>
        <v>-5.9471838545766857</v>
      </c>
      <c r="M927">
        <f>Table1[[#This Row],[HIGH_PRICE]]-Table1[[#This Row],[LOW_PRICE]]</f>
        <v>7.5800000000000125</v>
      </c>
      <c r="N927" t="str">
        <f>IF(Table1[[#This Row],[CLOSE_PRICE]]&gt;Table1[[#This Row],[OPEN_PRICE]],"Gain","Loss")</f>
        <v>Loss</v>
      </c>
      <c r="O927" t="str">
        <f>IF(Table1[[#This Row],[MARKET_CAP]]&gt;200000000000,"Large Cap",
IF(Table1[[#This Row],[MARKET_CAP]]&gt;50000000000,"Mid Cap","Small Cap"))</f>
        <v>Small Cap</v>
      </c>
      <c r="P927" t="str">
        <f>IF(Table1[[#This Row],[NET_TRDQTY]]&gt;1000000,"High Volume","Low Volume")</f>
        <v>Low Volume</v>
      </c>
    </row>
    <row r="928" spans="1:16" x14ac:dyDescent="0.3">
      <c r="A928" t="s">
        <v>1861</v>
      </c>
      <c r="B928" t="s">
        <v>1862</v>
      </c>
      <c r="C928">
        <v>5.35</v>
      </c>
      <c r="D928">
        <v>5.35</v>
      </c>
      <c r="E928">
        <v>4.57</v>
      </c>
      <c r="F928">
        <v>4.58</v>
      </c>
      <c r="G928">
        <v>4.93</v>
      </c>
      <c r="H928">
        <v>20611</v>
      </c>
      <c r="I928">
        <v>82</v>
      </c>
      <c r="J928">
        <v>229889307.80000001</v>
      </c>
      <c r="K928">
        <v>50194172</v>
      </c>
      <c r="L928">
        <f>(Table1[[#This Row],[CLOSE_PRICE]] - Table1[[#This Row],[PREV_CL_PR]]) / Table1[[#This Row],[PREV_CL_PR]] * 100</f>
        <v>-7.0993914807302163</v>
      </c>
      <c r="M928">
        <f>Table1[[#This Row],[HIGH_PRICE]]-Table1[[#This Row],[LOW_PRICE]]</f>
        <v>0.77999999999999936</v>
      </c>
      <c r="N928" t="str">
        <f>IF(Table1[[#This Row],[CLOSE_PRICE]]&gt;Table1[[#This Row],[OPEN_PRICE]],"Gain","Loss")</f>
        <v>Loss</v>
      </c>
      <c r="O928" t="str">
        <f>IF(Table1[[#This Row],[MARKET_CAP]]&gt;200000000000,"Large Cap",
IF(Table1[[#This Row],[MARKET_CAP]]&gt;50000000000,"Mid Cap","Small Cap"))</f>
        <v>Small Cap</v>
      </c>
      <c r="P928" t="str">
        <f>IF(Table1[[#This Row],[NET_TRDQTY]]&gt;1000000,"High Volume","Low Volume")</f>
        <v>Low Volume</v>
      </c>
    </row>
    <row r="929" spans="1:16" x14ac:dyDescent="0.3">
      <c r="A929" t="s">
        <v>1863</v>
      </c>
      <c r="B929" t="s">
        <v>1864</v>
      </c>
      <c r="C929">
        <v>3640</v>
      </c>
      <c r="D929">
        <v>3654.1</v>
      </c>
      <c r="E929">
        <v>3466</v>
      </c>
      <c r="F929">
        <v>3537.8</v>
      </c>
      <c r="G929">
        <v>3647.5</v>
      </c>
      <c r="H929">
        <v>16508</v>
      </c>
      <c r="I929">
        <v>4716</v>
      </c>
      <c r="J929">
        <v>112000000000</v>
      </c>
      <c r="K929">
        <v>31568000</v>
      </c>
      <c r="L929">
        <f>(Table1[[#This Row],[CLOSE_PRICE]] - Table1[[#This Row],[PREV_CL_PR]]) / Table1[[#This Row],[PREV_CL_PR]] * 100</f>
        <v>-3.0075394105551698</v>
      </c>
      <c r="M929">
        <f>Table1[[#This Row],[HIGH_PRICE]]-Table1[[#This Row],[LOW_PRICE]]</f>
        <v>188.09999999999991</v>
      </c>
      <c r="N929" t="str">
        <f>IF(Table1[[#This Row],[CLOSE_PRICE]]&gt;Table1[[#This Row],[OPEN_PRICE]],"Gain","Loss")</f>
        <v>Loss</v>
      </c>
      <c r="O929" t="str">
        <f>IF(Table1[[#This Row],[MARKET_CAP]]&gt;200000000000,"Large Cap",
IF(Table1[[#This Row],[MARKET_CAP]]&gt;50000000000,"Mid Cap","Small Cap"))</f>
        <v>Mid Cap</v>
      </c>
      <c r="P929" t="str">
        <f>IF(Table1[[#This Row],[NET_TRDQTY]]&gt;1000000,"High Volume","Low Volume")</f>
        <v>Low Volume</v>
      </c>
    </row>
    <row r="930" spans="1:16" x14ac:dyDescent="0.3">
      <c r="A930" t="s">
        <v>1865</v>
      </c>
      <c r="B930" t="s">
        <v>1866</v>
      </c>
      <c r="C930">
        <v>670</v>
      </c>
      <c r="D930">
        <v>680.95</v>
      </c>
      <c r="E930">
        <v>655.95</v>
      </c>
      <c r="F930">
        <v>665.55</v>
      </c>
      <c r="G930">
        <v>679.6</v>
      </c>
      <c r="H930">
        <v>30992</v>
      </c>
      <c r="I930">
        <v>3240</v>
      </c>
      <c r="J930">
        <v>38086051496</v>
      </c>
      <c r="K930">
        <v>57224929</v>
      </c>
      <c r="L930">
        <f>(Table1[[#This Row],[CLOSE_PRICE]] - Table1[[#This Row],[PREV_CL_PR]]) / Table1[[#This Row],[PREV_CL_PR]] * 100</f>
        <v>-2.0673925838728762</v>
      </c>
      <c r="M930">
        <f>Table1[[#This Row],[HIGH_PRICE]]-Table1[[#This Row],[LOW_PRICE]]</f>
        <v>25</v>
      </c>
      <c r="N930" t="str">
        <f>IF(Table1[[#This Row],[CLOSE_PRICE]]&gt;Table1[[#This Row],[OPEN_PRICE]],"Gain","Loss")</f>
        <v>Loss</v>
      </c>
      <c r="O930" t="str">
        <f>IF(Table1[[#This Row],[MARKET_CAP]]&gt;200000000000,"Large Cap",
IF(Table1[[#This Row],[MARKET_CAP]]&gt;50000000000,"Mid Cap","Small Cap"))</f>
        <v>Small Cap</v>
      </c>
      <c r="P930" t="str">
        <f>IF(Table1[[#This Row],[NET_TRDQTY]]&gt;1000000,"High Volume","Low Volume")</f>
        <v>Low Volume</v>
      </c>
    </row>
    <row r="931" spans="1:16" x14ac:dyDescent="0.3">
      <c r="A931" t="s">
        <v>1867</v>
      </c>
      <c r="B931" t="s">
        <v>1868</v>
      </c>
      <c r="C931">
        <v>356.65</v>
      </c>
      <c r="D931">
        <v>358.35</v>
      </c>
      <c r="E931">
        <v>334</v>
      </c>
      <c r="F931">
        <v>344.35</v>
      </c>
      <c r="G931">
        <v>353.3</v>
      </c>
      <c r="H931">
        <v>24505</v>
      </c>
      <c r="I931">
        <v>1084</v>
      </c>
      <c r="J931">
        <v>7059175000</v>
      </c>
      <c r="K931">
        <v>20500000</v>
      </c>
      <c r="L931">
        <f>(Table1[[#This Row],[CLOSE_PRICE]] - Table1[[#This Row],[PREV_CL_PR]]) / Table1[[#This Row],[PREV_CL_PR]] * 100</f>
        <v>-2.5332578545145736</v>
      </c>
      <c r="M931">
        <f>Table1[[#This Row],[HIGH_PRICE]]-Table1[[#This Row],[LOW_PRICE]]</f>
        <v>24.350000000000023</v>
      </c>
      <c r="N931" t="str">
        <f>IF(Table1[[#This Row],[CLOSE_PRICE]]&gt;Table1[[#This Row],[OPEN_PRICE]],"Gain","Loss")</f>
        <v>Loss</v>
      </c>
      <c r="O931" t="str">
        <f>IF(Table1[[#This Row],[MARKET_CAP]]&gt;200000000000,"Large Cap",
IF(Table1[[#This Row],[MARKET_CAP]]&gt;50000000000,"Mid Cap","Small Cap"))</f>
        <v>Small Cap</v>
      </c>
      <c r="P931" t="str">
        <f>IF(Table1[[#This Row],[NET_TRDQTY]]&gt;1000000,"High Volume","Low Volume")</f>
        <v>Low Volume</v>
      </c>
    </row>
    <row r="932" spans="1:16" x14ac:dyDescent="0.3">
      <c r="A932" t="s">
        <v>1869</v>
      </c>
      <c r="B932" t="s">
        <v>1870</v>
      </c>
      <c r="C932">
        <v>467.7</v>
      </c>
      <c r="D932">
        <v>470</v>
      </c>
      <c r="E932">
        <v>374.2</v>
      </c>
      <c r="F932">
        <v>374.2</v>
      </c>
      <c r="G932">
        <v>519</v>
      </c>
      <c r="H932">
        <v>7314994</v>
      </c>
      <c r="I932">
        <v>69975</v>
      </c>
      <c r="J932">
        <v>8910934615</v>
      </c>
      <c r="K932">
        <v>23813294</v>
      </c>
      <c r="L932">
        <f>(Table1[[#This Row],[CLOSE_PRICE]] - Table1[[#This Row],[PREV_CL_PR]]) / Table1[[#This Row],[PREV_CL_PR]] * 100</f>
        <v>-27.899807321772641</v>
      </c>
      <c r="M932">
        <f>Table1[[#This Row],[HIGH_PRICE]]-Table1[[#This Row],[LOW_PRICE]]</f>
        <v>95.800000000000011</v>
      </c>
      <c r="N932" t="str">
        <f>IF(Table1[[#This Row],[CLOSE_PRICE]]&gt;Table1[[#This Row],[OPEN_PRICE]],"Gain","Loss")</f>
        <v>Loss</v>
      </c>
      <c r="O932" t="str">
        <f>IF(Table1[[#This Row],[MARKET_CAP]]&gt;200000000000,"Large Cap",
IF(Table1[[#This Row],[MARKET_CAP]]&gt;50000000000,"Mid Cap","Small Cap"))</f>
        <v>Small Cap</v>
      </c>
      <c r="P932" t="str">
        <f>IF(Table1[[#This Row],[NET_TRDQTY]]&gt;1000000,"High Volume","Low Volume")</f>
        <v>High Volume</v>
      </c>
    </row>
    <row r="933" spans="1:16" x14ac:dyDescent="0.3">
      <c r="A933" t="s">
        <v>1871</v>
      </c>
      <c r="B933" t="s">
        <v>1872</v>
      </c>
      <c r="C933">
        <v>150</v>
      </c>
      <c r="D933">
        <v>150</v>
      </c>
      <c r="E933">
        <v>132.58000000000001</v>
      </c>
      <c r="F933">
        <v>135.01</v>
      </c>
      <c r="G933">
        <v>150.4</v>
      </c>
      <c r="H933">
        <v>7985948</v>
      </c>
      <c r="I933">
        <v>65096</v>
      </c>
      <c r="J933">
        <v>50409019875</v>
      </c>
      <c r="K933">
        <v>373372490</v>
      </c>
      <c r="L933">
        <f>(Table1[[#This Row],[CLOSE_PRICE]] - Table1[[#This Row],[PREV_CL_PR]]) / Table1[[#This Row],[PREV_CL_PR]] * 100</f>
        <v>-10.232712765957457</v>
      </c>
      <c r="M933">
        <f>Table1[[#This Row],[HIGH_PRICE]]-Table1[[#This Row],[LOW_PRICE]]</f>
        <v>17.419999999999987</v>
      </c>
      <c r="N933" t="str">
        <f>IF(Table1[[#This Row],[CLOSE_PRICE]]&gt;Table1[[#This Row],[OPEN_PRICE]],"Gain","Loss")</f>
        <v>Loss</v>
      </c>
      <c r="O933" t="str">
        <f>IF(Table1[[#This Row],[MARKET_CAP]]&gt;200000000000,"Large Cap",
IF(Table1[[#This Row],[MARKET_CAP]]&gt;50000000000,"Mid Cap","Small Cap"))</f>
        <v>Mid Cap</v>
      </c>
      <c r="P933" t="str">
        <f>IF(Table1[[#This Row],[NET_TRDQTY]]&gt;1000000,"High Volume","Low Volume")</f>
        <v>High Volume</v>
      </c>
    </row>
    <row r="934" spans="1:16" x14ac:dyDescent="0.3">
      <c r="A934" t="s">
        <v>1873</v>
      </c>
      <c r="B934" t="s">
        <v>1874</v>
      </c>
      <c r="C934">
        <v>1164</v>
      </c>
      <c r="D934">
        <v>1179</v>
      </c>
      <c r="E934">
        <v>1151.0999999999999</v>
      </c>
      <c r="F934">
        <v>1162.9000000000001</v>
      </c>
      <c r="G934">
        <v>1180.7</v>
      </c>
      <c r="H934">
        <v>106173</v>
      </c>
      <c r="I934">
        <v>17685</v>
      </c>
      <c r="J934">
        <v>106000000000</v>
      </c>
      <c r="K934">
        <v>90763500</v>
      </c>
      <c r="L934">
        <f>(Table1[[#This Row],[CLOSE_PRICE]] - Table1[[#This Row],[PREV_CL_PR]]) / Table1[[#This Row],[PREV_CL_PR]] * 100</f>
        <v>-1.5075802490048238</v>
      </c>
      <c r="M934">
        <f>Table1[[#This Row],[HIGH_PRICE]]-Table1[[#This Row],[LOW_PRICE]]</f>
        <v>27.900000000000091</v>
      </c>
      <c r="N934" t="str">
        <f>IF(Table1[[#This Row],[CLOSE_PRICE]]&gt;Table1[[#This Row],[OPEN_PRICE]],"Gain","Loss")</f>
        <v>Loss</v>
      </c>
      <c r="O934" t="str">
        <f>IF(Table1[[#This Row],[MARKET_CAP]]&gt;200000000000,"Large Cap",
IF(Table1[[#This Row],[MARKET_CAP]]&gt;50000000000,"Mid Cap","Small Cap"))</f>
        <v>Mid Cap</v>
      </c>
      <c r="P934" t="str">
        <f>IF(Table1[[#This Row],[NET_TRDQTY]]&gt;1000000,"High Volume","Low Volume")</f>
        <v>Low Volume</v>
      </c>
    </row>
    <row r="935" spans="1:16" x14ac:dyDescent="0.3">
      <c r="A935" t="s">
        <v>1875</v>
      </c>
      <c r="B935" t="s">
        <v>1876</v>
      </c>
      <c r="C935">
        <v>80.78</v>
      </c>
      <c r="D935">
        <v>80.78</v>
      </c>
      <c r="E935">
        <v>75.63</v>
      </c>
      <c r="F935">
        <v>76.150000000000006</v>
      </c>
      <c r="G935">
        <v>81.84</v>
      </c>
      <c r="H935">
        <v>15237530</v>
      </c>
      <c r="I935">
        <v>55205</v>
      </c>
      <c r="J935">
        <v>132000000000</v>
      </c>
      <c r="K935">
        <v>1728237822</v>
      </c>
      <c r="L935">
        <f>(Table1[[#This Row],[CLOSE_PRICE]] - Table1[[#This Row],[PREV_CL_PR]]) / Table1[[#This Row],[PREV_CL_PR]] * 100</f>
        <v>-6.9525904203323527</v>
      </c>
      <c r="M935">
        <f>Table1[[#This Row],[HIGH_PRICE]]-Table1[[#This Row],[LOW_PRICE]]</f>
        <v>5.1500000000000057</v>
      </c>
      <c r="N935" t="str">
        <f>IF(Table1[[#This Row],[CLOSE_PRICE]]&gt;Table1[[#This Row],[OPEN_PRICE]],"Gain","Loss")</f>
        <v>Loss</v>
      </c>
      <c r="O935" t="str">
        <f>IF(Table1[[#This Row],[MARKET_CAP]]&gt;200000000000,"Large Cap",
IF(Table1[[#This Row],[MARKET_CAP]]&gt;50000000000,"Mid Cap","Small Cap"))</f>
        <v>Mid Cap</v>
      </c>
      <c r="P935" t="str">
        <f>IF(Table1[[#This Row],[NET_TRDQTY]]&gt;1000000,"High Volume","Low Volume")</f>
        <v>High Volume</v>
      </c>
    </row>
    <row r="936" spans="1:16" x14ac:dyDescent="0.3">
      <c r="A936" t="s">
        <v>1877</v>
      </c>
      <c r="B936" t="s">
        <v>1878</v>
      </c>
      <c r="C936">
        <v>573</v>
      </c>
      <c r="D936">
        <v>596.95000000000005</v>
      </c>
      <c r="E936">
        <v>546.15</v>
      </c>
      <c r="F936">
        <v>569.79999999999995</v>
      </c>
      <c r="G936">
        <v>574.85</v>
      </c>
      <c r="H936">
        <v>47352</v>
      </c>
      <c r="I936">
        <v>3581</v>
      </c>
      <c r="J936">
        <v>16579947523</v>
      </c>
      <c r="K936">
        <v>29097837</v>
      </c>
      <c r="L936">
        <f>(Table1[[#This Row],[CLOSE_PRICE]] - Table1[[#This Row],[PREV_CL_PR]]) / Table1[[#This Row],[PREV_CL_PR]] * 100</f>
        <v>-0.87849004088024141</v>
      </c>
      <c r="M936">
        <f>Table1[[#This Row],[HIGH_PRICE]]-Table1[[#This Row],[LOW_PRICE]]</f>
        <v>50.800000000000068</v>
      </c>
      <c r="N936" t="str">
        <f>IF(Table1[[#This Row],[CLOSE_PRICE]]&gt;Table1[[#This Row],[OPEN_PRICE]],"Gain","Loss")</f>
        <v>Loss</v>
      </c>
      <c r="O936" t="str">
        <f>IF(Table1[[#This Row],[MARKET_CAP]]&gt;200000000000,"Large Cap",
IF(Table1[[#This Row],[MARKET_CAP]]&gt;50000000000,"Mid Cap","Small Cap"))</f>
        <v>Small Cap</v>
      </c>
      <c r="P936" t="str">
        <f>IF(Table1[[#This Row],[NET_TRDQTY]]&gt;1000000,"High Volume","Low Volume")</f>
        <v>Low Volume</v>
      </c>
    </row>
    <row r="937" spans="1:16" x14ac:dyDescent="0.3">
      <c r="A937" t="s">
        <v>1879</v>
      </c>
      <c r="B937" t="s">
        <v>1880</v>
      </c>
      <c r="C937">
        <v>648</v>
      </c>
      <c r="D937">
        <v>654.25</v>
      </c>
      <c r="E937">
        <v>634.4</v>
      </c>
      <c r="F937">
        <v>636.79999999999995</v>
      </c>
      <c r="G937">
        <v>650.54999999999995</v>
      </c>
      <c r="H937">
        <v>346023</v>
      </c>
      <c r="I937">
        <v>15948</v>
      </c>
      <c r="J937">
        <v>88716086202</v>
      </c>
      <c r="K937">
        <v>139315462</v>
      </c>
      <c r="L937">
        <f>(Table1[[#This Row],[CLOSE_PRICE]] - Table1[[#This Row],[PREV_CL_PR]]) / Table1[[#This Row],[PREV_CL_PR]] * 100</f>
        <v>-2.1135961878410581</v>
      </c>
      <c r="M937">
        <f>Table1[[#This Row],[HIGH_PRICE]]-Table1[[#This Row],[LOW_PRICE]]</f>
        <v>19.850000000000023</v>
      </c>
      <c r="N937" t="str">
        <f>IF(Table1[[#This Row],[CLOSE_PRICE]]&gt;Table1[[#This Row],[OPEN_PRICE]],"Gain","Loss")</f>
        <v>Loss</v>
      </c>
      <c r="O937" t="str">
        <f>IF(Table1[[#This Row],[MARKET_CAP]]&gt;200000000000,"Large Cap",
IF(Table1[[#This Row],[MARKET_CAP]]&gt;50000000000,"Mid Cap","Small Cap"))</f>
        <v>Mid Cap</v>
      </c>
      <c r="P937" t="str">
        <f>IF(Table1[[#This Row],[NET_TRDQTY]]&gt;1000000,"High Volume","Low Volume")</f>
        <v>Low Volume</v>
      </c>
    </row>
    <row r="938" spans="1:16" x14ac:dyDescent="0.3">
      <c r="A938" t="s">
        <v>1881</v>
      </c>
      <c r="B938" t="s">
        <v>1882</v>
      </c>
      <c r="C938">
        <v>85.7</v>
      </c>
      <c r="D938">
        <v>85.7</v>
      </c>
      <c r="E938">
        <v>76</v>
      </c>
      <c r="F938">
        <v>77.61</v>
      </c>
      <c r="G938">
        <v>83.98</v>
      </c>
      <c r="H938">
        <v>61561</v>
      </c>
      <c r="I938">
        <v>1289</v>
      </c>
      <c r="J938">
        <v>1833493487</v>
      </c>
      <c r="K938">
        <v>23624449</v>
      </c>
      <c r="L938">
        <f>(Table1[[#This Row],[CLOSE_PRICE]] - Table1[[#This Row],[PREV_CL_PR]]) / Table1[[#This Row],[PREV_CL_PR]] * 100</f>
        <v>-7.5851393188854548</v>
      </c>
      <c r="M938">
        <f>Table1[[#This Row],[HIGH_PRICE]]-Table1[[#This Row],[LOW_PRICE]]</f>
        <v>9.7000000000000028</v>
      </c>
      <c r="N938" t="str">
        <f>IF(Table1[[#This Row],[CLOSE_PRICE]]&gt;Table1[[#This Row],[OPEN_PRICE]],"Gain","Loss")</f>
        <v>Loss</v>
      </c>
      <c r="O938" t="str">
        <f>IF(Table1[[#This Row],[MARKET_CAP]]&gt;200000000000,"Large Cap",
IF(Table1[[#This Row],[MARKET_CAP]]&gt;50000000000,"Mid Cap","Small Cap"))</f>
        <v>Small Cap</v>
      </c>
      <c r="P938" t="str">
        <f>IF(Table1[[#This Row],[NET_TRDQTY]]&gt;1000000,"High Volume","Low Volume")</f>
        <v>Low Volume</v>
      </c>
    </row>
    <row r="939" spans="1:16" x14ac:dyDescent="0.3">
      <c r="A939" t="s">
        <v>1883</v>
      </c>
      <c r="B939" t="s">
        <v>1884</v>
      </c>
      <c r="C939">
        <v>1738.9</v>
      </c>
      <c r="D939">
        <v>1738.9</v>
      </c>
      <c r="E939">
        <v>1650</v>
      </c>
      <c r="F939">
        <v>1673.6</v>
      </c>
      <c r="G939">
        <v>1742.4</v>
      </c>
      <c r="H939">
        <v>82399</v>
      </c>
      <c r="I939">
        <v>10511</v>
      </c>
      <c r="J939">
        <v>28069373181</v>
      </c>
      <c r="K939">
        <v>16771853</v>
      </c>
      <c r="L939">
        <f>(Table1[[#This Row],[CLOSE_PRICE]] - Table1[[#This Row],[PREV_CL_PR]]) / Table1[[#This Row],[PREV_CL_PR]] * 100</f>
        <v>-3.9485766758494134</v>
      </c>
      <c r="M939">
        <f>Table1[[#This Row],[HIGH_PRICE]]-Table1[[#This Row],[LOW_PRICE]]</f>
        <v>88.900000000000091</v>
      </c>
      <c r="N939" t="str">
        <f>IF(Table1[[#This Row],[CLOSE_PRICE]]&gt;Table1[[#This Row],[OPEN_PRICE]],"Gain","Loss")</f>
        <v>Loss</v>
      </c>
      <c r="O939" t="str">
        <f>IF(Table1[[#This Row],[MARKET_CAP]]&gt;200000000000,"Large Cap",
IF(Table1[[#This Row],[MARKET_CAP]]&gt;50000000000,"Mid Cap","Small Cap"))</f>
        <v>Small Cap</v>
      </c>
      <c r="P939" t="str">
        <f>IF(Table1[[#This Row],[NET_TRDQTY]]&gt;1000000,"High Volume","Low Volume")</f>
        <v>Low Volume</v>
      </c>
    </row>
    <row r="940" spans="1:16" x14ac:dyDescent="0.3">
      <c r="A940" t="s">
        <v>1885</v>
      </c>
      <c r="B940" t="s">
        <v>1886</v>
      </c>
      <c r="C940">
        <v>70</v>
      </c>
      <c r="D940">
        <v>70</v>
      </c>
      <c r="E940">
        <v>64.09</v>
      </c>
      <c r="F940">
        <v>65.459999999999994</v>
      </c>
      <c r="G940">
        <v>69.739999999999995</v>
      </c>
      <c r="H940">
        <v>123241</v>
      </c>
      <c r="I940">
        <v>3696</v>
      </c>
      <c r="J940">
        <v>4148789340</v>
      </c>
      <c r="K940">
        <v>63379000</v>
      </c>
      <c r="L940">
        <f>(Table1[[#This Row],[CLOSE_PRICE]] - Table1[[#This Row],[PREV_CL_PR]]) / Table1[[#This Row],[PREV_CL_PR]] * 100</f>
        <v>-6.1370805850301142</v>
      </c>
      <c r="M940">
        <f>Table1[[#This Row],[HIGH_PRICE]]-Table1[[#This Row],[LOW_PRICE]]</f>
        <v>5.9099999999999966</v>
      </c>
      <c r="N940" t="str">
        <f>IF(Table1[[#This Row],[CLOSE_PRICE]]&gt;Table1[[#This Row],[OPEN_PRICE]],"Gain","Loss")</f>
        <v>Loss</v>
      </c>
      <c r="O940" t="str">
        <f>IF(Table1[[#This Row],[MARKET_CAP]]&gt;200000000000,"Large Cap",
IF(Table1[[#This Row],[MARKET_CAP]]&gt;50000000000,"Mid Cap","Small Cap"))</f>
        <v>Small Cap</v>
      </c>
      <c r="P940" t="str">
        <f>IF(Table1[[#This Row],[NET_TRDQTY]]&gt;1000000,"High Volume","Low Volume")</f>
        <v>Low Volume</v>
      </c>
    </row>
    <row r="941" spans="1:16" x14ac:dyDescent="0.3">
      <c r="A941" t="s">
        <v>1887</v>
      </c>
      <c r="B941" t="s">
        <v>1888</v>
      </c>
      <c r="C941">
        <v>1.01</v>
      </c>
      <c r="D941">
        <v>1.01</v>
      </c>
      <c r="E941">
        <v>0.96</v>
      </c>
      <c r="F941">
        <v>0.97</v>
      </c>
      <c r="G941">
        <v>1</v>
      </c>
      <c r="H941">
        <v>1525042</v>
      </c>
      <c r="I941">
        <v>873</v>
      </c>
      <c r="J941">
        <v>1018500000</v>
      </c>
      <c r="K941">
        <v>1050000000</v>
      </c>
      <c r="L941">
        <f>(Table1[[#This Row],[CLOSE_PRICE]] - Table1[[#This Row],[PREV_CL_PR]]) / Table1[[#This Row],[PREV_CL_PR]] * 100</f>
        <v>-3.0000000000000027</v>
      </c>
      <c r="M941">
        <f>Table1[[#This Row],[HIGH_PRICE]]-Table1[[#This Row],[LOW_PRICE]]</f>
        <v>5.0000000000000044E-2</v>
      </c>
      <c r="N941" t="str">
        <f>IF(Table1[[#This Row],[CLOSE_PRICE]]&gt;Table1[[#This Row],[OPEN_PRICE]],"Gain","Loss")</f>
        <v>Loss</v>
      </c>
      <c r="O941" t="str">
        <f>IF(Table1[[#This Row],[MARKET_CAP]]&gt;200000000000,"Large Cap",
IF(Table1[[#This Row],[MARKET_CAP]]&gt;50000000000,"Mid Cap","Small Cap"))</f>
        <v>Small Cap</v>
      </c>
      <c r="P941" t="str">
        <f>IF(Table1[[#This Row],[NET_TRDQTY]]&gt;1000000,"High Volume","Low Volume")</f>
        <v>High Volume</v>
      </c>
    </row>
    <row r="942" spans="1:16" x14ac:dyDescent="0.3">
      <c r="A942" t="s">
        <v>1889</v>
      </c>
      <c r="B942" t="s">
        <v>1890</v>
      </c>
      <c r="C942">
        <v>33.5</v>
      </c>
      <c r="D942">
        <v>33.5</v>
      </c>
      <c r="E942">
        <v>31.8</v>
      </c>
      <c r="F942">
        <v>32.11</v>
      </c>
      <c r="G942">
        <v>33.72</v>
      </c>
      <c r="H942">
        <v>6478301</v>
      </c>
      <c r="I942">
        <v>28573</v>
      </c>
      <c r="J942">
        <v>618000000000</v>
      </c>
      <c r="K942">
        <v>19256589795</v>
      </c>
      <c r="L942">
        <f>(Table1[[#This Row],[CLOSE_PRICE]] - Table1[[#This Row],[PREV_CL_PR]]) / Table1[[#This Row],[PREV_CL_PR]] * 100</f>
        <v>-4.7746144721233676</v>
      </c>
      <c r="M942">
        <f>Table1[[#This Row],[HIGH_PRICE]]-Table1[[#This Row],[LOW_PRICE]]</f>
        <v>1.6999999999999993</v>
      </c>
      <c r="N942" t="str">
        <f>IF(Table1[[#This Row],[CLOSE_PRICE]]&gt;Table1[[#This Row],[OPEN_PRICE]],"Gain","Loss")</f>
        <v>Loss</v>
      </c>
      <c r="O942" t="str">
        <f>IF(Table1[[#This Row],[MARKET_CAP]]&gt;200000000000,"Large Cap",
IF(Table1[[#This Row],[MARKET_CAP]]&gt;50000000000,"Mid Cap","Small Cap"))</f>
        <v>Large Cap</v>
      </c>
      <c r="P942" t="str">
        <f>IF(Table1[[#This Row],[NET_TRDQTY]]&gt;1000000,"High Volume","Low Volume")</f>
        <v>High Volume</v>
      </c>
    </row>
    <row r="943" spans="1:16" x14ac:dyDescent="0.3">
      <c r="A943" t="s">
        <v>1891</v>
      </c>
      <c r="B943" t="s">
        <v>1892</v>
      </c>
      <c r="C943">
        <v>74.25</v>
      </c>
      <c r="D943">
        <v>74.25</v>
      </c>
      <c r="E943">
        <v>71.11</v>
      </c>
      <c r="F943">
        <v>71.56</v>
      </c>
      <c r="G943">
        <v>74.36</v>
      </c>
      <c r="H943">
        <v>1152900</v>
      </c>
      <c r="I943">
        <v>9404</v>
      </c>
      <c r="J943">
        <v>21004828616</v>
      </c>
      <c r="K943">
        <v>293527510</v>
      </c>
      <c r="L943">
        <f>(Table1[[#This Row],[CLOSE_PRICE]] - Table1[[#This Row],[PREV_CL_PR]]) / Table1[[#This Row],[PREV_CL_PR]] * 100</f>
        <v>-3.7654653039268382</v>
      </c>
      <c r="M943">
        <f>Table1[[#This Row],[HIGH_PRICE]]-Table1[[#This Row],[LOW_PRICE]]</f>
        <v>3.1400000000000006</v>
      </c>
      <c r="N943" t="str">
        <f>IF(Table1[[#This Row],[CLOSE_PRICE]]&gt;Table1[[#This Row],[OPEN_PRICE]],"Gain","Loss")</f>
        <v>Loss</v>
      </c>
      <c r="O943" t="str">
        <f>IF(Table1[[#This Row],[MARKET_CAP]]&gt;200000000000,"Large Cap",
IF(Table1[[#This Row],[MARKET_CAP]]&gt;50000000000,"Mid Cap","Small Cap"))</f>
        <v>Small Cap</v>
      </c>
      <c r="P943" t="str">
        <f>IF(Table1[[#This Row],[NET_TRDQTY]]&gt;1000000,"High Volume","Low Volume")</f>
        <v>High Volume</v>
      </c>
    </row>
    <row r="944" spans="1:16" x14ac:dyDescent="0.3">
      <c r="A944" t="s">
        <v>1893</v>
      </c>
      <c r="B944" t="s">
        <v>1894</v>
      </c>
      <c r="C944">
        <v>337.05</v>
      </c>
      <c r="D944">
        <v>337.05</v>
      </c>
      <c r="E944">
        <v>312.7</v>
      </c>
      <c r="F944">
        <v>317.25</v>
      </c>
      <c r="G944">
        <v>338.05</v>
      </c>
      <c r="H944">
        <v>364619</v>
      </c>
      <c r="I944">
        <v>17846</v>
      </c>
      <c r="J944">
        <v>46529975678</v>
      </c>
      <c r="K944">
        <v>146666590</v>
      </c>
      <c r="L944">
        <f>(Table1[[#This Row],[CLOSE_PRICE]] - Table1[[#This Row],[PREV_CL_PR]]) / Table1[[#This Row],[PREV_CL_PR]] * 100</f>
        <v>-6.1529359562194967</v>
      </c>
      <c r="M944">
        <f>Table1[[#This Row],[HIGH_PRICE]]-Table1[[#This Row],[LOW_PRICE]]</f>
        <v>24.350000000000023</v>
      </c>
      <c r="N944" t="str">
        <f>IF(Table1[[#This Row],[CLOSE_PRICE]]&gt;Table1[[#This Row],[OPEN_PRICE]],"Gain","Loss")</f>
        <v>Loss</v>
      </c>
      <c r="O944" t="str">
        <f>IF(Table1[[#This Row],[MARKET_CAP]]&gt;200000000000,"Large Cap",
IF(Table1[[#This Row],[MARKET_CAP]]&gt;50000000000,"Mid Cap","Small Cap"))</f>
        <v>Small Cap</v>
      </c>
      <c r="P944" t="str">
        <f>IF(Table1[[#This Row],[NET_TRDQTY]]&gt;1000000,"High Volume","Low Volume")</f>
        <v>Low Volume</v>
      </c>
    </row>
    <row r="945" spans="1:16" x14ac:dyDescent="0.3">
      <c r="A945" t="s">
        <v>1895</v>
      </c>
      <c r="B945" t="s">
        <v>1896</v>
      </c>
      <c r="C945">
        <v>1543.6</v>
      </c>
      <c r="D945">
        <v>1550</v>
      </c>
      <c r="E945">
        <v>1488.3</v>
      </c>
      <c r="F945">
        <v>1529.9</v>
      </c>
      <c r="G945">
        <v>1544.9</v>
      </c>
      <c r="H945">
        <v>178461</v>
      </c>
      <c r="I945">
        <v>14864</v>
      </c>
      <c r="J945">
        <v>388000000000</v>
      </c>
      <c r="K945">
        <v>253704218</v>
      </c>
      <c r="L945">
        <f>(Table1[[#This Row],[CLOSE_PRICE]] - Table1[[#This Row],[PREV_CL_PR]]) / Table1[[#This Row],[PREV_CL_PR]] * 100</f>
        <v>-0.97093663020260212</v>
      </c>
      <c r="M945">
        <f>Table1[[#This Row],[HIGH_PRICE]]-Table1[[#This Row],[LOW_PRICE]]</f>
        <v>61.700000000000045</v>
      </c>
      <c r="N945" t="str">
        <f>IF(Table1[[#This Row],[CLOSE_PRICE]]&gt;Table1[[#This Row],[OPEN_PRICE]],"Gain","Loss")</f>
        <v>Loss</v>
      </c>
      <c r="O945" t="str">
        <f>IF(Table1[[#This Row],[MARKET_CAP]]&gt;200000000000,"Large Cap",
IF(Table1[[#This Row],[MARKET_CAP]]&gt;50000000000,"Mid Cap","Small Cap"))</f>
        <v>Large Cap</v>
      </c>
      <c r="P945" t="str">
        <f>IF(Table1[[#This Row],[NET_TRDQTY]]&gt;1000000,"High Volume","Low Volume")</f>
        <v>Low Volume</v>
      </c>
    </row>
    <row r="946" spans="1:16" x14ac:dyDescent="0.3">
      <c r="A946" t="s">
        <v>1897</v>
      </c>
      <c r="B946" t="s">
        <v>1898</v>
      </c>
      <c r="C946">
        <v>136.99</v>
      </c>
      <c r="D946">
        <v>136.99</v>
      </c>
      <c r="E946">
        <v>125.1</v>
      </c>
      <c r="F946">
        <v>126.72</v>
      </c>
      <c r="G946">
        <v>136.99</v>
      </c>
      <c r="H946">
        <v>275386</v>
      </c>
      <c r="I946">
        <v>4780</v>
      </c>
      <c r="J946">
        <v>14593519734</v>
      </c>
      <c r="K946">
        <v>115163508</v>
      </c>
      <c r="L946">
        <f>(Table1[[#This Row],[CLOSE_PRICE]] - Table1[[#This Row],[PREV_CL_PR]]) / Table1[[#This Row],[PREV_CL_PR]] * 100</f>
        <v>-7.4968975837652456</v>
      </c>
      <c r="M946">
        <f>Table1[[#This Row],[HIGH_PRICE]]-Table1[[#This Row],[LOW_PRICE]]</f>
        <v>11.890000000000015</v>
      </c>
      <c r="N946" t="str">
        <f>IF(Table1[[#This Row],[CLOSE_PRICE]]&gt;Table1[[#This Row],[OPEN_PRICE]],"Gain","Loss")</f>
        <v>Loss</v>
      </c>
      <c r="O946" t="str">
        <f>IF(Table1[[#This Row],[MARKET_CAP]]&gt;200000000000,"Large Cap",
IF(Table1[[#This Row],[MARKET_CAP]]&gt;50000000000,"Mid Cap","Small Cap"))</f>
        <v>Small Cap</v>
      </c>
      <c r="P946" t="str">
        <f>IF(Table1[[#This Row],[NET_TRDQTY]]&gt;1000000,"High Volume","Low Volume")</f>
        <v>Low Volume</v>
      </c>
    </row>
    <row r="947" spans="1:16" x14ac:dyDescent="0.3">
      <c r="A947" t="s">
        <v>1899</v>
      </c>
      <c r="B947" t="s">
        <v>1900</v>
      </c>
      <c r="C947">
        <v>41</v>
      </c>
      <c r="D947">
        <v>41.28</v>
      </c>
      <c r="E947">
        <v>39.770000000000003</v>
      </c>
      <c r="F947">
        <v>40.24</v>
      </c>
      <c r="G947">
        <v>41.51</v>
      </c>
      <c r="H947">
        <v>9897363</v>
      </c>
      <c r="I947">
        <v>46230</v>
      </c>
      <c r="J947">
        <v>243000000000</v>
      </c>
      <c r="K947">
        <v>6039000000</v>
      </c>
      <c r="L947">
        <f>(Table1[[#This Row],[CLOSE_PRICE]] - Table1[[#This Row],[PREV_CL_PR]]) / Table1[[#This Row],[PREV_CL_PR]] * 100</f>
        <v>-3.0595037340399807</v>
      </c>
      <c r="M947">
        <f>Table1[[#This Row],[HIGH_PRICE]]-Table1[[#This Row],[LOW_PRICE]]</f>
        <v>1.509999999999998</v>
      </c>
      <c r="N947" t="str">
        <f>IF(Table1[[#This Row],[CLOSE_PRICE]]&gt;Table1[[#This Row],[OPEN_PRICE]],"Gain","Loss")</f>
        <v>Loss</v>
      </c>
      <c r="O947" t="str">
        <f>IF(Table1[[#This Row],[MARKET_CAP]]&gt;200000000000,"Large Cap",
IF(Table1[[#This Row],[MARKET_CAP]]&gt;50000000000,"Mid Cap","Small Cap"))</f>
        <v>Large Cap</v>
      </c>
      <c r="P947" t="str">
        <f>IF(Table1[[#This Row],[NET_TRDQTY]]&gt;1000000,"High Volume","Low Volume")</f>
        <v>High Volume</v>
      </c>
    </row>
    <row r="948" spans="1:16" x14ac:dyDescent="0.3">
      <c r="A948" t="s">
        <v>1901</v>
      </c>
      <c r="B948" t="s">
        <v>1902</v>
      </c>
      <c r="C948">
        <v>122</v>
      </c>
      <c r="D948">
        <v>122</v>
      </c>
      <c r="E948">
        <v>114.5</v>
      </c>
      <c r="F948">
        <v>115.24</v>
      </c>
      <c r="G948">
        <v>123.68</v>
      </c>
      <c r="H948">
        <v>4720612</v>
      </c>
      <c r="I948">
        <v>61297</v>
      </c>
      <c r="J948">
        <v>108000000000</v>
      </c>
      <c r="K948">
        <v>940515740</v>
      </c>
      <c r="L948">
        <f>(Table1[[#This Row],[CLOSE_PRICE]] - Table1[[#This Row],[PREV_CL_PR]]) / Table1[[#This Row],[PREV_CL_PR]] * 100</f>
        <v>-6.8240620957309277</v>
      </c>
      <c r="M948">
        <f>Table1[[#This Row],[HIGH_PRICE]]-Table1[[#This Row],[LOW_PRICE]]</f>
        <v>7.5</v>
      </c>
      <c r="N948" t="str">
        <f>IF(Table1[[#This Row],[CLOSE_PRICE]]&gt;Table1[[#This Row],[OPEN_PRICE]],"Gain","Loss")</f>
        <v>Loss</v>
      </c>
      <c r="O948" t="str">
        <f>IF(Table1[[#This Row],[MARKET_CAP]]&gt;200000000000,"Large Cap",
IF(Table1[[#This Row],[MARKET_CAP]]&gt;50000000000,"Mid Cap","Small Cap"))</f>
        <v>Mid Cap</v>
      </c>
      <c r="P948" t="str">
        <f>IF(Table1[[#This Row],[NET_TRDQTY]]&gt;1000000,"High Volume","Low Volume")</f>
        <v>High Volume</v>
      </c>
    </row>
    <row r="949" spans="1:16" x14ac:dyDescent="0.3">
      <c r="A949" t="s">
        <v>1903</v>
      </c>
      <c r="B949" t="s">
        <v>1904</v>
      </c>
      <c r="C949">
        <v>520</v>
      </c>
      <c r="D949">
        <v>522.79999999999995</v>
      </c>
      <c r="E949">
        <v>506.6</v>
      </c>
      <c r="F949">
        <v>510.3</v>
      </c>
      <c r="G949">
        <v>522.85</v>
      </c>
      <c r="H949">
        <v>2589941</v>
      </c>
      <c r="I949">
        <v>71323</v>
      </c>
      <c r="J949">
        <v>408000000000</v>
      </c>
      <c r="K949">
        <v>800000000</v>
      </c>
      <c r="L949">
        <f>(Table1[[#This Row],[CLOSE_PRICE]] - Table1[[#This Row],[PREV_CL_PR]]) / Table1[[#This Row],[PREV_CL_PR]] * 100</f>
        <v>-2.4003060151094981</v>
      </c>
      <c r="M949">
        <f>Table1[[#This Row],[HIGH_PRICE]]-Table1[[#This Row],[LOW_PRICE]]</f>
        <v>16.199999999999932</v>
      </c>
      <c r="N949" t="str">
        <f>IF(Table1[[#This Row],[CLOSE_PRICE]]&gt;Table1[[#This Row],[OPEN_PRICE]],"Gain","Loss")</f>
        <v>Loss</v>
      </c>
      <c r="O949" t="str">
        <f>IF(Table1[[#This Row],[MARKET_CAP]]&gt;200000000000,"Large Cap",
IF(Table1[[#This Row],[MARKET_CAP]]&gt;50000000000,"Mid Cap","Small Cap"))</f>
        <v>Large Cap</v>
      </c>
      <c r="P949" t="str">
        <f>IF(Table1[[#This Row],[NET_TRDQTY]]&gt;1000000,"High Volume","Low Volume")</f>
        <v>High Volume</v>
      </c>
    </row>
    <row r="950" spans="1:16" x14ac:dyDescent="0.3">
      <c r="A950" t="s">
        <v>1905</v>
      </c>
      <c r="B950" t="s">
        <v>1906</v>
      </c>
      <c r="C950">
        <v>115</v>
      </c>
      <c r="D950">
        <v>115.05</v>
      </c>
      <c r="E950">
        <v>110</v>
      </c>
      <c r="F950">
        <v>110.51</v>
      </c>
      <c r="G950">
        <v>116.37</v>
      </c>
      <c r="H950">
        <v>10405779</v>
      </c>
      <c r="I950">
        <v>65092</v>
      </c>
      <c r="J950">
        <v>310000000000</v>
      </c>
      <c r="K950">
        <v>2809231268</v>
      </c>
      <c r="L950">
        <f>(Table1[[#This Row],[CLOSE_PRICE]] - Table1[[#This Row],[PREV_CL_PR]]) / Table1[[#This Row],[PREV_CL_PR]] * 100</f>
        <v>-5.0356621122282368</v>
      </c>
      <c r="M950">
        <f>Table1[[#This Row],[HIGH_PRICE]]-Table1[[#This Row],[LOW_PRICE]]</f>
        <v>5.0499999999999972</v>
      </c>
      <c r="N950" t="str">
        <f>IF(Table1[[#This Row],[CLOSE_PRICE]]&gt;Table1[[#This Row],[OPEN_PRICE]],"Gain","Loss")</f>
        <v>Loss</v>
      </c>
      <c r="O950" t="str">
        <f>IF(Table1[[#This Row],[MARKET_CAP]]&gt;200000000000,"Large Cap",
IF(Table1[[#This Row],[MARKET_CAP]]&gt;50000000000,"Mid Cap","Small Cap"))</f>
        <v>Large Cap</v>
      </c>
      <c r="P950" t="str">
        <f>IF(Table1[[#This Row],[NET_TRDQTY]]&gt;1000000,"High Volume","Low Volume")</f>
        <v>High Volume</v>
      </c>
    </row>
    <row r="951" spans="1:16" x14ac:dyDescent="0.3">
      <c r="A951" t="s">
        <v>1907</v>
      </c>
      <c r="B951" t="s">
        <v>1908</v>
      </c>
      <c r="C951">
        <v>230</v>
      </c>
      <c r="D951">
        <v>230</v>
      </c>
      <c r="E951">
        <v>216</v>
      </c>
      <c r="F951">
        <v>218.46</v>
      </c>
      <c r="G951">
        <v>226.57</v>
      </c>
      <c r="H951">
        <v>20256</v>
      </c>
      <c r="I951">
        <v>633</v>
      </c>
      <c r="J951">
        <v>4493339240</v>
      </c>
      <c r="K951">
        <v>20568247</v>
      </c>
      <c r="L951">
        <f>(Table1[[#This Row],[CLOSE_PRICE]] - Table1[[#This Row],[PREV_CL_PR]]) / Table1[[#This Row],[PREV_CL_PR]] * 100</f>
        <v>-3.579467714172214</v>
      </c>
      <c r="M951">
        <f>Table1[[#This Row],[HIGH_PRICE]]-Table1[[#This Row],[LOW_PRICE]]</f>
        <v>14</v>
      </c>
      <c r="N951" t="str">
        <f>IF(Table1[[#This Row],[CLOSE_PRICE]]&gt;Table1[[#This Row],[OPEN_PRICE]],"Gain","Loss")</f>
        <v>Loss</v>
      </c>
      <c r="O951" t="str">
        <f>IF(Table1[[#This Row],[MARKET_CAP]]&gt;200000000000,"Large Cap",
IF(Table1[[#This Row],[MARKET_CAP]]&gt;50000000000,"Mid Cap","Small Cap"))</f>
        <v>Small Cap</v>
      </c>
      <c r="P951" t="str">
        <f>IF(Table1[[#This Row],[NET_TRDQTY]]&gt;1000000,"High Volume","Low Volume")</f>
        <v>Low Volume</v>
      </c>
    </row>
    <row r="952" spans="1:16" x14ac:dyDescent="0.3">
      <c r="A952" t="s">
        <v>1909</v>
      </c>
      <c r="B952" t="s">
        <v>1910</v>
      </c>
      <c r="C952">
        <v>29.5</v>
      </c>
      <c r="D952">
        <v>29.5</v>
      </c>
      <c r="E952">
        <v>27.31</v>
      </c>
      <c r="F952">
        <v>27.83</v>
      </c>
      <c r="G952">
        <v>29.5</v>
      </c>
      <c r="H952">
        <v>364628</v>
      </c>
      <c r="I952">
        <v>1234</v>
      </c>
      <c r="J952">
        <v>5296924810</v>
      </c>
      <c r="K952">
        <v>190331470</v>
      </c>
      <c r="L952">
        <f>(Table1[[#This Row],[CLOSE_PRICE]] - Table1[[#This Row],[PREV_CL_PR]]) / Table1[[#This Row],[PREV_CL_PR]] * 100</f>
        <v>-5.6610169491525486</v>
      </c>
      <c r="M952">
        <f>Table1[[#This Row],[HIGH_PRICE]]-Table1[[#This Row],[LOW_PRICE]]</f>
        <v>2.1900000000000013</v>
      </c>
      <c r="N952" t="str">
        <f>IF(Table1[[#This Row],[CLOSE_PRICE]]&gt;Table1[[#This Row],[OPEN_PRICE]],"Gain","Loss")</f>
        <v>Loss</v>
      </c>
      <c r="O952" t="str">
        <f>IF(Table1[[#This Row],[MARKET_CAP]]&gt;200000000000,"Large Cap",
IF(Table1[[#This Row],[MARKET_CAP]]&gt;50000000000,"Mid Cap","Small Cap"))</f>
        <v>Small Cap</v>
      </c>
      <c r="P952" t="str">
        <f>IF(Table1[[#This Row],[NET_TRDQTY]]&gt;1000000,"High Volume","Low Volume")</f>
        <v>Low Volume</v>
      </c>
    </row>
    <row r="953" spans="1:16" x14ac:dyDescent="0.3">
      <c r="A953" t="s">
        <v>1911</v>
      </c>
      <c r="B953" t="s">
        <v>1912</v>
      </c>
      <c r="C953">
        <v>198.9</v>
      </c>
      <c r="D953">
        <v>198.9</v>
      </c>
      <c r="E953">
        <v>185</v>
      </c>
      <c r="F953">
        <v>186.44</v>
      </c>
      <c r="G953">
        <v>199.19</v>
      </c>
      <c r="H953">
        <v>128054</v>
      </c>
      <c r="I953">
        <v>4114</v>
      </c>
      <c r="J953">
        <v>7655166180</v>
      </c>
      <c r="K953">
        <v>41059677</v>
      </c>
      <c r="L953">
        <f>(Table1[[#This Row],[CLOSE_PRICE]] - Table1[[#This Row],[PREV_CL_PR]]) / Table1[[#This Row],[PREV_CL_PR]] * 100</f>
        <v>-6.4009237411516633</v>
      </c>
      <c r="M953">
        <f>Table1[[#This Row],[HIGH_PRICE]]-Table1[[#This Row],[LOW_PRICE]]</f>
        <v>13.900000000000006</v>
      </c>
      <c r="N953" t="str">
        <f>IF(Table1[[#This Row],[CLOSE_PRICE]]&gt;Table1[[#This Row],[OPEN_PRICE]],"Gain","Loss")</f>
        <v>Loss</v>
      </c>
      <c r="O953" t="str">
        <f>IF(Table1[[#This Row],[MARKET_CAP]]&gt;200000000000,"Large Cap",
IF(Table1[[#This Row],[MARKET_CAP]]&gt;50000000000,"Mid Cap","Small Cap"))</f>
        <v>Small Cap</v>
      </c>
      <c r="P953" t="str">
        <f>IF(Table1[[#This Row],[NET_TRDQTY]]&gt;1000000,"High Volume","Low Volume")</f>
        <v>Low Volume</v>
      </c>
    </row>
    <row r="954" spans="1:16" x14ac:dyDescent="0.3">
      <c r="A954" t="s">
        <v>1913</v>
      </c>
      <c r="B954" t="s">
        <v>1914</v>
      </c>
      <c r="C954">
        <v>65.69</v>
      </c>
      <c r="D954">
        <v>65.69</v>
      </c>
      <c r="E954">
        <v>58.48</v>
      </c>
      <c r="F954">
        <v>59.53</v>
      </c>
      <c r="G954">
        <v>65.69</v>
      </c>
      <c r="H954">
        <v>36925</v>
      </c>
      <c r="I954">
        <v>604</v>
      </c>
      <c r="J954">
        <v>971034191.39999998</v>
      </c>
      <c r="K954">
        <v>16311678</v>
      </c>
      <c r="L954">
        <f>(Table1[[#This Row],[CLOSE_PRICE]] - Table1[[#This Row],[PREV_CL_PR]]) / Table1[[#This Row],[PREV_CL_PR]] * 100</f>
        <v>-9.3773785964378096</v>
      </c>
      <c r="M954">
        <f>Table1[[#This Row],[HIGH_PRICE]]-Table1[[#This Row],[LOW_PRICE]]</f>
        <v>7.2100000000000009</v>
      </c>
      <c r="N954" t="str">
        <f>IF(Table1[[#This Row],[CLOSE_PRICE]]&gt;Table1[[#This Row],[OPEN_PRICE]],"Gain","Loss")</f>
        <v>Loss</v>
      </c>
      <c r="O954" t="str">
        <f>IF(Table1[[#This Row],[MARKET_CAP]]&gt;200000000000,"Large Cap",
IF(Table1[[#This Row],[MARKET_CAP]]&gt;50000000000,"Mid Cap","Small Cap"))</f>
        <v>Small Cap</v>
      </c>
      <c r="P954" t="str">
        <f>IF(Table1[[#This Row],[NET_TRDQTY]]&gt;1000000,"High Volume","Low Volume")</f>
        <v>Low Volume</v>
      </c>
    </row>
    <row r="955" spans="1:16" x14ac:dyDescent="0.3">
      <c r="A955" t="s">
        <v>1915</v>
      </c>
      <c r="B955" t="s">
        <v>1916</v>
      </c>
      <c r="C955">
        <v>885</v>
      </c>
      <c r="D955">
        <v>890</v>
      </c>
      <c r="E955">
        <v>860</v>
      </c>
      <c r="F955">
        <v>883.05</v>
      </c>
      <c r="G955">
        <v>888.15</v>
      </c>
      <c r="H955">
        <v>82312</v>
      </c>
      <c r="I955">
        <v>6781</v>
      </c>
      <c r="J955">
        <v>64930233806</v>
      </c>
      <c r="K955">
        <v>73529510</v>
      </c>
      <c r="L955">
        <f>(Table1[[#This Row],[CLOSE_PRICE]] - Table1[[#This Row],[PREV_CL_PR]]) / Table1[[#This Row],[PREV_CL_PR]] * 100</f>
        <v>-0.57422732646512675</v>
      </c>
      <c r="M955">
        <f>Table1[[#This Row],[HIGH_PRICE]]-Table1[[#This Row],[LOW_PRICE]]</f>
        <v>30</v>
      </c>
      <c r="N955" t="str">
        <f>IF(Table1[[#This Row],[CLOSE_PRICE]]&gt;Table1[[#This Row],[OPEN_PRICE]],"Gain","Loss")</f>
        <v>Loss</v>
      </c>
      <c r="O955" t="str">
        <f>IF(Table1[[#This Row],[MARKET_CAP]]&gt;200000000000,"Large Cap",
IF(Table1[[#This Row],[MARKET_CAP]]&gt;50000000000,"Mid Cap","Small Cap"))</f>
        <v>Mid Cap</v>
      </c>
      <c r="P955" t="str">
        <f>IF(Table1[[#This Row],[NET_TRDQTY]]&gt;1000000,"High Volume","Low Volume")</f>
        <v>Low Volume</v>
      </c>
    </row>
    <row r="956" spans="1:16" x14ac:dyDescent="0.3">
      <c r="A956" t="s">
        <v>1917</v>
      </c>
      <c r="B956" t="s">
        <v>1918</v>
      </c>
      <c r="C956">
        <v>50.11</v>
      </c>
      <c r="D956">
        <v>54.97</v>
      </c>
      <c r="E956">
        <v>49</v>
      </c>
      <c r="F956">
        <v>52.36</v>
      </c>
      <c r="G956">
        <v>51.02</v>
      </c>
      <c r="H956">
        <v>15428</v>
      </c>
      <c r="I956">
        <v>243</v>
      </c>
      <c r="J956">
        <v>1368712234</v>
      </c>
      <c r="K956">
        <v>26140417</v>
      </c>
      <c r="L956">
        <f>(Table1[[#This Row],[CLOSE_PRICE]] - Table1[[#This Row],[PREV_CL_PR]]) / Table1[[#This Row],[PREV_CL_PR]] * 100</f>
        <v>2.6264210113680835</v>
      </c>
      <c r="M956">
        <f>Table1[[#This Row],[HIGH_PRICE]]-Table1[[#This Row],[LOW_PRICE]]</f>
        <v>5.9699999999999989</v>
      </c>
      <c r="N956" t="str">
        <f>IF(Table1[[#This Row],[CLOSE_PRICE]]&gt;Table1[[#This Row],[OPEN_PRICE]],"Gain","Loss")</f>
        <v>Gain</v>
      </c>
      <c r="O956" t="str">
        <f>IF(Table1[[#This Row],[MARKET_CAP]]&gt;200000000000,"Large Cap",
IF(Table1[[#This Row],[MARKET_CAP]]&gt;50000000000,"Mid Cap","Small Cap"))</f>
        <v>Small Cap</v>
      </c>
      <c r="P956" t="str">
        <f>IF(Table1[[#This Row],[NET_TRDQTY]]&gt;1000000,"High Volume","Low Volume")</f>
        <v>Low Volume</v>
      </c>
    </row>
    <row r="957" spans="1:16" x14ac:dyDescent="0.3">
      <c r="A957" t="s">
        <v>1919</v>
      </c>
      <c r="B957" t="s">
        <v>1920</v>
      </c>
      <c r="C957">
        <v>147.86000000000001</v>
      </c>
      <c r="D957">
        <v>147.86000000000001</v>
      </c>
      <c r="E957">
        <v>139.1</v>
      </c>
      <c r="F957">
        <v>140.11000000000001</v>
      </c>
      <c r="G957">
        <v>149.01</v>
      </c>
      <c r="H957">
        <v>9802612</v>
      </c>
      <c r="I957">
        <v>101672</v>
      </c>
      <c r="J957">
        <v>292000000000</v>
      </c>
      <c r="K957">
        <v>2082853588</v>
      </c>
      <c r="L957">
        <f>(Table1[[#This Row],[CLOSE_PRICE]] - Table1[[#This Row],[PREV_CL_PR]]) / Table1[[#This Row],[PREV_CL_PR]] * 100</f>
        <v>-5.9727535064760602</v>
      </c>
      <c r="M957">
        <f>Table1[[#This Row],[HIGH_PRICE]]-Table1[[#This Row],[LOW_PRICE]]</f>
        <v>8.7600000000000193</v>
      </c>
      <c r="N957" t="str">
        <f>IF(Table1[[#This Row],[CLOSE_PRICE]]&gt;Table1[[#This Row],[OPEN_PRICE]],"Gain","Loss")</f>
        <v>Loss</v>
      </c>
      <c r="O957" t="str">
        <f>IF(Table1[[#This Row],[MARKET_CAP]]&gt;200000000000,"Large Cap",
IF(Table1[[#This Row],[MARKET_CAP]]&gt;50000000000,"Mid Cap","Small Cap"))</f>
        <v>Large Cap</v>
      </c>
      <c r="P957" t="str">
        <f>IF(Table1[[#This Row],[NET_TRDQTY]]&gt;1000000,"High Volume","Low Volume")</f>
        <v>High Volume</v>
      </c>
    </row>
    <row r="958" spans="1:16" x14ac:dyDescent="0.3">
      <c r="A958" t="s">
        <v>1921</v>
      </c>
      <c r="B958" t="s">
        <v>1922</v>
      </c>
      <c r="C958">
        <v>424</v>
      </c>
      <c r="D958">
        <v>424.15</v>
      </c>
      <c r="E958">
        <v>386.55</v>
      </c>
      <c r="F958">
        <v>390.05</v>
      </c>
      <c r="G958">
        <v>426.7</v>
      </c>
      <c r="H958">
        <v>75158</v>
      </c>
      <c r="I958">
        <v>2830</v>
      </c>
      <c r="J958">
        <v>33454354470</v>
      </c>
      <c r="K958">
        <v>85769400</v>
      </c>
      <c r="L958">
        <f>(Table1[[#This Row],[CLOSE_PRICE]] - Table1[[#This Row],[PREV_CL_PR]]) / Table1[[#This Row],[PREV_CL_PR]] * 100</f>
        <v>-8.5891727208811766</v>
      </c>
      <c r="M958">
        <f>Table1[[#This Row],[HIGH_PRICE]]-Table1[[#This Row],[LOW_PRICE]]</f>
        <v>37.599999999999966</v>
      </c>
      <c r="N958" t="str">
        <f>IF(Table1[[#This Row],[CLOSE_PRICE]]&gt;Table1[[#This Row],[OPEN_PRICE]],"Gain","Loss")</f>
        <v>Loss</v>
      </c>
      <c r="O958" t="str">
        <f>IF(Table1[[#This Row],[MARKET_CAP]]&gt;200000000000,"Large Cap",
IF(Table1[[#This Row],[MARKET_CAP]]&gt;50000000000,"Mid Cap","Small Cap"))</f>
        <v>Small Cap</v>
      </c>
      <c r="P958" t="str">
        <f>IF(Table1[[#This Row],[NET_TRDQTY]]&gt;1000000,"High Volume","Low Volume")</f>
        <v>Low Volume</v>
      </c>
    </row>
    <row r="959" spans="1:16" x14ac:dyDescent="0.3">
      <c r="A959" t="s">
        <v>1923</v>
      </c>
      <c r="B959" t="s">
        <v>1924</v>
      </c>
      <c r="C959">
        <v>266</v>
      </c>
      <c r="D959">
        <v>269</v>
      </c>
      <c r="E959">
        <v>250.05</v>
      </c>
      <c r="F959">
        <v>253.45</v>
      </c>
      <c r="G959">
        <v>270.60000000000002</v>
      </c>
      <c r="H959">
        <v>1289598</v>
      </c>
      <c r="I959">
        <v>24676</v>
      </c>
      <c r="J959">
        <v>244000000000</v>
      </c>
      <c r="K959">
        <v>960886938</v>
      </c>
      <c r="L959">
        <f>(Table1[[#This Row],[CLOSE_PRICE]] - Table1[[#This Row],[PREV_CL_PR]]) / Table1[[#This Row],[PREV_CL_PR]] * 100</f>
        <v>-6.3377679231337885</v>
      </c>
      <c r="M959">
        <f>Table1[[#This Row],[HIGH_PRICE]]-Table1[[#This Row],[LOW_PRICE]]</f>
        <v>18.949999999999989</v>
      </c>
      <c r="N959" t="str">
        <f>IF(Table1[[#This Row],[CLOSE_PRICE]]&gt;Table1[[#This Row],[OPEN_PRICE]],"Gain","Loss")</f>
        <v>Loss</v>
      </c>
      <c r="O959" t="str">
        <f>IF(Table1[[#This Row],[MARKET_CAP]]&gt;200000000000,"Large Cap",
IF(Table1[[#This Row],[MARKET_CAP]]&gt;50000000000,"Mid Cap","Small Cap"))</f>
        <v>Large Cap</v>
      </c>
      <c r="P959" t="str">
        <f>IF(Table1[[#This Row],[NET_TRDQTY]]&gt;1000000,"High Volume","Low Volume")</f>
        <v>High Volume</v>
      </c>
    </row>
    <row r="960" spans="1:16" x14ac:dyDescent="0.3">
      <c r="A960" t="s">
        <v>1925</v>
      </c>
      <c r="B960" t="s">
        <v>1926</v>
      </c>
      <c r="C960">
        <v>230.39</v>
      </c>
      <c r="D960">
        <v>231.9</v>
      </c>
      <c r="E960">
        <v>207.35</v>
      </c>
      <c r="F960">
        <v>212.6</v>
      </c>
      <c r="G960">
        <v>235.38</v>
      </c>
      <c r="H960">
        <v>147416</v>
      </c>
      <c r="I960">
        <v>4780</v>
      </c>
      <c r="J960">
        <v>11382578488</v>
      </c>
      <c r="K960">
        <v>53539880</v>
      </c>
      <c r="L960">
        <f>(Table1[[#This Row],[CLOSE_PRICE]] - Table1[[#This Row],[PREV_CL_PR]]) / Table1[[#This Row],[PREV_CL_PR]] * 100</f>
        <v>-9.6779675418472273</v>
      </c>
      <c r="M960">
        <f>Table1[[#This Row],[HIGH_PRICE]]-Table1[[#This Row],[LOW_PRICE]]</f>
        <v>24.550000000000011</v>
      </c>
      <c r="N960" t="str">
        <f>IF(Table1[[#This Row],[CLOSE_PRICE]]&gt;Table1[[#This Row],[OPEN_PRICE]],"Gain","Loss")</f>
        <v>Loss</v>
      </c>
      <c r="O960" t="str">
        <f>IF(Table1[[#This Row],[MARKET_CAP]]&gt;200000000000,"Large Cap",
IF(Table1[[#This Row],[MARKET_CAP]]&gt;50000000000,"Mid Cap","Small Cap"))</f>
        <v>Small Cap</v>
      </c>
      <c r="P960" t="str">
        <f>IF(Table1[[#This Row],[NET_TRDQTY]]&gt;1000000,"High Volume","Low Volume")</f>
        <v>Low Volume</v>
      </c>
    </row>
    <row r="961" spans="1:16" x14ac:dyDescent="0.3">
      <c r="A961" t="s">
        <v>1927</v>
      </c>
      <c r="B961" t="s">
        <v>1928</v>
      </c>
      <c r="C961">
        <v>6.85</v>
      </c>
      <c r="D961">
        <v>6.9</v>
      </c>
      <c r="E961">
        <v>6.02</v>
      </c>
      <c r="F961">
        <v>6.41</v>
      </c>
      <c r="G961">
        <v>6.91</v>
      </c>
      <c r="H961">
        <v>1066698</v>
      </c>
      <c r="I961">
        <v>3439</v>
      </c>
      <c r="J961">
        <v>2012949863</v>
      </c>
      <c r="K961">
        <v>314032740</v>
      </c>
      <c r="L961">
        <f>(Table1[[#This Row],[CLOSE_PRICE]] - Table1[[#This Row],[PREV_CL_PR]]) / Table1[[#This Row],[PREV_CL_PR]] * 100</f>
        <v>-7.2358900144717797</v>
      </c>
      <c r="M961">
        <f>Table1[[#This Row],[HIGH_PRICE]]-Table1[[#This Row],[LOW_PRICE]]</f>
        <v>0.88000000000000078</v>
      </c>
      <c r="N961" t="str">
        <f>IF(Table1[[#This Row],[CLOSE_PRICE]]&gt;Table1[[#This Row],[OPEN_PRICE]],"Gain","Loss")</f>
        <v>Loss</v>
      </c>
      <c r="O961" t="str">
        <f>IF(Table1[[#This Row],[MARKET_CAP]]&gt;200000000000,"Large Cap",
IF(Table1[[#This Row],[MARKET_CAP]]&gt;50000000000,"Mid Cap","Small Cap"))</f>
        <v>Small Cap</v>
      </c>
      <c r="P961" t="str">
        <f>IF(Table1[[#This Row],[NET_TRDQTY]]&gt;1000000,"High Volume","Low Volume")</f>
        <v>High Volume</v>
      </c>
    </row>
    <row r="962" spans="1:16" x14ac:dyDescent="0.3">
      <c r="A962" t="s">
        <v>1929</v>
      </c>
      <c r="B962" t="s">
        <v>1930</v>
      </c>
      <c r="C962">
        <v>129.03</v>
      </c>
      <c r="D962">
        <v>130.9</v>
      </c>
      <c r="E962">
        <v>121.01</v>
      </c>
      <c r="F962">
        <v>126.22</v>
      </c>
      <c r="G962">
        <v>130.66999999999999</v>
      </c>
      <c r="H962">
        <v>8667</v>
      </c>
      <c r="I962">
        <v>290</v>
      </c>
      <c r="J962">
        <v>1303380916</v>
      </c>
      <c r="K962">
        <v>10326263</v>
      </c>
      <c r="L962">
        <f>(Table1[[#This Row],[CLOSE_PRICE]] - Table1[[#This Row],[PREV_CL_PR]]) / Table1[[#This Row],[PREV_CL_PR]] * 100</f>
        <v>-3.4055253692507761</v>
      </c>
      <c r="M962">
        <f>Table1[[#This Row],[HIGH_PRICE]]-Table1[[#This Row],[LOW_PRICE]]</f>
        <v>9.89</v>
      </c>
      <c r="N962" t="str">
        <f>IF(Table1[[#This Row],[CLOSE_PRICE]]&gt;Table1[[#This Row],[OPEN_PRICE]],"Gain","Loss")</f>
        <v>Loss</v>
      </c>
      <c r="O962" t="str">
        <f>IF(Table1[[#This Row],[MARKET_CAP]]&gt;200000000000,"Large Cap",
IF(Table1[[#This Row],[MARKET_CAP]]&gt;50000000000,"Mid Cap","Small Cap"))</f>
        <v>Small Cap</v>
      </c>
      <c r="P962" t="str">
        <f>IF(Table1[[#This Row],[NET_TRDQTY]]&gt;1000000,"High Volume","Low Volume")</f>
        <v>Low Volume</v>
      </c>
    </row>
    <row r="963" spans="1:16" x14ac:dyDescent="0.3">
      <c r="A963" t="s">
        <v>1931</v>
      </c>
      <c r="B963" t="s">
        <v>1932</v>
      </c>
      <c r="C963">
        <v>170.55</v>
      </c>
      <c r="D963">
        <v>172.4</v>
      </c>
      <c r="E963">
        <v>162.65</v>
      </c>
      <c r="F963">
        <v>166.57</v>
      </c>
      <c r="G963">
        <v>173.54</v>
      </c>
      <c r="H963">
        <v>1909224</v>
      </c>
      <c r="I963">
        <v>44919</v>
      </c>
      <c r="J963">
        <v>72887565345</v>
      </c>
      <c r="K963">
        <v>437579188</v>
      </c>
      <c r="L963">
        <f>(Table1[[#This Row],[CLOSE_PRICE]] - Table1[[#This Row],[PREV_CL_PR]]) / Table1[[#This Row],[PREV_CL_PR]] * 100</f>
        <v>-4.0163651031462484</v>
      </c>
      <c r="M963">
        <f>Table1[[#This Row],[HIGH_PRICE]]-Table1[[#This Row],[LOW_PRICE]]</f>
        <v>9.75</v>
      </c>
      <c r="N963" t="str">
        <f>IF(Table1[[#This Row],[CLOSE_PRICE]]&gt;Table1[[#This Row],[OPEN_PRICE]],"Gain","Loss")</f>
        <v>Loss</v>
      </c>
      <c r="O963" t="str">
        <f>IF(Table1[[#This Row],[MARKET_CAP]]&gt;200000000000,"Large Cap",
IF(Table1[[#This Row],[MARKET_CAP]]&gt;50000000000,"Mid Cap","Small Cap"))</f>
        <v>Mid Cap</v>
      </c>
      <c r="P963" t="str">
        <f>IF(Table1[[#This Row],[NET_TRDQTY]]&gt;1000000,"High Volume","Low Volume")</f>
        <v>High Volume</v>
      </c>
    </row>
    <row r="964" spans="1:16" x14ac:dyDescent="0.3">
      <c r="A964" t="s">
        <v>1933</v>
      </c>
      <c r="B964" t="s">
        <v>1934</v>
      </c>
      <c r="C964">
        <v>115.68</v>
      </c>
      <c r="D964">
        <v>116.31</v>
      </c>
      <c r="E964">
        <v>108</v>
      </c>
      <c r="F964">
        <v>109.33</v>
      </c>
      <c r="G964">
        <v>118.82</v>
      </c>
      <c r="H964">
        <v>8331744</v>
      </c>
      <c r="I964">
        <v>46215</v>
      </c>
      <c r="J964">
        <v>120000000000</v>
      </c>
      <c r="K964">
        <v>1101182463</v>
      </c>
      <c r="L964">
        <f>(Table1[[#This Row],[CLOSE_PRICE]] - Table1[[#This Row],[PREV_CL_PR]]) / Table1[[#This Row],[PREV_CL_PR]] * 100</f>
        <v>-7.9868708971553568</v>
      </c>
      <c r="M964">
        <f>Table1[[#This Row],[HIGH_PRICE]]-Table1[[#This Row],[LOW_PRICE]]</f>
        <v>8.3100000000000023</v>
      </c>
      <c r="N964" t="str">
        <f>IF(Table1[[#This Row],[CLOSE_PRICE]]&gt;Table1[[#This Row],[OPEN_PRICE]],"Gain","Loss")</f>
        <v>Loss</v>
      </c>
      <c r="O964" t="str">
        <f>IF(Table1[[#This Row],[MARKET_CAP]]&gt;200000000000,"Large Cap",
IF(Table1[[#This Row],[MARKET_CAP]]&gt;50000000000,"Mid Cap","Small Cap"))</f>
        <v>Mid Cap</v>
      </c>
      <c r="P964" t="str">
        <f>IF(Table1[[#This Row],[NET_TRDQTY]]&gt;1000000,"High Volume","Low Volume")</f>
        <v>High Volume</v>
      </c>
    </row>
    <row r="965" spans="1:16" x14ac:dyDescent="0.3">
      <c r="A965" t="s">
        <v>1935</v>
      </c>
      <c r="B965" t="s">
        <v>1936</v>
      </c>
      <c r="C965">
        <v>61.17</v>
      </c>
      <c r="D965">
        <v>61.17</v>
      </c>
      <c r="E965">
        <v>59.77</v>
      </c>
      <c r="F965">
        <v>59.85</v>
      </c>
      <c r="G965">
        <v>61.13</v>
      </c>
      <c r="H965">
        <v>368196</v>
      </c>
      <c r="I965">
        <v>2779</v>
      </c>
      <c r="J965">
        <v>13026608179</v>
      </c>
      <c r="K965">
        <v>217654272</v>
      </c>
      <c r="L965">
        <f>(Table1[[#This Row],[CLOSE_PRICE]] - Table1[[#This Row],[PREV_CL_PR]]) / Table1[[#This Row],[PREV_CL_PR]] * 100</f>
        <v>-2.0938982496319336</v>
      </c>
      <c r="M965">
        <f>Table1[[#This Row],[HIGH_PRICE]]-Table1[[#This Row],[LOW_PRICE]]</f>
        <v>1.3999999999999986</v>
      </c>
      <c r="N965" t="str">
        <f>IF(Table1[[#This Row],[CLOSE_PRICE]]&gt;Table1[[#This Row],[OPEN_PRICE]],"Gain","Loss")</f>
        <v>Loss</v>
      </c>
      <c r="O965" t="str">
        <f>IF(Table1[[#This Row],[MARKET_CAP]]&gt;200000000000,"Large Cap",
IF(Table1[[#This Row],[MARKET_CAP]]&gt;50000000000,"Mid Cap","Small Cap"))</f>
        <v>Small Cap</v>
      </c>
      <c r="P965" t="str">
        <f>IF(Table1[[#This Row],[NET_TRDQTY]]&gt;1000000,"High Volume","Low Volume")</f>
        <v>Low Volume</v>
      </c>
    </row>
    <row r="966" spans="1:16" x14ac:dyDescent="0.3">
      <c r="A966" t="s">
        <v>1937</v>
      </c>
      <c r="B966" t="s">
        <v>1938</v>
      </c>
      <c r="C966">
        <v>181.32</v>
      </c>
      <c r="D966">
        <v>182.68</v>
      </c>
      <c r="E966">
        <v>180</v>
      </c>
      <c r="F966">
        <v>182.15</v>
      </c>
      <c r="G966">
        <v>183.34</v>
      </c>
      <c r="H966">
        <v>126970</v>
      </c>
      <c r="I966">
        <v>2534</v>
      </c>
      <c r="J966">
        <v>12164208331</v>
      </c>
      <c r="K966">
        <v>66781270</v>
      </c>
      <c r="L966">
        <f>(Table1[[#This Row],[CLOSE_PRICE]] - Table1[[#This Row],[PREV_CL_PR]]) / Table1[[#This Row],[PREV_CL_PR]] * 100</f>
        <v>-0.64906730664339352</v>
      </c>
      <c r="M966">
        <f>Table1[[#This Row],[HIGH_PRICE]]-Table1[[#This Row],[LOW_PRICE]]</f>
        <v>2.6800000000000068</v>
      </c>
      <c r="N966" t="str">
        <f>IF(Table1[[#This Row],[CLOSE_PRICE]]&gt;Table1[[#This Row],[OPEN_PRICE]],"Gain","Loss")</f>
        <v>Gain</v>
      </c>
      <c r="O966" t="str">
        <f>IF(Table1[[#This Row],[MARKET_CAP]]&gt;200000000000,"Large Cap",
IF(Table1[[#This Row],[MARKET_CAP]]&gt;50000000000,"Mid Cap","Small Cap"))</f>
        <v>Small Cap</v>
      </c>
      <c r="P966" t="str">
        <f>IF(Table1[[#This Row],[NET_TRDQTY]]&gt;1000000,"High Volume","Low Volume")</f>
        <v>Low Volume</v>
      </c>
    </row>
    <row r="967" spans="1:16" x14ac:dyDescent="0.3">
      <c r="A967" t="s">
        <v>1939</v>
      </c>
      <c r="B967" t="s">
        <v>1940</v>
      </c>
      <c r="C967">
        <v>63.07</v>
      </c>
      <c r="D967">
        <v>63.65</v>
      </c>
      <c r="E967">
        <v>57.5</v>
      </c>
      <c r="F967">
        <v>57.76</v>
      </c>
      <c r="G967">
        <v>64.680000000000007</v>
      </c>
      <c r="H967">
        <v>4728870</v>
      </c>
      <c r="I967">
        <v>24266</v>
      </c>
      <c r="J967">
        <v>52691960277</v>
      </c>
      <c r="K967">
        <v>912256930</v>
      </c>
      <c r="L967">
        <f>(Table1[[#This Row],[CLOSE_PRICE]] - Table1[[#This Row],[PREV_CL_PR]]) / Table1[[#This Row],[PREV_CL_PR]] * 100</f>
        <v>-10.698824984539284</v>
      </c>
      <c r="M967">
        <f>Table1[[#This Row],[HIGH_PRICE]]-Table1[[#This Row],[LOW_PRICE]]</f>
        <v>6.1499999999999986</v>
      </c>
      <c r="N967" t="str">
        <f>IF(Table1[[#This Row],[CLOSE_PRICE]]&gt;Table1[[#This Row],[OPEN_PRICE]],"Gain","Loss")</f>
        <v>Loss</v>
      </c>
      <c r="O967" t="str">
        <f>IF(Table1[[#This Row],[MARKET_CAP]]&gt;200000000000,"Large Cap",
IF(Table1[[#This Row],[MARKET_CAP]]&gt;50000000000,"Mid Cap","Small Cap"))</f>
        <v>Mid Cap</v>
      </c>
      <c r="P967" t="str">
        <f>IF(Table1[[#This Row],[NET_TRDQTY]]&gt;1000000,"High Volume","Low Volume")</f>
        <v>High Volume</v>
      </c>
    </row>
    <row r="968" spans="1:16" x14ac:dyDescent="0.3">
      <c r="A968" t="s">
        <v>1941</v>
      </c>
      <c r="B968" t="s">
        <v>1942</v>
      </c>
      <c r="C968">
        <v>100.8</v>
      </c>
      <c r="D968">
        <v>100.8</v>
      </c>
      <c r="E968">
        <v>93.15</v>
      </c>
      <c r="F968">
        <v>94.69</v>
      </c>
      <c r="G968">
        <v>102.12</v>
      </c>
      <c r="H968">
        <v>1306362</v>
      </c>
      <c r="I968">
        <v>12312</v>
      </c>
      <c r="J968">
        <v>16618567977</v>
      </c>
      <c r="K968">
        <v>175504995</v>
      </c>
      <c r="L968">
        <f>(Table1[[#This Row],[CLOSE_PRICE]] - Table1[[#This Row],[PREV_CL_PR]]) / Table1[[#This Row],[PREV_CL_PR]] * 100</f>
        <v>-7.2757540148844555</v>
      </c>
      <c r="M968">
        <f>Table1[[#This Row],[HIGH_PRICE]]-Table1[[#This Row],[LOW_PRICE]]</f>
        <v>7.6499999999999915</v>
      </c>
      <c r="N968" t="str">
        <f>IF(Table1[[#This Row],[CLOSE_PRICE]]&gt;Table1[[#This Row],[OPEN_PRICE]],"Gain","Loss")</f>
        <v>Loss</v>
      </c>
      <c r="O968" t="str">
        <f>IF(Table1[[#This Row],[MARKET_CAP]]&gt;200000000000,"Large Cap",
IF(Table1[[#This Row],[MARKET_CAP]]&gt;50000000000,"Mid Cap","Small Cap"))</f>
        <v>Small Cap</v>
      </c>
      <c r="P968" t="str">
        <f>IF(Table1[[#This Row],[NET_TRDQTY]]&gt;1000000,"High Volume","Low Volume")</f>
        <v>High Volume</v>
      </c>
    </row>
    <row r="969" spans="1:16" x14ac:dyDescent="0.3">
      <c r="A969" t="s">
        <v>1943</v>
      </c>
      <c r="B969" t="s">
        <v>1944</v>
      </c>
      <c r="C969">
        <v>438</v>
      </c>
      <c r="D969">
        <v>444.4</v>
      </c>
      <c r="E969">
        <v>417.5</v>
      </c>
      <c r="F969">
        <v>439.65</v>
      </c>
      <c r="G969">
        <v>441.2</v>
      </c>
      <c r="H969">
        <v>1755478</v>
      </c>
      <c r="I969">
        <v>37244</v>
      </c>
      <c r="J969">
        <v>152000000000</v>
      </c>
      <c r="K969">
        <v>345085814</v>
      </c>
      <c r="L969">
        <f>(Table1[[#This Row],[CLOSE_PRICE]] - Table1[[#This Row],[PREV_CL_PR]]) / Table1[[#This Row],[PREV_CL_PR]] * 100</f>
        <v>-0.35131459655485303</v>
      </c>
      <c r="M969">
        <f>Table1[[#This Row],[HIGH_PRICE]]-Table1[[#This Row],[LOW_PRICE]]</f>
        <v>26.899999999999977</v>
      </c>
      <c r="N969" t="str">
        <f>IF(Table1[[#This Row],[CLOSE_PRICE]]&gt;Table1[[#This Row],[OPEN_PRICE]],"Gain","Loss")</f>
        <v>Gain</v>
      </c>
      <c r="O969" t="str">
        <f>IF(Table1[[#This Row],[MARKET_CAP]]&gt;200000000000,"Large Cap",
IF(Table1[[#This Row],[MARKET_CAP]]&gt;50000000000,"Mid Cap","Small Cap"))</f>
        <v>Mid Cap</v>
      </c>
      <c r="P969" t="str">
        <f>IF(Table1[[#This Row],[NET_TRDQTY]]&gt;1000000,"High Volume","Low Volume")</f>
        <v>High Volume</v>
      </c>
    </row>
    <row r="970" spans="1:16" x14ac:dyDescent="0.3">
      <c r="A970" t="s">
        <v>1945</v>
      </c>
      <c r="B970" t="s">
        <v>1946</v>
      </c>
      <c r="C970">
        <v>28.66</v>
      </c>
      <c r="D970">
        <v>29</v>
      </c>
      <c r="E970">
        <v>25.8</v>
      </c>
      <c r="F970">
        <v>27.1</v>
      </c>
      <c r="G970">
        <v>28.62</v>
      </c>
      <c r="H970">
        <v>83073</v>
      </c>
      <c r="I970">
        <v>1124</v>
      </c>
      <c r="J970">
        <v>517358349.39999998</v>
      </c>
      <c r="K970">
        <v>19090714</v>
      </c>
      <c r="L970">
        <f>(Table1[[#This Row],[CLOSE_PRICE]] - Table1[[#This Row],[PREV_CL_PR]]) / Table1[[#This Row],[PREV_CL_PR]] * 100</f>
        <v>-5.3109713487071959</v>
      </c>
      <c r="M970">
        <f>Table1[[#This Row],[HIGH_PRICE]]-Table1[[#This Row],[LOW_PRICE]]</f>
        <v>3.1999999999999993</v>
      </c>
      <c r="N970" t="str">
        <f>IF(Table1[[#This Row],[CLOSE_PRICE]]&gt;Table1[[#This Row],[OPEN_PRICE]],"Gain","Loss")</f>
        <v>Loss</v>
      </c>
      <c r="O970" t="str">
        <f>IF(Table1[[#This Row],[MARKET_CAP]]&gt;200000000000,"Large Cap",
IF(Table1[[#This Row],[MARKET_CAP]]&gt;50000000000,"Mid Cap","Small Cap"))</f>
        <v>Small Cap</v>
      </c>
      <c r="P970" t="str">
        <f>IF(Table1[[#This Row],[NET_TRDQTY]]&gt;1000000,"High Volume","Low Volume")</f>
        <v>Low Volume</v>
      </c>
    </row>
    <row r="971" spans="1:16" x14ac:dyDescent="0.3">
      <c r="A971" t="s">
        <v>1947</v>
      </c>
      <c r="B971" t="s">
        <v>1948</v>
      </c>
      <c r="C971">
        <v>117.88</v>
      </c>
      <c r="D971">
        <v>117.88</v>
      </c>
      <c r="E971">
        <v>111.26</v>
      </c>
      <c r="F971">
        <v>112.44</v>
      </c>
      <c r="G971">
        <v>119.68</v>
      </c>
      <c r="H971">
        <v>2106541</v>
      </c>
      <c r="I971">
        <v>19082</v>
      </c>
      <c r="J971">
        <v>44861298269</v>
      </c>
      <c r="K971">
        <v>398979885</v>
      </c>
      <c r="L971">
        <f>(Table1[[#This Row],[CLOSE_PRICE]] - Table1[[#This Row],[PREV_CL_PR]]) / Table1[[#This Row],[PREV_CL_PR]] * 100</f>
        <v>-6.0494652406417186</v>
      </c>
      <c r="M971">
        <f>Table1[[#This Row],[HIGH_PRICE]]-Table1[[#This Row],[LOW_PRICE]]</f>
        <v>6.6199999999999903</v>
      </c>
      <c r="N971" t="str">
        <f>IF(Table1[[#This Row],[CLOSE_PRICE]]&gt;Table1[[#This Row],[OPEN_PRICE]],"Gain","Loss")</f>
        <v>Loss</v>
      </c>
      <c r="O971" t="str">
        <f>IF(Table1[[#This Row],[MARKET_CAP]]&gt;200000000000,"Large Cap",
IF(Table1[[#This Row],[MARKET_CAP]]&gt;50000000000,"Mid Cap","Small Cap"))</f>
        <v>Small Cap</v>
      </c>
      <c r="P971" t="str">
        <f>IF(Table1[[#This Row],[NET_TRDQTY]]&gt;1000000,"High Volume","Low Volume")</f>
        <v>High Volume</v>
      </c>
    </row>
    <row r="972" spans="1:16" x14ac:dyDescent="0.3">
      <c r="A972" t="s">
        <v>1949</v>
      </c>
      <c r="B972" t="s">
        <v>1950</v>
      </c>
      <c r="C972">
        <v>478</v>
      </c>
      <c r="D972">
        <v>478</v>
      </c>
      <c r="E972">
        <v>444.6</v>
      </c>
      <c r="F972">
        <v>457.5</v>
      </c>
      <c r="G972">
        <v>486.15</v>
      </c>
      <c r="H972">
        <v>207515</v>
      </c>
      <c r="I972">
        <v>7298</v>
      </c>
      <c r="J972">
        <v>10136502218</v>
      </c>
      <c r="K972">
        <v>22156289</v>
      </c>
      <c r="L972">
        <f>(Table1[[#This Row],[CLOSE_PRICE]] - Table1[[#This Row],[PREV_CL_PR]]) / Table1[[#This Row],[PREV_CL_PR]] * 100</f>
        <v>-5.8932428262881782</v>
      </c>
      <c r="M972">
        <f>Table1[[#This Row],[HIGH_PRICE]]-Table1[[#This Row],[LOW_PRICE]]</f>
        <v>33.399999999999977</v>
      </c>
      <c r="N972" t="str">
        <f>IF(Table1[[#This Row],[CLOSE_PRICE]]&gt;Table1[[#This Row],[OPEN_PRICE]],"Gain","Loss")</f>
        <v>Loss</v>
      </c>
      <c r="O972" t="str">
        <f>IF(Table1[[#This Row],[MARKET_CAP]]&gt;200000000000,"Large Cap",
IF(Table1[[#This Row],[MARKET_CAP]]&gt;50000000000,"Mid Cap","Small Cap"))</f>
        <v>Small Cap</v>
      </c>
      <c r="P972" t="str">
        <f>IF(Table1[[#This Row],[NET_TRDQTY]]&gt;1000000,"High Volume","Low Volume")</f>
        <v>Low Volume</v>
      </c>
    </row>
    <row r="973" spans="1:16" x14ac:dyDescent="0.3">
      <c r="A973" t="s">
        <v>1951</v>
      </c>
      <c r="B973" t="s">
        <v>1952</v>
      </c>
      <c r="C973">
        <v>362.5</v>
      </c>
      <c r="D973">
        <v>368</v>
      </c>
      <c r="E973">
        <v>337.2</v>
      </c>
      <c r="F973">
        <v>344.3</v>
      </c>
      <c r="G973">
        <v>368.5</v>
      </c>
      <c r="H973">
        <v>152762</v>
      </c>
      <c r="I973">
        <v>6265</v>
      </c>
      <c r="J973">
        <v>21658232816</v>
      </c>
      <c r="K973">
        <v>62905120</v>
      </c>
      <c r="L973">
        <f>(Table1[[#This Row],[CLOSE_PRICE]] - Table1[[#This Row],[PREV_CL_PR]]) / Table1[[#This Row],[PREV_CL_PR]] * 100</f>
        <v>-6.5671641791044744</v>
      </c>
      <c r="M973">
        <f>Table1[[#This Row],[HIGH_PRICE]]-Table1[[#This Row],[LOW_PRICE]]</f>
        <v>30.800000000000011</v>
      </c>
      <c r="N973" t="str">
        <f>IF(Table1[[#This Row],[CLOSE_PRICE]]&gt;Table1[[#This Row],[OPEN_PRICE]],"Gain","Loss")</f>
        <v>Loss</v>
      </c>
      <c r="O973" t="str">
        <f>IF(Table1[[#This Row],[MARKET_CAP]]&gt;200000000000,"Large Cap",
IF(Table1[[#This Row],[MARKET_CAP]]&gt;50000000000,"Mid Cap","Small Cap"))</f>
        <v>Small Cap</v>
      </c>
      <c r="P973" t="str">
        <f>IF(Table1[[#This Row],[NET_TRDQTY]]&gt;1000000,"High Volume","Low Volume")</f>
        <v>Low Volume</v>
      </c>
    </row>
    <row r="974" spans="1:16" x14ac:dyDescent="0.3">
      <c r="A974" t="s">
        <v>1953</v>
      </c>
      <c r="B974" t="s">
        <v>1954</v>
      </c>
      <c r="C974">
        <v>166</v>
      </c>
      <c r="D974">
        <v>170.9</v>
      </c>
      <c r="E974">
        <v>162</v>
      </c>
      <c r="F974">
        <v>166.94</v>
      </c>
      <c r="G974">
        <v>167.59</v>
      </c>
      <c r="H974">
        <v>17166</v>
      </c>
      <c r="I974">
        <v>315</v>
      </c>
      <c r="J974">
        <v>5008200000</v>
      </c>
      <c r="K974">
        <v>30000000</v>
      </c>
      <c r="L974">
        <f>(Table1[[#This Row],[CLOSE_PRICE]] - Table1[[#This Row],[PREV_CL_PR]]) / Table1[[#This Row],[PREV_CL_PR]] * 100</f>
        <v>-0.38785130377707838</v>
      </c>
      <c r="M974">
        <f>Table1[[#This Row],[HIGH_PRICE]]-Table1[[#This Row],[LOW_PRICE]]</f>
        <v>8.9000000000000057</v>
      </c>
      <c r="N974" t="str">
        <f>IF(Table1[[#This Row],[CLOSE_PRICE]]&gt;Table1[[#This Row],[OPEN_PRICE]],"Gain","Loss")</f>
        <v>Gain</v>
      </c>
      <c r="O974" t="str">
        <f>IF(Table1[[#This Row],[MARKET_CAP]]&gt;200000000000,"Large Cap",
IF(Table1[[#This Row],[MARKET_CAP]]&gt;50000000000,"Mid Cap","Small Cap"))</f>
        <v>Small Cap</v>
      </c>
      <c r="P974" t="str">
        <f>IF(Table1[[#This Row],[NET_TRDQTY]]&gt;1000000,"High Volume","Low Volume")</f>
        <v>Low Volume</v>
      </c>
    </row>
    <row r="975" spans="1:16" x14ac:dyDescent="0.3">
      <c r="A975" t="s">
        <v>1955</v>
      </c>
      <c r="B975" t="s">
        <v>1956</v>
      </c>
      <c r="C975">
        <v>86.3</v>
      </c>
      <c r="D975">
        <v>86.3</v>
      </c>
      <c r="E975">
        <v>78.5</v>
      </c>
      <c r="F975">
        <v>78.72</v>
      </c>
      <c r="G975">
        <v>85.88</v>
      </c>
      <c r="H975">
        <v>341834</v>
      </c>
      <c r="I975">
        <v>3998</v>
      </c>
      <c r="J975">
        <v>8521440000</v>
      </c>
      <c r="K975">
        <v>108250000</v>
      </c>
      <c r="L975">
        <f>(Table1[[#This Row],[CLOSE_PRICE]] - Table1[[#This Row],[PREV_CL_PR]]) / Table1[[#This Row],[PREV_CL_PR]] * 100</f>
        <v>-8.3372147182114542</v>
      </c>
      <c r="M975">
        <f>Table1[[#This Row],[HIGH_PRICE]]-Table1[[#This Row],[LOW_PRICE]]</f>
        <v>7.7999999999999972</v>
      </c>
      <c r="N975" t="str">
        <f>IF(Table1[[#This Row],[CLOSE_PRICE]]&gt;Table1[[#This Row],[OPEN_PRICE]],"Gain","Loss")</f>
        <v>Loss</v>
      </c>
      <c r="O975" t="str">
        <f>IF(Table1[[#This Row],[MARKET_CAP]]&gt;200000000000,"Large Cap",
IF(Table1[[#This Row],[MARKET_CAP]]&gt;50000000000,"Mid Cap","Small Cap"))</f>
        <v>Small Cap</v>
      </c>
      <c r="P975" t="str">
        <f>IF(Table1[[#This Row],[NET_TRDQTY]]&gt;1000000,"High Volume","Low Volume")</f>
        <v>Low Volume</v>
      </c>
    </row>
    <row r="976" spans="1:16" x14ac:dyDescent="0.3">
      <c r="A976" t="s">
        <v>1957</v>
      </c>
      <c r="B976" t="s">
        <v>1958</v>
      </c>
      <c r="C976">
        <v>130.62</v>
      </c>
      <c r="D976">
        <v>131.79</v>
      </c>
      <c r="E976">
        <v>123.24</v>
      </c>
      <c r="F976">
        <v>124.13</v>
      </c>
      <c r="G976">
        <v>132.62</v>
      </c>
      <c r="H976">
        <v>129192</v>
      </c>
      <c r="I976">
        <v>2061</v>
      </c>
      <c r="J976">
        <v>16172533503</v>
      </c>
      <c r="K976">
        <v>130287066</v>
      </c>
      <c r="L976">
        <f>(Table1[[#This Row],[CLOSE_PRICE]] - Table1[[#This Row],[PREV_CL_PR]]) / Table1[[#This Row],[PREV_CL_PR]] * 100</f>
        <v>-6.4017493590710366</v>
      </c>
      <c r="M976">
        <f>Table1[[#This Row],[HIGH_PRICE]]-Table1[[#This Row],[LOW_PRICE]]</f>
        <v>8.5499999999999972</v>
      </c>
      <c r="N976" t="str">
        <f>IF(Table1[[#This Row],[CLOSE_PRICE]]&gt;Table1[[#This Row],[OPEN_PRICE]],"Gain","Loss")</f>
        <v>Loss</v>
      </c>
      <c r="O976" t="str">
        <f>IF(Table1[[#This Row],[MARKET_CAP]]&gt;200000000000,"Large Cap",
IF(Table1[[#This Row],[MARKET_CAP]]&gt;50000000000,"Mid Cap","Small Cap"))</f>
        <v>Small Cap</v>
      </c>
      <c r="P976" t="str">
        <f>IF(Table1[[#This Row],[NET_TRDQTY]]&gt;1000000,"High Volume","Low Volume")</f>
        <v>Low Volume</v>
      </c>
    </row>
    <row r="977" spans="1:16" x14ac:dyDescent="0.3">
      <c r="A977" t="s">
        <v>1959</v>
      </c>
      <c r="B977" t="s">
        <v>1960</v>
      </c>
      <c r="C977">
        <v>71.8</v>
      </c>
      <c r="D977">
        <v>73.489999999999995</v>
      </c>
      <c r="E977">
        <v>68.400000000000006</v>
      </c>
      <c r="F977">
        <v>68.900000000000006</v>
      </c>
      <c r="G977">
        <v>74.239999999999995</v>
      </c>
      <c r="H977">
        <v>5417201</v>
      </c>
      <c r="I977">
        <v>23983</v>
      </c>
      <c r="J977">
        <v>66901779012</v>
      </c>
      <c r="K977">
        <v>970998244</v>
      </c>
      <c r="L977">
        <f>(Table1[[#This Row],[CLOSE_PRICE]] - Table1[[#This Row],[PREV_CL_PR]]) / Table1[[#This Row],[PREV_CL_PR]] * 100</f>
        <v>-7.192887931034468</v>
      </c>
      <c r="M977">
        <f>Table1[[#This Row],[HIGH_PRICE]]-Table1[[#This Row],[LOW_PRICE]]</f>
        <v>5.0899999999999892</v>
      </c>
      <c r="N977" t="str">
        <f>IF(Table1[[#This Row],[CLOSE_PRICE]]&gt;Table1[[#This Row],[OPEN_PRICE]],"Gain","Loss")</f>
        <v>Loss</v>
      </c>
      <c r="O977" t="str">
        <f>IF(Table1[[#This Row],[MARKET_CAP]]&gt;200000000000,"Large Cap",
IF(Table1[[#This Row],[MARKET_CAP]]&gt;50000000000,"Mid Cap","Small Cap"))</f>
        <v>Mid Cap</v>
      </c>
      <c r="P977" t="str">
        <f>IF(Table1[[#This Row],[NET_TRDQTY]]&gt;1000000,"High Volume","Low Volume")</f>
        <v>High Volume</v>
      </c>
    </row>
    <row r="978" spans="1:16" x14ac:dyDescent="0.3">
      <c r="A978" t="s">
        <v>1961</v>
      </c>
      <c r="B978" t="s">
        <v>1962</v>
      </c>
      <c r="C978">
        <v>79.349999999999994</v>
      </c>
      <c r="D978">
        <v>79.900000000000006</v>
      </c>
      <c r="E978">
        <v>76.599999999999994</v>
      </c>
      <c r="F978">
        <v>77.040000000000006</v>
      </c>
      <c r="G978">
        <v>80.61</v>
      </c>
      <c r="H978">
        <v>59800</v>
      </c>
      <c r="I978">
        <v>1125</v>
      </c>
      <c r="J978">
        <v>2224721676</v>
      </c>
      <c r="K978">
        <v>28877488</v>
      </c>
      <c r="L978">
        <f>(Table1[[#This Row],[CLOSE_PRICE]] - Table1[[#This Row],[PREV_CL_PR]]) / Table1[[#This Row],[PREV_CL_PR]] * 100</f>
        <v>-4.4287309266840253</v>
      </c>
      <c r="M978">
        <f>Table1[[#This Row],[HIGH_PRICE]]-Table1[[#This Row],[LOW_PRICE]]</f>
        <v>3.3000000000000114</v>
      </c>
      <c r="N978" t="str">
        <f>IF(Table1[[#This Row],[CLOSE_PRICE]]&gt;Table1[[#This Row],[OPEN_PRICE]],"Gain","Loss")</f>
        <v>Loss</v>
      </c>
      <c r="O978" t="str">
        <f>IF(Table1[[#This Row],[MARKET_CAP]]&gt;200000000000,"Large Cap",
IF(Table1[[#This Row],[MARKET_CAP]]&gt;50000000000,"Mid Cap","Small Cap"))</f>
        <v>Small Cap</v>
      </c>
      <c r="P978" t="str">
        <f>IF(Table1[[#This Row],[NET_TRDQTY]]&gt;1000000,"High Volume","Low Volume")</f>
        <v>Low Volume</v>
      </c>
    </row>
    <row r="979" spans="1:16" x14ac:dyDescent="0.3">
      <c r="A979" t="s">
        <v>1963</v>
      </c>
      <c r="B979" t="s">
        <v>1964</v>
      </c>
      <c r="C979">
        <v>2138.6</v>
      </c>
      <c r="D979">
        <v>2138.6</v>
      </c>
      <c r="E979">
        <v>2069.1999999999998</v>
      </c>
      <c r="F979">
        <v>2080.3000000000002</v>
      </c>
      <c r="G979">
        <v>2138.6</v>
      </c>
      <c r="H979">
        <v>254449</v>
      </c>
      <c r="I979">
        <v>35950</v>
      </c>
      <c r="J979">
        <v>326000000000</v>
      </c>
      <c r="K979">
        <v>156650956</v>
      </c>
      <c r="L979">
        <f>(Table1[[#This Row],[CLOSE_PRICE]] - Table1[[#This Row],[PREV_CL_PR]]) / Table1[[#This Row],[PREV_CL_PR]] * 100</f>
        <v>-2.7260824838679381</v>
      </c>
      <c r="M979">
        <f>Table1[[#This Row],[HIGH_PRICE]]-Table1[[#This Row],[LOW_PRICE]]</f>
        <v>69.400000000000091</v>
      </c>
      <c r="N979" t="str">
        <f>IF(Table1[[#This Row],[CLOSE_PRICE]]&gt;Table1[[#This Row],[OPEN_PRICE]],"Gain","Loss")</f>
        <v>Loss</v>
      </c>
      <c r="O979" t="str">
        <f>IF(Table1[[#This Row],[MARKET_CAP]]&gt;200000000000,"Large Cap",
IF(Table1[[#This Row],[MARKET_CAP]]&gt;50000000000,"Mid Cap","Small Cap"))</f>
        <v>Large Cap</v>
      </c>
      <c r="P979" t="str">
        <f>IF(Table1[[#This Row],[NET_TRDQTY]]&gt;1000000,"High Volume","Low Volume")</f>
        <v>Low Volume</v>
      </c>
    </row>
    <row r="980" spans="1:16" x14ac:dyDescent="0.3">
      <c r="A980" t="s">
        <v>1965</v>
      </c>
      <c r="B980" t="s">
        <v>1966</v>
      </c>
      <c r="C980">
        <v>556</v>
      </c>
      <c r="D980">
        <v>569.4</v>
      </c>
      <c r="E980">
        <v>533</v>
      </c>
      <c r="F980">
        <v>540.70000000000005</v>
      </c>
      <c r="G980">
        <v>567.25</v>
      </c>
      <c r="H980">
        <v>2165425</v>
      </c>
      <c r="I980">
        <v>46118</v>
      </c>
      <c r="J980">
        <v>128000000000</v>
      </c>
      <c r="K980">
        <v>236494264</v>
      </c>
      <c r="L980">
        <f>(Table1[[#This Row],[CLOSE_PRICE]] - Table1[[#This Row],[PREV_CL_PR]]) / Table1[[#This Row],[PREV_CL_PR]] * 100</f>
        <v>-4.6804759806081897</v>
      </c>
      <c r="M980">
        <f>Table1[[#This Row],[HIGH_PRICE]]-Table1[[#This Row],[LOW_PRICE]]</f>
        <v>36.399999999999977</v>
      </c>
      <c r="N980" t="str">
        <f>IF(Table1[[#This Row],[CLOSE_PRICE]]&gt;Table1[[#This Row],[OPEN_PRICE]],"Gain","Loss")</f>
        <v>Loss</v>
      </c>
      <c r="O980" t="str">
        <f>IF(Table1[[#This Row],[MARKET_CAP]]&gt;200000000000,"Large Cap",
IF(Table1[[#This Row],[MARKET_CAP]]&gt;50000000000,"Mid Cap","Small Cap"))</f>
        <v>Mid Cap</v>
      </c>
      <c r="P980" t="str">
        <f>IF(Table1[[#This Row],[NET_TRDQTY]]&gt;1000000,"High Volume","Low Volume")</f>
        <v>High Volume</v>
      </c>
    </row>
    <row r="981" spans="1:16" x14ac:dyDescent="0.3">
      <c r="A981" t="s">
        <v>1967</v>
      </c>
      <c r="B981" t="s">
        <v>1968</v>
      </c>
      <c r="C981">
        <v>17.88</v>
      </c>
      <c r="D981">
        <v>17.88</v>
      </c>
      <c r="E981">
        <v>16.510000000000002</v>
      </c>
      <c r="F981">
        <v>17.2</v>
      </c>
      <c r="G981">
        <v>17.88</v>
      </c>
      <c r="H981">
        <v>59873</v>
      </c>
      <c r="I981">
        <v>330</v>
      </c>
      <c r="J981">
        <v>798145084.79999995</v>
      </c>
      <c r="K981">
        <v>46403784</v>
      </c>
      <c r="L981">
        <f>(Table1[[#This Row],[CLOSE_PRICE]] - Table1[[#This Row],[PREV_CL_PR]]) / Table1[[#This Row],[PREV_CL_PR]] * 100</f>
        <v>-3.8031319910514525</v>
      </c>
      <c r="M981">
        <f>Table1[[#This Row],[HIGH_PRICE]]-Table1[[#This Row],[LOW_PRICE]]</f>
        <v>1.3699999999999974</v>
      </c>
      <c r="N981" t="str">
        <f>IF(Table1[[#This Row],[CLOSE_PRICE]]&gt;Table1[[#This Row],[OPEN_PRICE]],"Gain","Loss")</f>
        <v>Loss</v>
      </c>
      <c r="O981" t="str">
        <f>IF(Table1[[#This Row],[MARKET_CAP]]&gt;200000000000,"Large Cap",
IF(Table1[[#This Row],[MARKET_CAP]]&gt;50000000000,"Mid Cap","Small Cap"))</f>
        <v>Small Cap</v>
      </c>
      <c r="P981" t="str">
        <f>IF(Table1[[#This Row],[NET_TRDQTY]]&gt;1000000,"High Volume","Low Volume")</f>
        <v>Low Volume</v>
      </c>
    </row>
    <row r="982" spans="1:16" x14ac:dyDescent="0.3">
      <c r="A982" t="s">
        <v>1969</v>
      </c>
      <c r="B982" t="s">
        <v>1970</v>
      </c>
      <c r="C982">
        <v>331.2</v>
      </c>
      <c r="D982">
        <v>331.2</v>
      </c>
      <c r="E982">
        <v>312.5</v>
      </c>
      <c r="F982">
        <v>315.14999999999998</v>
      </c>
      <c r="G982">
        <v>332</v>
      </c>
      <c r="H982">
        <v>118114</v>
      </c>
      <c r="I982">
        <v>3520</v>
      </c>
      <c r="J982">
        <v>12349487754</v>
      </c>
      <c r="K982">
        <v>39186063</v>
      </c>
      <c r="L982">
        <f>(Table1[[#This Row],[CLOSE_PRICE]] - Table1[[#This Row],[PREV_CL_PR]]) / Table1[[#This Row],[PREV_CL_PR]] * 100</f>
        <v>-5.0753012048192838</v>
      </c>
      <c r="M982">
        <f>Table1[[#This Row],[HIGH_PRICE]]-Table1[[#This Row],[LOW_PRICE]]</f>
        <v>18.699999999999989</v>
      </c>
      <c r="N982" t="str">
        <f>IF(Table1[[#This Row],[CLOSE_PRICE]]&gt;Table1[[#This Row],[OPEN_PRICE]],"Gain","Loss")</f>
        <v>Loss</v>
      </c>
      <c r="O982" t="str">
        <f>IF(Table1[[#This Row],[MARKET_CAP]]&gt;200000000000,"Large Cap",
IF(Table1[[#This Row],[MARKET_CAP]]&gt;50000000000,"Mid Cap","Small Cap"))</f>
        <v>Small Cap</v>
      </c>
      <c r="P982" t="str">
        <f>IF(Table1[[#This Row],[NET_TRDQTY]]&gt;1000000,"High Volume","Low Volume")</f>
        <v>Low Volume</v>
      </c>
    </row>
    <row r="983" spans="1:16" x14ac:dyDescent="0.3">
      <c r="A983" t="s">
        <v>1971</v>
      </c>
      <c r="B983" t="s">
        <v>1972</v>
      </c>
      <c r="C983">
        <v>7.99</v>
      </c>
      <c r="D983">
        <v>7.99</v>
      </c>
      <c r="E983">
        <v>6.55</v>
      </c>
      <c r="F983">
        <v>6.84</v>
      </c>
      <c r="G983">
        <v>7.93</v>
      </c>
      <c r="H983">
        <v>804071</v>
      </c>
      <c r="I983">
        <v>2912</v>
      </c>
      <c r="J983">
        <v>585531127.5</v>
      </c>
      <c r="K983">
        <v>85603966</v>
      </c>
      <c r="L983">
        <f>(Table1[[#This Row],[CLOSE_PRICE]] - Table1[[#This Row],[PREV_CL_PR]]) / Table1[[#This Row],[PREV_CL_PR]] * 100</f>
        <v>-13.745271122320302</v>
      </c>
      <c r="M983">
        <f>Table1[[#This Row],[HIGH_PRICE]]-Table1[[#This Row],[LOW_PRICE]]</f>
        <v>1.4400000000000004</v>
      </c>
      <c r="N983" t="str">
        <f>IF(Table1[[#This Row],[CLOSE_PRICE]]&gt;Table1[[#This Row],[OPEN_PRICE]],"Gain","Loss")</f>
        <v>Loss</v>
      </c>
      <c r="O983" t="str">
        <f>IF(Table1[[#This Row],[MARKET_CAP]]&gt;200000000000,"Large Cap",
IF(Table1[[#This Row],[MARKET_CAP]]&gt;50000000000,"Mid Cap","Small Cap"))</f>
        <v>Small Cap</v>
      </c>
      <c r="P983" t="str">
        <f>IF(Table1[[#This Row],[NET_TRDQTY]]&gt;1000000,"High Volume","Low Volume")</f>
        <v>Low Volume</v>
      </c>
    </row>
    <row r="984" spans="1:16" x14ac:dyDescent="0.3">
      <c r="A984" t="s">
        <v>1973</v>
      </c>
      <c r="B984" t="s">
        <v>1974</v>
      </c>
      <c r="C984">
        <v>1141.4000000000001</v>
      </c>
      <c r="D984">
        <v>1142.7</v>
      </c>
      <c r="E984">
        <v>1022.3</v>
      </c>
      <c r="F984">
        <v>1058.5</v>
      </c>
      <c r="G984">
        <v>1141.4000000000001</v>
      </c>
      <c r="H984">
        <v>78843</v>
      </c>
      <c r="I984">
        <v>4040</v>
      </c>
      <c r="J984">
        <v>10858438071</v>
      </c>
      <c r="K984">
        <v>10258326</v>
      </c>
      <c r="L984">
        <f>(Table1[[#This Row],[CLOSE_PRICE]] - Table1[[#This Row],[PREV_CL_PR]]) / Table1[[#This Row],[PREV_CL_PR]] * 100</f>
        <v>-7.2630103381811892</v>
      </c>
      <c r="M984">
        <f>Table1[[#This Row],[HIGH_PRICE]]-Table1[[#This Row],[LOW_PRICE]]</f>
        <v>120.40000000000009</v>
      </c>
      <c r="N984" t="str">
        <f>IF(Table1[[#This Row],[CLOSE_PRICE]]&gt;Table1[[#This Row],[OPEN_PRICE]],"Gain","Loss")</f>
        <v>Loss</v>
      </c>
      <c r="O984" t="str">
        <f>IF(Table1[[#This Row],[MARKET_CAP]]&gt;200000000000,"Large Cap",
IF(Table1[[#This Row],[MARKET_CAP]]&gt;50000000000,"Mid Cap","Small Cap"))</f>
        <v>Small Cap</v>
      </c>
      <c r="P984" t="str">
        <f>IF(Table1[[#This Row],[NET_TRDQTY]]&gt;1000000,"High Volume","Low Volume")</f>
        <v>Low Volume</v>
      </c>
    </row>
    <row r="985" spans="1:16" x14ac:dyDescent="0.3">
      <c r="A985" t="s">
        <v>1975</v>
      </c>
      <c r="B985" t="s">
        <v>1976</v>
      </c>
      <c r="C985">
        <v>909.4</v>
      </c>
      <c r="D985">
        <v>909.4</v>
      </c>
      <c r="E985">
        <v>909.4</v>
      </c>
      <c r="F985">
        <v>909.4</v>
      </c>
      <c r="G985">
        <v>957.25</v>
      </c>
      <c r="H985">
        <v>8971</v>
      </c>
      <c r="I985">
        <v>156</v>
      </c>
      <c r="J985">
        <v>39819363982</v>
      </c>
      <c r="K985">
        <v>43786413</v>
      </c>
      <c r="L985">
        <f>(Table1[[#This Row],[CLOSE_PRICE]] - Table1[[#This Row],[PREV_CL_PR]]) / Table1[[#This Row],[PREV_CL_PR]] * 100</f>
        <v>-4.998694176025074</v>
      </c>
      <c r="M985">
        <f>Table1[[#This Row],[HIGH_PRICE]]-Table1[[#This Row],[LOW_PRICE]]</f>
        <v>0</v>
      </c>
      <c r="N985" t="str">
        <f>IF(Table1[[#This Row],[CLOSE_PRICE]]&gt;Table1[[#This Row],[OPEN_PRICE]],"Gain","Loss")</f>
        <v>Loss</v>
      </c>
      <c r="O985" t="str">
        <f>IF(Table1[[#This Row],[MARKET_CAP]]&gt;200000000000,"Large Cap",
IF(Table1[[#This Row],[MARKET_CAP]]&gt;50000000000,"Mid Cap","Small Cap"))</f>
        <v>Small Cap</v>
      </c>
      <c r="P985" t="str">
        <f>IF(Table1[[#This Row],[NET_TRDQTY]]&gt;1000000,"High Volume","Low Volume")</f>
        <v>Low Volume</v>
      </c>
    </row>
    <row r="986" spans="1:16" x14ac:dyDescent="0.3">
      <c r="A986" t="s">
        <v>1977</v>
      </c>
      <c r="B986" t="s">
        <v>1978</v>
      </c>
      <c r="C986">
        <v>192.01</v>
      </c>
      <c r="D986">
        <v>192.01</v>
      </c>
      <c r="E986">
        <v>177.72</v>
      </c>
      <c r="F986">
        <v>179.11</v>
      </c>
      <c r="G986">
        <v>194.13</v>
      </c>
      <c r="H986">
        <v>4015756</v>
      </c>
      <c r="I986">
        <v>44705</v>
      </c>
      <c r="J986">
        <v>115000000000</v>
      </c>
      <c r="K986">
        <v>639508234</v>
      </c>
      <c r="L986">
        <f>(Table1[[#This Row],[CLOSE_PRICE]] - Table1[[#This Row],[PREV_CL_PR]]) / Table1[[#This Row],[PREV_CL_PR]] * 100</f>
        <v>-7.7370833977231657</v>
      </c>
      <c r="M986">
        <f>Table1[[#This Row],[HIGH_PRICE]]-Table1[[#This Row],[LOW_PRICE]]</f>
        <v>14.289999999999992</v>
      </c>
      <c r="N986" t="str">
        <f>IF(Table1[[#This Row],[CLOSE_PRICE]]&gt;Table1[[#This Row],[OPEN_PRICE]],"Gain","Loss")</f>
        <v>Loss</v>
      </c>
      <c r="O986" t="str">
        <f>IF(Table1[[#This Row],[MARKET_CAP]]&gt;200000000000,"Large Cap",
IF(Table1[[#This Row],[MARKET_CAP]]&gt;50000000000,"Mid Cap","Small Cap"))</f>
        <v>Mid Cap</v>
      </c>
      <c r="P986" t="str">
        <f>IF(Table1[[#This Row],[NET_TRDQTY]]&gt;1000000,"High Volume","Low Volume")</f>
        <v>High Volume</v>
      </c>
    </row>
    <row r="987" spans="1:16" x14ac:dyDescent="0.3">
      <c r="A987" t="s">
        <v>1979</v>
      </c>
      <c r="B987" t="s">
        <v>1980</v>
      </c>
      <c r="C987">
        <v>475.25</v>
      </c>
      <c r="D987">
        <v>475.25</v>
      </c>
      <c r="E987">
        <v>452.7</v>
      </c>
      <c r="F987">
        <v>459.1</v>
      </c>
      <c r="G987">
        <v>475.25</v>
      </c>
      <c r="H987">
        <v>334456</v>
      </c>
      <c r="I987">
        <v>9780</v>
      </c>
      <c r="J987">
        <v>13305224846</v>
      </c>
      <c r="K987">
        <v>28981104</v>
      </c>
      <c r="L987">
        <f>(Table1[[#This Row],[CLOSE_PRICE]] - Table1[[#This Row],[PREV_CL_PR]]) / Table1[[#This Row],[PREV_CL_PR]] * 100</f>
        <v>-3.3982114676486015</v>
      </c>
      <c r="M987">
        <f>Table1[[#This Row],[HIGH_PRICE]]-Table1[[#This Row],[LOW_PRICE]]</f>
        <v>22.550000000000011</v>
      </c>
      <c r="N987" t="str">
        <f>IF(Table1[[#This Row],[CLOSE_PRICE]]&gt;Table1[[#This Row],[OPEN_PRICE]],"Gain","Loss")</f>
        <v>Loss</v>
      </c>
      <c r="O987" t="str">
        <f>IF(Table1[[#This Row],[MARKET_CAP]]&gt;200000000000,"Large Cap",
IF(Table1[[#This Row],[MARKET_CAP]]&gt;50000000000,"Mid Cap","Small Cap"))</f>
        <v>Small Cap</v>
      </c>
      <c r="P987" t="str">
        <f>IF(Table1[[#This Row],[NET_TRDQTY]]&gt;1000000,"High Volume","Low Volume")</f>
        <v>Low Volume</v>
      </c>
    </row>
    <row r="988" spans="1:16" x14ac:dyDescent="0.3">
      <c r="A988" t="s">
        <v>1981</v>
      </c>
      <c r="B988" t="s">
        <v>1982</v>
      </c>
      <c r="C988">
        <v>20.98</v>
      </c>
      <c r="D988">
        <v>21</v>
      </c>
      <c r="E988">
        <v>19.100000000000001</v>
      </c>
      <c r="F988">
        <v>19.670000000000002</v>
      </c>
      <c r="G988">
        <v>21.32</v>
      </c>
      <c r="H988">
        <v>618674</v>
      </c>
      <c r="I988">
        <v>2687</v>
      </c>
      <c r="J988">
        <v>19721181340</v>
      </c>
      <c r="K988">
        <v>1002602000</v>
      </c>
      <c r="L988">
        <f>(Table1[[#This Row],[CLOSE_PRICE]] - Table1[[#This Row],[PREV_CL_PR]]) / Table1[[#This Row],[PREV_CL_PR]] * 100</f>
        <v>-7.7392120075046842</v>
      </c>
      <c r="M988">
        <f>Table1[[#This Row],[HIGH_PRICE]]-Table1[[#This Row],[LOW_PRICE]]</f>
        <v>1.8999999999999986</v>
      </c>
      <c r="N988" t="str">
        <f>IF(Table1[[#This Row],[CLOSE_PRICE]]&gt;Table1[[#This Row],[OPEN_PRICE]],"Gain","Loss")</f>
        <v>Loss</v>
      </c>
      <c r="O988" t="str">
        <f>IF(Table1[[#This Row],[MARKET_CAP]]&gt;200000000000,"Large Cap",
IF(Table1[[#This Row],[MARKET_CAP]]&gt;50000000000,"Mid Cap","Small Cap"))</f>
        <v>Small Cap</v>
      </c>
      <c r="P988" t="str">
        <f>IF(Table1[[#This Row],[NET_TRDQTY]]&gt;1000000,"High Volume","Low Volume")</f>
        <v>Low Volume</v>
      </c>
    </row>
    <row r="989" spans="1:16" x14ac:dyDescent="0.3">
      <c r="A989" t="s">
        <v>1983</v>
      </c>
      <c r="B989" t="s">
        <v>1984</v>
      </c>
      <c r="C989">
        <v>21.97</v>
      </c>
      <c r="D989">
        <v>21.97</v>
      </c>
      <c r="E989">
        <v>20.2</v>
      </c>
      <c r="F989">
        <v>21.01</v>
      </c>
      <c r="G989">
        <v>21.65</v>
      </c>
      <c r="H989">
        <v>76085</v>
      </c>
      <c r="I989">
        <v>287</v>
      </c>
      <c r="J989">
        <v>405373327.10000002</v>
      </c>
      <c r="K989">
        <v>19294304</v>
      </c>
      <c r="L989">
        <f>(Table1[[#This Row],[CLOSE_PRICE]] - Table1[[#This Row],[PREV_CL_PR]]) / Table1[[#This Row],[PREV_CL_PR]] * 100</f>
        <v>-2.9561200923787392</v>
      </c>
      <c r="M989">
        <f>Table1[[#This Row],[HIGH_PRICE]]-Table1[[#This Row],[LOW_PRICE]]</f>
        <v>1.7699999999999996</v>
      </c>
      <c r="N989" t="str">
        <f>IF(Table1[[#This Row],[CLOSE_PRICE]]&gt;Table1[[#This Row],[OPEN_PRICE]],"Gain","Loss")</f>
        <v>Loss</v>
      </c>
      <c r="O989" t="str">
        <f>IF(Table1[[#This Row],[MARKET_CAP]]&gt;200000000000,"Large Cap",
IF(Table1[[#This Row],[MARKET_CAP]]&gt;50000000000,"Mid Cap","Small Cap"))</f>
        <v>Small Cap</v>
      </c>
      <c r="P989" t="str">
        <f>IF(Table1[[#This Row],[NET_TRDQTY]]&gt;1000000,"High Volume","Low Volume")</f>
        <v>Low Volume</v>
      </c>
    </row>
    <row r="990" spans="1:16" x14ac:dyDescent="0.3">
      <c r="A990" t="s">
        <v>1985</v>
      </c>
      <c r="B990" t="s">
        <v>1986</v>
      </c>
      <c r="C990">
        <v>29.99</v>
      </c>
      <c r="D990">
        <v>30.01</v>
      </c>
      <c r="E990">
        <v>27.1</v>
      </c>
      <c r="F990">
        <v>27.67</v>
      </c>
      <c r="G990">
        <v>30.17</v>
      </c>
      <c r="H990">
        <v>11954315</v>
      </c>
      <c r="I990">
        <v>20836</v>
      </c>
      <c r="J990">
        <v>19773258451</v>
      </c>
      <c r="K990">
        <v>714609991</v>
      </c>
      <c r="L990">
        <f>(Table1[[#This Row],[CLOSE_PRICE]] - Table1[[#This Row],[PREV_CL_PR]]) / Table1[[#This Row],[PREV_CL_PR]] * 100</f>
        <v>-8.2863771958899566</v>
      </c>
      <c r="M990">
        <f>Table1[[#This Row],[HIGH_PRICE]]-Table1[[#This Row],[LOW_PRICE]]</f>
        <v>2.91</v>
      </c>
      <c r="N990" t="str">
        <f>IF(Table1[[#This Row],[CLOSE_PRICE]]&gt;Table1[[#This Row],[OPEN_PRICE]],"Gain","Loss")</f>
        <v>Loss</v>
      </c>
      <c r="O990" t="str">
        <f>IF(Table1[[#This Row],[MARKET_CAP]]&gt;200000000000,"Large Cap",
IF(Table1[[#This Row],[MARKET_CAP]]&gt;50000000000,"Mid Cap","Small Cap"))</f>
        <v>Small Cap</v>
      </c>
      <c r="P990" t="str">
        <f>IF(Table1[[#This Row],[NET_TRDQTY]]&gt;1000000,"High Volume","Low Volume")</f>
        <v>High Volume</v>
      </c>
    </row>
    <row r="991" spans="1:16" x14ac:dyDescent="0.3">
      <c r="A991" t="s">
        <v>1987</v>
      </c>
      <c r="B991" t="s">
        <v>1988</v>
      </c>
      <c r="C991">
        <v>4950</v>
      </c>
      <c r="D991">
        <v>5011</v>
      </c>
      <c r="E991">
        <v>4822.5</v>
      </c>
      <c r="F991">
        <v>4878.5</v>
      </c>
      <c r="G991">
        <v>5000</v>
      </c>
      <c r="H991">
        <v>110507</v>
      </c>
      <c r="I991">
        <v>32766</v>
      </c>
      <c r="J991">
        <v>377000000000</v>
      </c>
      <c r="K991">
        <v>77268251</v>
      </c>
      <c r="L991">
        <f>(Table1[[#This Row],[CLOSE_PRICE]] - Table1[[#This Row],[PREV_CL_PR]]) / Table1[[#This Row],[PREV_CL_PR]] * 100</f>
        <v>-2.4299999999999997</v>
      </c>
      <c r="M991">
        <f>Table1[[#This Row],[HIGH_PRICE]]-Table1[[#This Row],[LOW_PRICE]]</f>
        <v>188.5</v>
      </c>
      <c r="N991" t="str">
        <f>IF(Table1[[#This Row],[CLOSE_PRICE]]&gt;Table1[[#This Row],[OPEN_PRICE]],"Gain","Loss")</f>
        <v>Loss</v>
      </c>
      <c r="O991" t="str">
        <f>IF(Table1[[#This Row],[MARKET_CAP]]&gt;200000000000,"Large Cap",
IF(Table1[[#This Row],[MARKET_CAP]]&gt;50000000000,"Mid Cap","Small Cap"))</f>
        <v>Large Cap</v>
      </c>
      <c r="P991" t="str">
        <f>IF(Table1[[#This Row],[NET_TRDQTY]]&gt;1000000,"High Volume","Low Volume")</f>
        <v>Low Volume</v>
      </c>
    </row>
    <row r="992" spans="1:16" x14ac:dyDescent="0.3">
      <c r="A992" t="s">
        <v>1989</v>
      </c>
      <c r="B992" t="s">
        <v>1990</v>
      </c>
      <c r="C992">
        <v>480</v>
      </c>
      <c r="D992">
        <v>480.2</v>
      </c>
      <c r="E992">
        <v>454.1</v>
      </c>
      <c r="F992">
        <v>460.8</v>
      </c>
      <c r="G992">
        <v>488.3</v>
      </c>
      <c r="H992">
        <v>946679</v>
      </c>
      <c r="I992">
        <v>13152</v>
      </c>
      <c r="J992">
        <v>34866665165</v>
      </c>
      <c r="K992">
        <v>75665506</v>
      </c>
      <c r="L992">
        <f>(Table1[[#This Row],[CLOSE_PRICE]] - Table1[[#This Row],[PREV_CL_PR]]) / Table1[[#This Row],[PREV_CL_PR]] * 100</f>
        <v>-5.631783739504403</v>
      </c>
      <c r="M992">
        <f>Table1[[#This Row],[HIGH_PRICE]]-Table1[[#This Row],[LOW_PRICE]]</f>
        <v>26.099999999999966</v>
      </c>
      <c r="N992" t="str">
        <f>IF(Table1[[#This Row],[CLOSE_PRICE]]&gt;Table1[[#This Row],[OPEN_PRICE]],"Gain","Loss")</f>
        <v>Loss</v>
      </c>
      <c r="O992" t="str">
        <f>IF(Table1[[#This Row],[MARKET_CAP]]&gt;200000000000,"Large Cap",
IF(Table1[[#This Row],[MARKET_CAP]]&gt;50000000000,"Mid Cap","Small Cap"))</f>
        <v>Small Cap</v>
      </c>
      <c r="P992" t="str">
        <f>IF(Table1[[#This Row],[NET_TRDQTY]]&gt;1000000,"High Volume","Low Volume")</f>
        <v>Low Volume</v>
      </c>
    </row>
    <row r="993" spans="1:16" x14ac:dyDescent="0.3">
      <c r="A993" t="s">
        <v>1991</v>
      </c>
      <c r="B993" t="s">
        <v>1992</v>
      </c>
      <c r="C993">
        <v>51</v>
      </c>
      <c r="D993">
        <v>52.99</v>
      </c>
      <c r="E993">
        <v>49.5</v>
      </c>
      <c r="F993">
        <v>50.93</v>
      </c>
      <c r="G993">
        <v>51.58</v>
      </c>
      <c r="H993">
        <v>150985</v>
      </c>
      <c r="I993">
        <v>649</v>
      </c>
      <c r="J993">
        <v>1954998980</v>
      </c>
      <c r="K993">
        <v>38386000</v>
      </c>
      <c r="L993">
        <f>(Table1[[#This Row],[CLOSE_PRICE]] - Table1[[#This Row],[PREV_CL_PR]]) / Table1[[#This Row],[PREV_CL_PR]] * 100</f>
        <v>-1.2601783637068604</v>
      </c>
      <c r="M993">
        <f>Table1[[#This Row],[HIGH_PRICE]]-Table1[[#This Row],[LOW_PRICE]]</f>
        <v>3.490000000000002</v>
      </c>
      <c r="N993" t="str">
        <f>IF(Table1[[#This Row],[CLOSE_PRICE]]&gt;Table1[[#This Row],[OPEN_PRICE]],"Gain","Loss")</f>
        <v>Loss</v>
      </c>
      <c r="O993" t="str">
        <f>IF(Table1[[#This Row],[MARKET_CAP]]&gt;200000000000,"Large Cap",
IF(Table1[[#This Row],[MARKET_CAP]]&gt;50000000000,"Mid Cap","Small Cap"))</f>
        <v>Small Cap</v>
      </c>
      <c r="P993" t="str">
        <f>IF(Table1[[#This Row],[NET_TRDQTY]]&gt;1000000,"High Volume","Low Volume")</f>
        <v>Low Volume</v>
      </c>
    </row>
    <row r="994" spans="1:16" x14ac:dyDescent="0.3">
      <c r="A994" t="s">
        <v>1993</v>
      </c>
      <c r="B994" t="s">
        <v>1994</v>
      </c>
      <c r="C994">
        <v>592.85</v>
      </c>
      <c r="D994">
        <v>592.85</v>
      </c>
      <c r="E994">
        <v>575</v>
      </c>
      <c r="F994">
        <v>577.79999999999995</v>
      </c>
      <c r="G994">
        <v>592.85</v>
      </c>
      <c r="H994">
        <v>110192</v>
      </c>
      <c r="I994">
        <v>11477</v>
      </c>
      <c r="J994">
        <v>71730649343</v>
      </c>
      <c r="K994">
        <v>124144426</v>
      </c>
      <c r="L994">
        <f>(Table1[[#This Row],[CLOSE_PRICE]] - Table1[[#This Row],[PREV_CL_PR]]) / Table1[[#This Row],[PREV_CL_PR]] * 100</f>
        <v>-2.538584802226544</v>
      </c>
      <c r="M994">
        <f>Table1[[#This Row],[HIGH_PRICE]]-Table1[[#This Row],[LOW_PRICE]]</f>
        <v>17.850000000000023</v>
      </c>
      <c r="N994" t="str">
        <f>IF(Table1[[#This Row],[CLOSE_PRICE]]&gt;Table1[[#This Row],[OPEN_PRICE]],"Gain","Loss")</f>
        <v>Loss</v>
      </c>
      <c r="O994" t="str">
        <f>IF(Table1[[#This Row],[MARKET_CAP]]&gt;200000000000,"Large Cap",
IF(Table1[[#This Row],[MARKET_CAP]]&gt;50000000000,"Mid Cap","Small Cap"))</f>
        <v>Mid Cap</v>
      </c>
      <c r="P994" t="str">
        <f>IF(Table1[[#This Row],[NET_TRDQTY]]&gt;1000000,"High Volume","Low Volume")</f>
        <v>Low Volume</v>
      </c>
    </row>
    <row r="995" spans="1:16" x14ac:dyDescent="0.3">
      <c r="A995" t="s">
        <v>1995</v>
      </c>
      <c r="B995" t="s">
        <v>1996</v>
      </c>
      <c r="C995">
        <v>333.8</v>
      </c>
      <c r="D995">
        <v>337.2</v>
      </c>
      <c r="E995">
        <v>312</v>
      </c>
      <c r="F995">
        <v>315.25</v>
      </c>
      <c r="G995">
        <v>336.9</v>
      </c>
      <c r="H995">
        <v>327056</v>
      </c>
      <c r="I995">
        <v>11774</v>
      </c>
      <c r="J995">
        <v>53404088946</v>
      </c>
      <c r="K995">
        <v>169402344</v>
      </c>
      <c r="L995">
        <f>(Table1[[#This Row],[CLOSE_PRICE]] - Table1[[#This Row],[PREV_CL_PR]]) / Table1[[#This Row],[PREV_CL_PR]] * 100</f>
        <v>-6.4262392401305961</v>
      </c>
      <c r="M995">
        <f>Table1[[#This Row],[HIGH_PRICE]]-Table1[[#This Row],[LOW_PRICE]]</f>
        <v>25.199999999999989</v>
      </c>
      <c r="N995" t="str">
        <f>IF(Table1[[#This Row],[CLOSE_PRICE]]&gt;Table1[[#This Row],[OPEN_PRICE]],"Gain","Loss")</f>
        <v>Loss</v>
      </c>
      <c r="O995" t="str">
        <f>IF(Table1[[#This Row],[MARKET_CAP]]&gt;200000000000,"Large Cap",
IF(Table1[[#This Row],[MARKET_CAP]]&gt;50000000000,"Mid Cap","Small Cap"))</f>
        <v>Mid Cap</v>
      </c>
      <c r="P995" t="str">
        <f>IF(Table1[[#This Row],[NET_TRDQTY]]&gt;1000000,"High Volume","Low Volume")</f>
        <v>Low Volume</v>
      </c>
    </row>
    <row r="996" spans="1:16" x14ac:dyDescent="0.3">
      <c r="A996" t="s">
        <v>1997</v>
      </c>
      <c r="B996" t="s">
        <v>1998</v>
      </c>
      <c r="C996">
        <v>411</v>
      </c>
      <c r="D996">
        <v>411.55</v>
      </c>
      <c r="E996">
        <v>390</v>
      </c>
      <c r="F996">
        <v>392.05</v>
      </c>
      <c r="G996">
        <v>417.25</v>
      </c>
      <c r="H996">
        <v>877062</v>
      </c>
      <c r="I996">
        <v>33275</v>
      </c>
      <c r="J996">
        <v>113000000000</v>
      </c>
      <c r="K996">
        <v>288289511</v>
      </c>
      <c r="L996">
        <f>(Table1[[#This Row],[CLOSE_PRICE]] - Table1[[#This Row],[PREV_CL_PR]]) / Table1[[#This Row],[PREV_CL_PR]] * 100</f>
        <v>-6.0395446375074862</v>
      </c>
      <c r="M996">
        <f>Table1[[#This Row],[HIGH_PRICE]]-Table1[[#This Row],[LOW_PRICE]]</f>
        <v>21.550000000000011</v>
      </c>
      <c r="N996" t="str">
        <f>IF(Table1[[#This Row],[CLOSE_PRICE]]&gt;Table1[[#This Row],[OPEN_PRICE]],"Gain","Loss")</f>
        <v>Loss</v>
      </c>
      <c r="O996" t="str">
        <f>IF(Table1[[#This Row],[MARKET_CAP]]&gt;200000000000,"Large Cap",
IF(Table1[[#This Row],[MARKET_CAP]]&gt;50000000000,"Mid Cap","Small Cap"))</f>
        <v>Mid Cap</v>
      </c>
      <c r="P996" t="str">
        <f>IF(Table1[[#This Row],[NET_TRDQTY]]&gt;1000000,"High Volume","Low Volume")</f>
        <v>Low Volume</v>
      </c>
    </row>
    <row r="997" spans="1:16" x14ac:dyDescent="0.3">
      <c r="A997" t="s">
        <v>1999</v>
      </c>
      <c r="B997" t="s">
        <v>2000</v>
      </c>
      <c r="C997">
        <v>1272.9000000000001</v>
      </c>
      <c r="D997">
        <v>1272.9000000000001</v>
      </c>
      <c r="E997">
        <v>1235.4000000000001</v>
      </c>
      <c r="F997">
        <v>1258.2</v>
      </c>
      <c r="G997">
        <v>1268.9000000000001</v>
      </c>
      <c r="H997">
        <v>13036</v>
      </c>
      <c r="I997">
        <v>2801</v>
      </c>
      <c r="J997">
        <v>82495168880</v>
      </c>
      <c r="K997">
        <v>65566022</v>
      </c>
      <c r="L997">
        <f>(Table1[[#This Row],[CLOSE_PRICE]] - Table1[[#This Row],[PREV_CL_PR]]) / Table1[[#This Row],[PREV_CL_PR]] * 100</f>
        <v>-0.84325005910631612</v>
      </c>
      <c r="M997">
        <f>Table1[[#This Row],[HIGH_PRICE]]-Table1[[#This Row],[LOW_PRICE]]</f>
        <v>37.5</v>
      </c>
      <c r="N997" t="str">
        <f>IF(Table1[[#This Row],[CLOSE_PRICE]]&gt;Table1[[#This Row],[OPEN_PRICE]],"Gain","Loss")</f>
        <v>Loss</v>
      </c>
      <c r="O997" t="str">
        <f>IF(Table1[[#This Row],[MARKET_CAP]]&gt;200000000000,"Large Cap",
IF(Table1[[#This Row],[MARKET_CAP]]&gt;50000000000,"Mid Cap","Small Cap"))</f>
        <v>Mid Cap</v>
      </c>
      <c r="P997" t="str">
        <f>IF(Table1[[#This Row],[NET_TRDQTY]]&gt;1000000,"High Volume","Low Volume")</f>
        <v>Low Volume</v>
      </c>
    </row>
    <row r="998" spans="1:16" x14ac:dyDescent="0.3">
      <c r="A998" t="s">
        <v>2001</v>
      </c>
      <c r="B998" t="s">
        <v>2002</v>
      </c>
      <c r="C998">
        <v>81.95</v>
      </c>
      <c r="D998">
        <v>81.95</v>
      </c>
      <c r="E998">
        <v>78.12</v>
      </c>
      <c r="F998">
        <v>79.88</v>
      </c>
      <c r="G998">
        <v>80.569999999999993</v>
      </c>
      <c r="H998">
        <v>4999</v>
      </c>
      <c r="I998">
        <v>173</v>
      </c>
      <c r="J998">
        <v>1824543394</v>
      </c>
      <c r="K998">
        <v>22841054</v>
      </c>
      <c r="L998">
        <f>(Table1[[#This Row],[CLOSE_PRICE]] - Table1[[#This Row],[PREV_CL_PR]]) / Table1[[#This Row],[PREV_CL_PR]] * 100</f>
        <v>-0.85639816308799521</v>
      </c>
      <c r="M998">
        <f>Table1[[#This Row],[HIGH_PRICE]]-Table1[[#This Row],[LOW_PRICE]]</f>
        <v>3.8299999999999983</v>
      </c>
      <c r="N998" t="str">
        <f>IF(Table1[[#This Row],[CLOSE_PRICE]]&gt;Table1[[#This Row],[OPEN_PRICE]],"Gain","Loss")</f>
        <v>Loss</v>
      </c>
      <c r="O998" t="str">
        <f>IF(Table1[[#This Row],[MARKET_CAP]]&gt;200000000000,"Large Cap",
IF(Table1[[#This Row],[MARKET_CAP]]&gt;50000000000,"Mid Cap","Small Cap"))</f>
        <v>Small Cap</v>
      </c>
      <c r="P998" t="str">
        <f>IF(Table1[[#This Row],[NET_TRDQTY]]&gt;1000000,"High Volume","Low Volume")</f>
        <v>Low Volume</v>
      </c>
    </row>
    <row r="999" spans="1:16" x14ac:dyDescent="0.3">
      <c r="A999" t="s">
        <v>2003</v>
      </c>
      <c r="B999" t="s">
        <v>2004</v>
      </c>
      <c r="C999">
        <v>120.56</v>
      </c>
      <c r="D999">
        <v>120.57</v>
      </c>
      <c r="E999">
        <v>115.84</v>
      </c>
      <c r="F999">
        <v>117.66</v>
      </c>
      <c r="G999">
        <v>123.16</v>
      </c>
      <c r="H999">
        <v>3779260</v>
      </c>
      <c r="I999">
        <v>31737</v>
      </c>
      <c r="J999">
        <v>113000000000</v>
      </c>
      <c r="K999">
        <v>956335873</v>
      </c>
      <c r="L999">
        <f>(Table1[[#This Row],[CLOSE_PRICE]] - Table1[[#This Row],[PREV_CL_PR]]) / Table1[[#This Row],[PREV_CL_PR]] * 100</f>
        <v>-4.4657356284507959</v>
      </c>
      <c r="M999">
        <f>Table1[[#This Row],[HIGH_PRICE]]-Table1[[#This Row],[LOW_PRICE]]</f>
        <v>4.7299999999999898</v>
      </c>
      <c r="N999" t="str">
        <f>IF(Table1[[#This Row],[CLOSE_PRICE]]&gt;Table1[[#This Row],[OPEN_PRICE]],"Gain","Loss")</f>
        <v>Loss</v>
      </c>
      <c r="O999" t="str">
        <f>IF(Table1[[#This Row],[MARKET_CAP]]&gt;200000000000,"Large Cap",
IF(Table1[[#This Row],[MARKET_CAP]]&gt;50000000000,"Mid Cap","Small Cap"))</f>
        <v>Mid Cap</v>
      </c>
      <c r="P999" t="str">
        <f>IF(Table1[[#This Row],[NET_TRDQTY]]&gt;1000000,"High Volume","Low Volume")</f>
        <v>High Volume</v>
      </c>
    </row>
    <row r="1000" spans="1:16" x14ac:dyDescent="0.3">
      <c r="A1000" t="s">
        <v>2005</v>
      </c>
      <c r="B1000" t="s">
        <v>2006</v>
      </c>
      <c r="C1000">
        <v>233.5</v>
      </c>
      <c r="D1000">
        <v>234.21</v>
      </c>
      <c r="E1000">
        <v>220.5</v>
      </c>
      <c r="F1000">
        <v>223.39</v>
      </c>
      <c r="G1000">
        <v>237.53</v>
      </c>
      <c r="H1000">
        <v>134394</v>
      </c>
      <c r="I1000">
        <v>2796</v>
      </c>
      <c r="J1000">
        <v>12499545072</v>
      </c>
      <c r="K1000">
        <v>55953915</v>
      </c>
      <c r="L1000">
        <f>(Table1[[#This Row],[CLOSE_PRICE]] - Table1[[#This Row],[PREV_CL_PR]]) / Table1[[#This Row],[PREV_CL_PR]] * 100</f>
        <v>-5.9529322611880664</v>
      </c>
      <c r="M1000">
        <f>Table1[[#This Row],[HIGH_PRICE]]-Table1[[#This Row],[LOW_PRICE]]</f>
        <v>13.710000000000008</v>
      </c>
      <c r="N1000" t="str">
        <f>IF(Table1[[#This Row],[CLOSE_PRICE]]&gt;Table1[[#This Row],[OPEN_PRICE]],"Gain","Loss")</f>
        <v>Loss</v>
      </c>
      <c r="O1000" t="str">
        <f>IF(Table1[[#This Row],[MARKET_CAP]]&gt;200000000000,"Large Cap",
IF(Table1[[#This Row],[MARKET_CAP]]&gt;50000000000,"Mid Cap","Small Cap"))</f>
        <v>Small Cap</v>
      </c>
      <c r="P1000" t="str">
        <f>IF(Table1[[#This Row],[NET_TRDQTY]]&gt;1000000,"High Volume","Low Volume")</f>
        <v>Low Volume</v>
      </c>
    </row>
    <row r="1001" spans="1:16" x14ac:dyDescent="0.3">
      <c r="A1001" t="s">
        <v>2007</v>
      </c>
      <c r="B1001" t="s">
        <v>2008</v>
      </c>
      <c r="C1001">
        <v>112.77</v>
      </c>
      <c r="D1001">
        <v>112.77</v>
      </c>
      <c r="E1001">
        <v>107</v>
      </c>
      <c r="F1001">
        <v>108.26</v>
      </c>
      <c r="G1001">
        <v>110.49</v>
      </c>
      <c r="H1001">
        <v>18771</v>
      </c>
      <c r="I1001">
        <v>125</v>
      </c>
      <c r="J1001">
        <v>961473299</v>
      </c>
      <c r="K1001">
        <v>8881150</v>
      </c>
      <c r="L1001">
        <f>(Table1[[#This Row],[CLOSE_PRICE]] - Table1[[#This Row],[PREV_CL_PR]]) / Table1[[#This Row],[PREV_CL_PR]] * 100</f>
        <v>-2.0182821974839262</v>
      </c>
      <c r="M1001">
        <f>Table1[[#This Row],[HIGH_PRICE]]-Table1[[#This Row],[LOW_PRICE]]</f>
        <v>5.769999999999996</v>
      </c>
      <c r="N1001" t="str">
        <f>IF(Table1[[#This Row],[CLOSE_PRICE]]&gt;Table1[[#This Row],[OPEN_PRICE]],"Gain","Loss")</f>
        <v>Loss</v>
      </c>
      <c r="O1001" t="str">
        <f>IF(Table1[[#This Row],[MARKET_CAP]]&gt;200000000000,"Large Cap",
IF(Table1[[#This Row],[MARKET_CAP]]&gt;50000000000,"Mid Cap","Small Cap"))</f>
        <v>Small Cap</v>
      </c>
      <c r="P1001" t="str">
        <f>IF(Table1[[#This Row],[NET_TRDQTY]]&gt;1000000,"High Volume","Low Volume")</f>
        <v>Low Volume</v>
      </c>
    </row>
    <row r="1002" spans="1:16" x14ac:dyDescent="0.3">
      <c r="A1002" t="s">
        <v>2009</v>
      </c>
      <c r="B1002" t="s">
        <v>2010</v>
      </c>
      <c r="C1002">
        <v>1152.5999999999999</v>
      </c>
      <c r="D1002">
        <v>1174.7</v>
      </c>
      <c r="E1002">
        <v>1071.2</v>
      </c>
      <c r="F1002">
        <v>1086</v>
      </c>
      <c r="G1002">
        <v>1165.7</v>
      </c>
      <c r="H1002">
        <v>90744</v>
      </c>
      <c r="I1002">
        <v>5749</v>
      </c>
      <c r="J1002">
        <v>11415954894</v>
      </c>
      <c r="K1002">
        <v>10511929</v>
      </c>
      <c r="L1002">
        <f>(Table1[[#This Row],[CLOSE_PRICE]] - Table1[[#This Row],[PREV_CL_PR]]) / Table1[[#This Row],[PREV_CL_PR]] * 100</f>
        <v>-6.8370935918332361</v>
      </c>
      <c r="M1002">
        <f>Table1[[#This Row],[HIGH_PRICE]]-Table1[[#This Row],[LOW_PRICE]]</f>
        <v>103.5</v>
      </c>
      <c r="N1002" t="str">
        <f>IF(Table1[[#This Row],[CLOSE_PRICE]]&gt;Table1[[#This Row],[OPEN_PRICE]],"Gain","Loss")</f>
        <v>Loss</v>
      </c>
      <c r="O1002" t="str">
        <f>IF(Table1[[#This Row],[MARKET_CAP]]&gt;200000000000,"Large Cap",
IF(Table1[[#This Row],[MARKET_CAP]]&gt;50000000000,"Mid Cap","Small Cap"))</f>
        <v>Small Cap</v>
      </c>
      <c r="P1002" t="str">
        <f>IF(Table1[[#This Row],[NET_TRDQTY]]&gt;1000000,"High Volume","Low Volume")</f>
        <v>Low Volume</v>
      </c>
    </row>
    <row r="1003" spans="1:16" x14ac:dyDescent="0.3">
      <c r="A1003" t="s">
        <v>2011</v>
      </c>
      <c r="B1003" t="s">
        <v>2012</v>
      </c>
      <c r="C1003">
        <v>15.5</v>
      </c>
      <c r="D1003">
        <v>15.64</v>
      </c>
      <c r="E1003">
        <v>14.46</v>
      </c>
      <c r="F1003">
        <v>14.67</v>
      </c>
      <c r="G1003">
        <v>16.36</v>
      </c>
      <c r="H1003">
        <v>164508974</v>
      </c>
      <c r="I1003">
        <v>86040</v>
      </c>
      <c r="J1003">
        <v>101000000000</v>
      </c>
      <c r="K1003">
        <v>6853458827</v>
      </c>
      <c r="L1003">
        <f>(Table1[[#This Row],[CLOSE_PRICE]] - Table1[[#This Row],[PREV_CL_PR]]) / Table1[[#This Row],[PREV_CL_PR]] * 100</f>
        <v>-10.330073349633249</v>
      </c>
      <c r="M1003">
        <f>Table1[[#This Row],[HIGH_PRICE]]-Table1[[#This Row],[LOW_PRICE]]</f>
        <v>1.1799999999999997</v>
      </c>
      <c r="N1003" t="str">
        <f>IF(Table1[[#This Row],[CLOSE_PRICE]]&gt;Table1[[#This Row],[OPEN_PRICE]],"Gain","Loss")</f>
        <v>Loss</v>
      </c>
      <c r="O1003" t="str">
        <f>IF(Table1[[#This Row],[MARKET_CAP]]&gt;200000000000,"Large Cap",
IF(Table1[[#This Row],[MARKET_CAP]]&gt;50000000000,"Mid Cap","Small Cap"))</f>
        <v>Mid Cap</v>
      </c>
      <c r="P1003" t="str">
        <f>IF(Table1[[#This Row],[NET_TRDQTY]]&gt;1000000,"High Volume","Low Volume")</f>
        <v>High Volume</v>
      </c>
    </row>
    <row r="1004" spans="1:16" x14ac:dyDescent="0.3">
      <c r="A1004" t="s">
        <v>2013</v>
      </c>
      <c r="B1004" t="s">
        <v>2014</v>
      </c>
      <c r="C1004">
        <v>349.25</v>
      </c>
      <c r="D1004">
        <v>349.25</v>
      </c>
      <c r="E1004">
        <v>330</v>
      </c>
      <c r="F1004">
        <v>343.65</v>
      </c>
      <c r="G1004">
        <v>349.25</v>
      </c>
      <c r="H1004">
        <v>325532</v>
      </c>
      <c r="I1004">
        <v>10810</v>
      </c>
      <c r="J1004">
        <v>36171612037</v>
      </c>
      <c r="K1004">
        <v>105257128</v>
      </c>
      <c r="L1004">
        <f>(Table1[[#This Row],[CLOSE_PRICE]] - Table1[[#This Row],[PREV_CL_PR]]) / Table1[[#This Row],[PREV_CL_PR]] * 100</f>
        <v>-1.6034359341446023</v>
      </c>
      <c r="M1004">
        <f>Table1[[#This Row],[HIGH_PRICE]]-Table1[[#This Row],[LOW_PRICE]]</f>
        <v>19.25</v>
      </c>
      <c r="N1004" t="str">
        <f>IF(Table1[[#This Row],[CLOSE_PRICE]]&gt;Table1[[#This Row],[OPEN_PRICE]],"Gain","Loss")</f>
        <v>Loss</v>
      </c>
      <c r="O1004" t="str">
        <f>IF(Table1[[#This Row],[MARKET_CAP]]&gt;200000000000,"Large Cap",
IF(Table1[[#This Row],[MARKET_CAP]]&gt;50000000000,"Mid Cap","Small Cap"))</f>
        <v>Small Cap</v>
      </c>
      <c r="P1004" t="str">
        <f>IF(Table1[[#This Row],[NET_TRDQTY]]&gt;1000000,"High Volume","Low Volume")</f>
        <v>Low Volume</v>
      </c>
    </row>
    <row r="1005" spans="1:16" x14ac:dyDescent="0.3">
      <c r="A1005" t="s">
        <v>2015</v>
      </c>
      <c r="B1005" t="s">
        <v>2016</v>
      </c>
      <c r="C1005">
        <v>720.45</v>
      </c>
      <c r="D1005">
        <v>721</v>
      </c>
      <c r="E1005">
        <v>691.5</v>
      </c>
      <c r="F1005">
        <v>695.7</v>
      </c>
      <c r="G1005">
        <v>721.95</v>
      </c>
      <c r="H1005">
        <v>591700</v>
      </c>
      <c r="I1005">
        <v>28489</v>
      </c>
      <c r="J1005">
        <v>574000000000</v>
      </c>
      <c r="K1005">
        <v>824419588</v>
      </c>
      <c r="L1005">
        <f>(Table1[[#This Row],[CLOSE_PRICE]] - Table1[[#This Row],[PREV_CL_PR]]) / Table1[[#This Row],[PREV_CL_PR]] * 100</f>
        <v>-3.6359858715977555</v>
      </c>
      <c r="M1005">
        <f>Table1[[#This Row],[HIGH_PRICE]]-Table1[[#This Row],[LOW_PRICE]]</f>
        <v>29.5</v>
      </c>
      <c r="N1005" t="str">
        <f>IF(Table1[[#This Row],[CLOSE_PRICE]]&gt;Table1[[#This Row],[OPEN_PRICE]],"Gain","Loss")</f>
        <v>Loss</v>
      </c>
      <c r="O1005" t="str">
        <f>IF(Table1[[#This Row],[MARKET_CAP]]&gt;200000000000,"Large Cap",
IF(Table1[[#This Row],[MARKET_CAP]]&gt;50000000000,"Mid Cap","Small Cap"))</f>
        <v>Large Cap</v>
      </c>
      <c r="P1005" t="str">
        <f>IF(Table1[[#This Row],[NET_TRDQTY]]&gt;1000000,"High Volume","Low Volume")</f>
        <v>Low Volume</v>
      </c>
    </row>
    <row r="1006" spans="1:16" x14ac:dyDescent="0.3">
      <c r="A1006" t="s">
        <v>2017</v>
      </c>
      <c r="B1006" t="s">
        <v>2018</v>
      </c>
      <c r="C1006">
        <v>605</v>
      </c>
      <c r="D1006">
        <v>605</v>
      </c>
      <c r="E1006">
        <v>574.15</v>
      </c>
      <c r="F1006">
        <v>586.65</v>
      </c>
      <c r="G1006">
        <v>611.29999999999995</v>
      </c>
      <c r="H1006">
        <v>202461</v>
      </c>
      <c r="I1006">
        <v>10975</v>
      </c>
      <c r="J1006">
        <v>72921023255</v>
      </c>
      <c r="K1006">
        <v>124300730</v>
      </c>
      <c r="L1006">
        <f>(Table1[[#This Row],[CLOSE_PRICE]] - Table1[[#This Row],[PREV_CL_PR]]) / Table1[[#This Row],[PREV_CL_PR]] * 100</f>
        <v>-4.0323899885489904</v>
      </c>
      <c r="M1006">
        <f>Table1[[#This Row],[HIGH_PRICE]]-Table1[[#This Row],[LOW_PRICE]]</f>
        <v>30.850000000000023</v>
      </c>
      <c r="N1006" t="str">
        <f>IF(Table1[[#This Row],[CLOSE_PRICE]]&gt;Table1[[#This Row],[OPEN_PRICE]],"Gain","Loss")</f>
        <v>Loss</v>
      </c>
      <c r="O1006" t="str">
        <f>IF(Table1[[#This Row],[MARKET_CAP]]&gt;200000000000,"Large Cap",
IF(Table1[[#This Row],[MARKET_CAP]]&gt;50000000000,"Mid Cap","Small Cap"))</f>
        <v>Mid Cap</v>
      </c>
      <c r="P1006" t="str">
        <f>IF(Table1[[#This Row],[NET_TRDQTY]]&gt;1000000,"High Volume","Low Volume")</f>
        <v>Low Volume</v>
      </c>
    </row>
    <row r="1007" spans="1:16" x14ac:dyDescent="0.3">
      <c r="A1007" t="s">
        <v>2019</v>
      </c>
      <c r="B1007" t="s">
        <v>2020</v>
      </c>
      <c r="C1007">
        <v>114.55</v>
      </c>
      <c r="D1007">
        <v>114.7</v>
      </c>
      <c r="E1007">
        <v>112.4</v>
      </c>
      <c r="F1007">
        <v>113.09</v>
      </c>
      <c r="G1007">
        <v>116.13</v>
      </c>
      <c r="H1007">
        <v>2988028</v>
      </c>
      <c r="I1007">
        <v>28900</v>
      </c>
      <c r="J1007">
        <v>154000000000</v>
      </c>
      <c r="K1007">
        <v>1363364936</v>
      </c>
      <c r="L1007">
        <f>(Table1[[#This Row],[CLOSE_PRICE]] - Table1[[#This Row],[PREV_CL_PR]]) / Table1[[#This Row],[PREV_CL_PR]] * 100</f>
        <v>-2.6177559631447451</v>
      </c>
      <c r="M1007">
        <f>Table1[[#This Row],[HIGH_PRICE]]-Table1[[#This Row],[LOW_PRICE]]</f>
        <v>2.2999999999999972</v>
      </c>
      <c r="N1007" t="str">
        <f>IF(Table1[[#This Row],[CLOSE_PRICE]]&gt;Table1[[#This Row],[OPEN_PRICE]],"Gain","Loss")</f>
        <v>Loss</v>
      </c>
      <c r="O1007" t="str">
        <f>IF(Table1[[#This Row],[MARKET_CAP]]&gt;200000000000,"Large Cap",
IF(Table1[[#This Row],[MARKET_CAP]]&gt;50000000000,"Mid Cap","Small Cap"))</f>
        <v>Mid Cap</v>
      </c>
      <c r="P1007" t="str">
        <f>IF(Table1[[#This Row],[NET_TRDQTY]]&gt;1000000,"High Volume","Low Volume")</f>
        <v>High Volume</v>
      </c>
    </row>
    <row r="1008" spans="1:16" x14ac:dyDescent="0.3">
      <c r="A1008" t="s">
        <v>2021</v>
      </c>
      <c r="B1008" t="s">
        <v>2022</v>
      </c>
      <c r="C1008">
        <v>14700</v>
      </c>
      <c r="D1008">
        <v>14964</v>
      </c>
      <c r="E1008">
        <v>13700</v>
      </c>
      <c r="F1008">
        <v>13817</v>
      </c>
      <c r="G1008">
        <v>15142</v>
      </c>
      <c r="H1008">
        <v>14824</v>
      </c>
      <c r="I1008">
        <v>5922</v>
      </c>
      <c r="J1008">
        <v>153000000000</v>
      </c>
      <c r="K1008">
        <v>11099625</v>
      </c>
      <c r="L1008">
        <f>(Table1[[#This Row],[CLOSE_PRICE]] - Table1[[#This Row],[PREV_CL_PR]]) / Table1[[#This Row],[PREV_CL_PR]] * 100</f>
        <v>-8.7504953110553423</v>
      </c>
      <c r="M1008">
        <f>Table1[[#This Row],[HIGH_PRICE]]-Table1[[#This Row],[LOW_PRICE]]</f>
        <v>1264</v>
      </c>
      <c r="N1008" t="str">
        <f>IF(Table1[[#This Row],[CLOSE_PRICE]]&gt;Table1[[#This Row],[OPEN_PRICE]],"Gain","Loss")</f>
        <v>Loss</v>
      </c>
      <c r="O1008" t="str">
        <f>IF(Table1[[#This Row],[MARKET_CAP]]&gt;200000000000,"Large Cap",
IF(Table1[[#This Row],[MARKET_CAP]]&gt;50000000000,"Mid Cap","Small Cap"))</f>
        <v>Mid Cap</v>
      </c>
      <c r="P1008" t="str">
        <f>IF(Table1[[#This Row],[NET_TRDQTY]]&gt;1000000,"High Volume","Low Volume")</f>
        <v>Low Volume</v>
      </c>
    </row>
    <row r="1009" spans="1:16" x14ac:dyDescent="0.3">
      <c r="A1009" t="s">
        <v>2023</v>
      </c>
      <c r="B1009" t="s">
        <v>2024</v>
      </c>
      <c r="C1009">
        <v>248.15</v>
      </c>
      <c r="D1009">
        <v>249</v>
      </c>
      <c r="E1009">
        <v>240</v>
      </c>
      <c r="F1009">
        <v>241.3</v>
      </c>
      <c r="G1009">
        <v>251.15</v>
      </c>
      <c r="H1009">
        <v>1840136</v>
      </c>
      <c r="I1009">
        <v>35822</v>
      </c>
      <c r="J1009">
        <v>507000000000</v>
      </c>
      <c r="K1009">
        <v>2100001567</v>
      </c>
      <c r="L1009">
        <f>(Table1[[#This Row],[CLOSE_PRICE]] - Table1[[#This Row],[PREV_CL_PR]]) / Table1[[#This Row],[PREV_CL_PR]] * 100</f>
        <v>-3.9219589886521975</v>
      </c>
      <c r="M1009">
        <f>Table1[[#This Row],[HIGH_PRICE]]-Table1[[#This Row],[LOW_PRICE]]</f>
        <v>9</v>
      </c>
      <c r="N1009" t="str">
        <f>IF(Table1[[#This Row],[CLOSE_PRICE]]&gt;Table1[[#This Row],[OPEN_PRICE]],"Gain","Loss")</f>
        <v>Loss</v>
      </c>
      <c r="O1009" t="str">
        <f>IF(Table1[[#This Row],[MARKET_CAP]]&gt;200000000000,"Large Cap",
IF(Table1[[#This Row],[MARKET_CAP]]&gt;50000000000,"Mid Cap","Small Cap"))</f>
        <v>Large Cap</v>
      </c>
      <c r="P1009" t="str">
        <f>IF(Table1[[#This Row],[NET_TRDQTY]]&gt;1000000,"High Volume","Low Volume")</f>
        <v>High Volume</v>
      </c>
    </row>
    <row r="1010" spans="1:16" x14ac:dyDescent="0.3">
      <c r="A1010" t="s">
        <v>2025</v>
      </c>
      <c r="B1010" t="s">
        <v>2026</v>
      </c>
      <c r="C1010">
        <v>127.27</v>
      </c>
      <c r="D1010">
        <v>127.27</v>
      </c>
      <c r="E1010">
        <v>119.1</v>
      </c>
      <c r="F1010">
        <v>120.08</v>
      </c>
      <c r="G1010">
        <v>127.27</v>
      </c>
      <c r="H1010">
        <v>131857</v>
      </c>
      <c r="I1010">
        <v>2232</v>
      </c>
      <c r="J1010">
        <v>33309818551</v>
      </c>
      <c r="K1010">
        <v>277396890</v>
      </c>
      <c r="L1010">
        <f>(Table1[[#This Row],[CLOSE_PRICE]] - Table1[[#This Row],[PREV_CL_PR]]) / Table1[[#This Row],[PREV_CL_PR]] * 100</f>
        <v>-5.6494067730022772</v>
      </c>
      <c r="M1010">
        <f>Table1[[#This Row],[HIGH_PRICE]]-Table1[[#This Row],[LOW_PRICE]]</f>
        <v>8.1700000000000017</v>
      </c>
      <c r="N1010" t="str">
        <f>IF(Table1[[#This Row],[CLOSE_PRICE]]&gt;Table1[[#This Row],[OPEN_PRICE]],"Gain","Loss")</f>
        <v>Loss</v>
      </c>
      <c r="O1010" t="str">
        <f>IF(Table1[[#This Row],[MARKET_CAP]]&gt;200000000000,"Large Cap",
IF(Table1[[#This Row],[MARKET_CAP]]&gt;50000000000,"Mid Cap","Small Cap"))</f>
        <v>Small Cap</v>
      </c>
      <c r="P1010" t="str">
        <f>IF(Table1[[#This Row],[NET_TRDQTY]]&gt;1000000,"High Volume","Low Volume")</f>
        <v>Low Volume</v>
      </c>
    </row>
    <row r="1011" spans="1:16" x14ac:dyDescent="0.3">
      <c r="A1011" t="s">
        <v>2027</v>
      </c>
      <c r="B1011" t="s">
        <v>2028</v>
      </c>
      <c r="C1011">
        <v>51.33</v>
      </c>
      <c r="D1011">
        <v>51.61</v>
      </c>
      <c r="E1011">
        <v>49.1</v>
      </c>
      <c r="F1011">
        <v>49.41</v>
      </c>
      <c r="G1011">
        <v>52.11</v>
      </c>
      <c r="H1011">
        <v>2294871</v>
      </c>
      <c r="I1011">
        <v>10317</v>
      </c>
      <c r="J1011">
        <v>19422163338</v>
      </c>
      <c r="K1011">
        <v>393081630</v>
      </c>
      <c r="L1011">
        <f>(Table1[[#This Row],[CLOSE_PRICE]] - Table1[[#This Row],[PREV_CL_PR]]) / Table1[[#This Row],[PREV_CL_PR]] * 100</f>
        <v>-5.1813471502590724</v>
      </c>
      <c r="M1011">
        <f>Table1[[#This Row],[HIGH_PRICE]]-Table1[[#This Row],[LOW_PRICE]]</f>
        <v>2.509999999999998</v>
      </c>
      <c r="N1011" t="str">
        <f>IF(Table1[[#This Row],[CLOSE_PRICE]]&gt;Table1[[#This Row],[OPEN_PRICE]],"Gain","Loss")</f>
        <v>Loss</v>
      </c>
      <c r="O1011" t="str">
        <f>IF(Table1[[#This Row],[MARKET_CAP]]&gt;200000000000,"Large Cap",
IF(Table1[[#This Row],[MARKET_CAP]]&gt;50000000000,"Mid Cap","Small Cap"))</f>
        <v>Small Cap</v>
      </c>
      <c r="P1011" t="str">
        <f>IF(Table1[[#This Row],[NET_TRDQTY]]&gt;1000000,"High Volume","Low Volume")</f>
        <v>High Volume</v>
      </c>
    </row>
    <row r="1012" spans="1:16" x14ac:dyDescent="0.3">
      <c r="A1012" t="s">
        <v>2029</v>
      </c>
      <c r="B1012" t="s">
        <v>2030</v>
      </c>
      <c r="C1012">
        <v>1634.1</v>
      </c>
      <c r="D1012">
        <v>1642.4</v>
      </c>
      <c r="E1012">
        <v>1505</v>
      </c>
      <c r="F1012">
        <v>1549.7</v>
      </c>
      <c r="G1012">
        <v>1657.5</v>
      </c>
      <c r="H1012">
        <v>7151</v>
      </c>
      <c r="I1012">
        <v>1233</v>
      </c>
      <c r="J1012">
        <v>23476860912</v>
      </c>
      <c r="K1012">
        <v>15149294</v>
      </c>
      <c r="L1012">
        <f>(Table1[[#This Row],[CLOSE_PRICE]] - Table1[[#This Row],[PREV_CL_PR]]) / Table1[[#This Row],[PREV_CL_PR]] * 100</f>
        <v>-6.503770739064854</v>
      </c>
      <c r="M1012">
        <f>Table1[[#This Row],[HIGH_PRICE]]-Table1[[#This Row],[LOW_PRICE]]</f>
        <v>137.40000000000009</v>
      </c>
      <c r="N1012" t="str">
        <f>IF(Table1[[#This Row],[CLOSE_PRICE]]&gt;Table1[[#This Row],[OPEN_PRICE]],"Gain","Loss")</f>
        <v>Loss</v>
      </c>
      <c r="O1012" t="str">
        <f>IF(Table1[[#This Row],[MARKET_CAP]]&gt;200000000000,"Large Cap",
IF(Table1[[#This Row],[MARKET_CAP]]&gt;50000000000,"Mid Cap","Small Cap"))</f>
        <v>Small Cap</v>
      </c>
      <c r="P1012" t="str">
        <f>IF(Table1[[#This Row],[NET_TRDQTY]]&gt;1000000,"High Volume","Low Volume")</f>
        <v>Low Volume</v>
      </c>
    </row>
    <row r="1013" spans="1:16" x14ac:dyDescent="0.3">
      <c r="A1013" t="s">
        <v>2031</v>
      </c>
      <c r="B1013" t="s">
        <v>2032</v>
      </c>
      <c r="C1013">
        <v>448</v>
      </c>
      <c r="D1013">
        <v>448</v>
      </c>
      <c r="E1013">
        <v>436.2</v>
      </c>
      <c r="F1013">
        <v>438.05</v>
      </c>
      <c r="G1013">
        <v>451.55</v>
      </c>
      <c r="H1013">
        <v>960419</v>
      </c>
      <c r="I1013">
        <v>28423</v>
      </c>
      <c r="J1013">
        <v>289000000000</v>
      </c>
      <c r="K1013">
        <v>659845200</v>
      </c>
      <c r="L1013">
        <f>(Table1[[#This Row],[CLOSE_PRICE]] - Table1[[#This Row],[PREV_CL_PR]]) / Table1[[#This Row],[PREV_CL_PR]] * 100</f>
        <v>-2.9897021370833792</v>
      </c>
      <c r="M1013">
        <f>Table1[[#This Row],[HIGH_PRICE]]-Table1[[#This Row],[LOW_PRICE]]</f>
        <v>11.800000000000011</v>
      </c>
      <c r="N1013" t="str">
        <f>IF(Table1[[#This Row],[CLOSE_PRICE]]&gt;Table1[[#This Row],[OPEN_PRICE]],"Gain","Loss")</f>
        <v>Loss</v>
      </c>
      <c r="O1013" t="str">
        <f>IF(Table1[[#This Row],[MARKET_CAP]]&gt;200000000000,"Large Cap",
IF(Table1[[#This Row],[MARKET_CAP]]&gt;50000000000,"Mid Cap","Small Cap"))</f>
        <v>Large Cap</v>
      </c>
      <c r="P1013" t="str">
        <f>IF(Table1[[#This Row],[NET_TRDQTY]]&gt;1000000,"High Volume","Low Volume")</f>
        <v>Low Volume</v>
      </c>
    </row>
    <row r="1014" spans="1:16" x14ac:dyDescent="0.3">
      <c r="A1014" t="s">
        <v>2033</v>
      </c>
      <c r="B1014" t="s">
        <v>2034</v>
      </c>
      <c r="C1014">
        <v>582.54999999999995</v>
      </c>
      <c r="D1014">
        <v>582.6</v>
      </c>
      <c r="E1014">
        <v>552</v>
      </c>
      <c r="F1014">
        <v>565.15</v>
      </c>
      <c r="G1014">
        <v>583.29999999999995</v>
      </c>
      <c r="H1014">
        <v>268916</v>
      </c>
      <c r="I1014">
        <v>13821</v>
      </c>
      <c r="J1014">
        <v>90017735706</v>
      </c>
      <c r="K1014">
        <v>159281139</v>
      </c>
      <c r="L1014">
        <f>(Table1[[#This Row],[CLOSE_PRICE]] - Table1[[#This Row],[PREV_CL_PR]]) / Table1[[#This Row],[PREV_CL_PR]] * 100</f>
        <v>-3.1116063775072824</v>
      </c>
      <c r="M1014">
        <f>Table1[[#This Row],[HIGH_PRICE]]-Table1[[#This Row],[LOW_PRICE]]</f>
        <v>30.600000000000023</v>
      </c>
      <c r="N1014" t="str">
        <f>IF(Table1[[#This Row],[CLOSE_PRICE]]&gt;Table1[[#This Row],[OPEN_PRICE]],"Gain","Loss")</f>
        <v>Loss</v>
      </c>
      <c r="O1014" t="str">
        <f>IF(Table1[[#This Row],[MARKET_CAP]]&gt;200000000000,"Large Cap",
IF(Table1[[#This Row],[MARKET_CAP]]&gt;50000000000,"Mid Cap","Small Cap"))</f>
        <v>Mid Cap</v>
      </c>
      <c r="P1014" t="str">
        <f>IF(Table1[[#This Row],[NET_TRDQTY]]&gt;1000000,"High Volume","Low Volume")</f>
        <v>Low Volume</v>
      </c>
    </row>
    <row r="1015" spans="1:16" x14ac:dyDescent="0.3">
      <c r="A1015" t="s">
        <v>2035</v>
      </c>
      <c r="B1015" t="s">
        <v>2036</v>
      </c>
      <c r="C1015">
        <v>815</v>
      </c>
      <c r="D1015">
        <v>831.3</v>
      </c>
      <c r="E1015">
        <v>804.15</v>
      </c>
      <c r="F1015">
        <v>816.2</v>
      </c>
      <c r="G1015">
        <v>831.35</v>
      </c>
      <c r="H1015">
        <v>171243</v>
      </c>
      <c r="I1015">
        <v>17173</v>
      </c>
      <c r="J1015">
        <v>130000000000</v>
      </c>
      <c r="K1015">
        <v>159281139</v>
      </c>
      <c r="L1015">
        <f>(Table1[[#This Row],[CLOSE_PRICE]] - Table1[[#This Row],[PREV_CL_PR]]) / Table1[[#This Row],[PREV_CL_PR]] * 100</f>
        <v>-1.8223371624466203</v>
      </c>
      <c r="M1015">
        <f>Table1[[#This Row],[HIGH_PRICE]]-Table1[[#This Row],[LOW_PRICE]]</f>
        <v>27.149999999999977</v>
      </c>
      <c r="N1015" t="str">
        <f>IF(Table1[[#This Row],[CLOSE_PRICE]]&gt;Table1[[#This Row],[OPEN_PRICE]],"Gain","Loss")</f>
        <v>Gain</v>
      </c>
      <c r="O1015" t="str">
        <f>IF(Table1[[#This Row],[MARKET_CAP]]&gt;200000000000,"Large Cap",
IF(Table1[[#This Row],[MARKET_CAP]]&gt;50000000000,"Mid Cap","Small Cap"))</f>
        <v>Mid Cap</v>
      </c>
      <c r="P1015" t="str">
        <f>IF(Table1[[#This Row],[NET_TRDQTY]]&gt;1000000,"High Volume","Low Volume")</f>
        <v>Low Volume</v>
      </c>
    </row>
    <row r="1016" spans="1:16" x14ac:dyDescent="0.3">
      <c r="A1016" t="s">
        <v>2037</v>
      </c>
      <c r="B1016" t="s">
        <v>2038</v>
      </c>
      <c r="C1016">
        <v>204.62</v>
      </c>
      <c r="D1016">
        <v>204.62</v>
      </c>
      <c r="E1016">
        <v>192.5</v>
      </c>
      <c r="F1016">
        <v>193.43</v>
      </c>
      <c r="G1016">
        <v>204.63</v>
      </c>
      <c r="H1016">
        <v>137276</v>
      </c>
      <c r="I1016">
        <v>3663</v>
      </c>
      <c r="J1016">
        <v>43038636137</v>
      </c>
      <c r="K1016">
        <v>222502384</v>
      </c>
      <c r="L1016">
        <f>(Table1[[#This Row],[CLOSE_PRICE]] - Table1[[#This Row],[PREV_CL_PR]]) / Table1[[#This Row],[PREV_CL_PR]] * 100</f>
        <v>-5.473293261007667</v>
      </c>
      <c r="M1016">
        <f>Table1[[#This Row],[HIGH_PRICE]]-Table1[[#This Row],[LOW_PRICE]]</f>
        <v>12.120000000000005</v>
      </c>
      <c r="N1016" t="str">
        <f>IF(Table1[[#This Row],[CLOSE_PRICE]]&gt;Table1[[#This Row],[OPEN_PRICE]],"Gain","Loss")</f>
        <v>Loss</v>
      </c>
      <c r="O1016" t="str">
        <f>IF(Table1[[#This Row],[MARKET_CAP]]&gt;200000000000,"Large Cap",
IF(Table1[[#This Row],[MARKET_CAP]]&gt;50000000000,"Mid Cap","Small Cap"))</f>
        <v>Small Cap</v>
      </c>
      <c r="P1016" t="str">
        <f>IF(Table1[[#This Row],[NET_TRDQTY]]&gt;1000000,"High Volume","Low Volume")</f>
        <v>Low Volume</v>
      </c>
    </row>
    <row r="1017" spans="1:16" x14ac:dyDescent="0.3">
      <c r="A1017" t="s">
        <v>2039</v>
      </c>
      <c r="B1017" t="s">
        <v>2040</v>
      </c>
      <c r="C1017">
        <v>517.95000000000005</v>
      </c>
      <c r="D1017">
        <v>517.95000000000005</v>
      </c>
      <c r="E1017">
        <v>499.5</v>
      </c>
      <c r="F1017">
        <v>500.75</v>
      </c>
      <c r="G1017">
        <v>520.4</v>
      </c>
      <c r="H1017">
        <v>205262</v>
      </c>
      <c r="I1017">
        <v>7882</v>
      </c>
      <c r="J1017">
        <v>42586111993</v>
      </c>
      <c r="K1017">
        <v>85044657</v>
      </c>
      <c r="L1017">
        <f>(Table1[[#This Row],[CLOSE_PRICE]] - Table1[[#This Row],[PREV_CL_PR]]) / Table1[[#This Row],[PREV_CL_PR]] * 100</f>
        <v>-3.7759415833973824</v>
      </c>
      <c r="M1017">
        <f>Table1[[#This Row],[HIGH_PRICE]]-Table1[[#This Row],[LOW_PRICE]]</f>
        <v>18.450000000000045</v>
      </c>
      <c r="N1017" t="str">
        <f>IF(Table1[[#This Row],[CLOSE_PRICE]]&gt;Table1[[#This Row],[OPEN_PRICE]],"Gain","Loss")</f>
        <v>Loss</v>
      </c>
      <c r="O1017" t="str">
        <f>IF(Table1[[#This Row],[MARKET_CAP]]&gt;200000000000,"Large Cap",
IF(Table1[[#This Row],[MARKET_CAP]]&gt;50000000000,"Mid Cap","Small Cap"))</f>
        <v>Small Cap</v>
      </c>
      <c r="P1017" t="str">
        <f>IF(Table1[[#This Row],[NET_TRDQTY]]&gt;1000000,"High Volume","Low Volume")</f>
        <v>Low Volume</v>
      </c>
    </row>
    <row r="1018" spans="1:16" x14ac:dyDescent="0.3">
      <c r="A1018" t="s">
        <v>2041</v>
      </c>
      <c r="B1018" t="s">
        <v>2042</v>
      </c>
      <c r="C1018">
        <v>259.39999999999998</v>
      </c>
      <c r="D1018">
        <v>259.39999999999998</v>
      </c>
      <c r="E1018">
        <v>249</v>
      </c>
      <c r="F1018">
        <v>252.6</v>
      </c>
      <c r="G1018">
        <v>262.60000000000002</v>
      </c>
      <c r="H1018">
        <v>1711997</v>
      </c>
      <c r="I1018">
        <v>28216</v>
      </c>
      <c r="J1018">
        <v>107000000000</v>
      </c>
      <c r="K1018">
        <v>424498049</v>
      </c>
      <c r="L1018">
        <f>(Table1[[#This Row],[CLOSE_PRICE]] - Table1[[#This Row],[PREV_CL_PR]]) / Table1[[#This Row],[PREV_CL_PR]] * 100</f>
        <v>-3.8080731150038183</v>
      </c>
      <c r="M1018">
        <f>Table1[[#This Row],[HIGH_PRICE]]-Table1[[#This Row],[LOW_PRICE]]</f>
        <v>10.399999999999977</v>
      </c>
      <c r="N1018" t="str">
        <f>IF(Table1[[#This Row],[CLOSE_PRICE]]&gt;Table1[[#This Row],[OPEN_PRICE]],"Gain","Loss")</f>
        <v>Loss</v>
      </c>
      <c r="O1018" t="str">
        <f>IF(Table1[[#This Row],[MARKET_CAP]]&gt;200000000000,"Large Cap",
IF(Table1[[#This Row],[MARKET_CAP]]&gt;50000000000,"Mid Cap","Small Cap"))</f>
        <v>Mid Cap</v>
      </c>
      <c r="P1018" t="str">
        <f>IF(Table1[[#This Row],[NET_TRDQTY]]&gt;1000000,"High Volume","Low Volume")</f>
        <v>High Volume</v>
      </c>
    </row>
    <row r="1019" spans="1:16" x14ac:dyDescent="0.3">
      <c r="A1019" t="s">
        <v>2043</v>
      </c>
      <c r="B1019" t="s">
        <v>2044</v>
      </c>
      <c r="C1019">
        <v>208</v>
      </c>
      <c r="D1019">
        <v>208</v>
      </c>
      <c r="E1019">
        <v>199</v>
      </c>
      <c r="F1019">
        <v>199.6</v>
      </c>
      <c r="G1019">
        <v>208.55</v>
      </c>
      <c r="H1019">
        <v>580447</v>
      </c>
      <c r="I1019">
        <v>25757</v>
      </c>
      <c r="J1019">
        <v>73296016396</v>
      </c>
      <c r="K1019">
        <v>367214511</v>
      </c>
      <c r="L1019">
        <f>(Table1[[#This Row],[CLOSE_PRICE]] - Table1[[#This Row],[PREV_CL_PR]]) / Table1[[#This Row],[PREV_CL_PR]] * 100</f>
        <v>-4.2915368017262123</v>
      </c>
      <c r="M1019">
        <f>Table1[[#This Row],[HIGH_PRICE]]-Table1[[#This Row],[LOW_PRICE]]</f>
        <v>9</v>
      </c>
      <c r="N1019" t="str">
        <f>IF(Table1[[#This Row],[CLOSE_PRICE]]&gt;Table1[[#This Row],[OPEN_PRICE]],"Gain","Loss")</f>
        <v>Loss</v>
      </c>
      <c r="O1019" t="str">
        <f>IF(Table1[[#This Row],[MARKET_CAP]]&gt;200000000000,"Large Cap",
IF(Table1[[#This Row],[MARKET_CAP]]&gt;50000000000,"Mid Cap","Small Cap"))</f>
        <v>Mid Cap</v>
      </c>
      <c r="P1019" t="str">
        <f>IF(Table1[[#This Row],[NET_TRDQTY]]&gt;1000000,"High Volume","Low Volume")</f>
        <v>Low Volume</v>
      </c>
    </row>
    <row r="1020" spans="1:16" x14ac:dyDescent="0.3">
      <c r="A1020" t="s">
        <v>2045</v>
      </c>
      <c r="B1020" t="s">
        <v>2046</v>
      </c>
      <c r="C1020">
        <v>739.95</v>
      </c>
      <c r="D1020">
        <v>739.95</v>
      </c>
      <c r="E1020">
        <v>704</v>
      </c>
      <c r="F1020">
        <v>722.45</v>
      </c>
      <c r="G1020">
        <v>739.95</v>
      </c>
      <c r="H1020">
        <v>348713</v>
      </c>
      <c r="I1020">
        <v>24811</v>
      </c>
      <c r="J1020">
        <v>164000000000</v>
      </c>
      <c r="K1020">
        <v>227423096</v>
      </c>
      <c r="L1020">
        <f>(Table1[[#This Row],[CLOSE_PRICE]] - Table1[[#This Row],[PREV_CL_PR]]) / Table1[[#This Row],[PREV_CL_PR]] * 100</f>
        <v>-2.365024663828637</v>
      </c>
      <c r="M1020">
        <f>Table1[[#This Row],[HIGH_PRICE]]-Table1[[#This Row],[LOW_PRICE]]</f>
        <v>35.950000000000045</v>
      </c>
      <c r="N1020" t="str">
        <f>IF(Table1[[#This Row],[CLOSE_PRICE]]&gt;Table1[[#This Row],[OPEN_PRICE]],"Gain","Loss")</f>
        <v>Loss</v>
      </c>
      <c r="O1020" t="str">
        <f>IF(Table1[[#This Row],[MARKET_CAP]]&gt;200000000000,"Large Cap",
IF(Table1[[#This Row],[MARKET_CAP]]&gt;50000000000,"Mid Cap","Small Cap"))</f>
        <v>Mid Cap</v>
      </c>
      <c r="P1020" t="str">
        <f>IF(Table1[[#This Row],[NET_TRDQTY]]&gt;1000000,"High Volume","Low Volume")</f>
        <v>Low Volume</v>
      </c>
    </row>
    <row r="1021" spans="1:16" x14ac:dyDescent="0.3">
      <c r="A1021" t="s">
        <v>2047</v>
      </c>
      <c r="B1021" t="s">
        <v>2048</v>
      </c>
      <c r="C1021">
        <v>10.35</v>
      </c>
      <c r="D1021">
        <v>10.36</v>
      </c>
      <c r="E1021">
        <v>9.6199999999999992</v>
      </c>
      <c r="F1021">
        <v>9.75</v>
      </c>
      <c r="G1021">
        <v>10.46</v>
      </c>
      <c r="H1021">
        <v>14347350</v>
      </c>
      <c r="I1021">
        <v>13157</v>
      </c>
      <c r="J1021">
        <v>11636322136</v>
      </c>
      <c r="K1021">
        <v>1193468937</v>
      </c>
      <c r="L1021">
        <f>(Table1[[#This Row],[CLOSE_PRICE]] - Table1[[#This Row],[PREV_CL_PR]]) / Table1[[#This Row],[PREV_CL_PR]] * 100</f>
        <v>-6.7877629063097595</v>
      </c>
      <c r="M1021">
        <f>Table1[[#This Row],[HIGH_PRICE]]-Table1[[#This Row],[LOW_PRICE]]</f>
        <v>0.74000000000000021</v>
      </c>
      <c r="N1021" t="str">
        <f>IF(Table1[[#This Row],[CLOSE_PRICE]]&gt;Table1[[#This Row],[OPEN_PRICE]],"Gain","Loss")</f>
        <v>Loss</v>
      </c>
      <c r="O1021" t="str">
        <f>IF(Table1[[#This Row],[MARKET_CAP]]&gt;200000000000,"Large Cap",
IF(Table1[[#This Row],[MARKET_CAP]]&gt;50000000000,"Mid Cap","Small Cap"))</f>
        <v>Small Cap</v>
      </c>
      <c r="P1021" t="str">
        <f>IF(Table1[[#This Row],[NET_TRDQTY]]&gt;1000000,"High Volume","Low Volume")</f>
        <v>High Volume</v>
      </c>
    </row>
    <row r="1022" spans="1:16" x14ac:dyDescent="0.3">
      <c r="A1022" t="s">
        <v>2049</v>
      </c>
      <c r="B1022" t="s">
        <v>2050</v>
      </c>
      <c r="C1022">
        <v>208.1</v>
      </c>
      <c r="D1022">
        <v>209.55</v>
      </c>
      <c r="E1022">
        <v>192.8</v>
      </c>
      <c r="F1022">
        <v>194.95</v>
      </c>
      <c r="G1022">
        <v>208.95</v>
      </c>
      <c r="H1022">
        <v>72110</v>
      </c>
      <c r="I1022">
        <v>2014</v>
      </c>
      <c r="J1022">
        <v>6817954378</v>
      </c>
      <c r="K1022">
        <v>34972836</v>
      </c>
      <c r="L1022">
        <f>(Table1[[#This Row],[CLOSE_PRICE]] - Table1[[#This Row],[PREV_CL_PR]]) / Table1[[#This Row],[PREV_CL_PR]] * 100</f>
        <v>-6.7001675041876059</v>
      </c>
      <c r="M1022">
        <f>Table1[[#This Row],[HIGH_PRICE]]-Table1[[#This Row],[LOW_PRICE]]</f>
        <v>16.75</v>
      </c>
      <c r="N1022" t="str">
        <f>IF(Table1[[#This Row],[CLOSE_PRICE]]&gt;Table1[[#This Row],[OPEN_PRICE]],"Gain","Loss")</f>
        <v>Loss</v>
      </c>
      <c r="O1022" t="str">
        <f>IF(Table1[[#This Row],[MARKET_CAP]]&gt;200000000000,"Large Cap",
IF(Table1[[#This Row],[MARKET_CAP]]&gt;50000000000,"Mid Cap","Small Cap"))</f>
        <v>Small Cap</v>
      </c>
      <c r="P1022" t="str">
        <f>IF(Table1[[#This Row],[NET_TRDQTY]]&gt;1000000,"High Volume","Low Volume")</f>
        <v>Low Volume</v>
      </c>
    </row>
    <row r="1023" spans="1:16" x14ac:dyDescent="0.3">
      <c r="A1023" t="s">
        <v>2051</v>
      </c>
      <c r="B1023" t="s">
        <v>2052</v>
      </c>
      <c r="C1023">
        <v>958.05</v>
      </c>
      <c r="D1023">
        <v>958.05</v>
      </c>
      <c r="E1023">
        <v>877.6</v>
      </c>
      <c r="F1023">
        <v>890.85</v>
      </c>
      <c r="G1023">
        <v>951.35</v>
      </c>
      <c r="H1023">
        <v>465318</v>
      </c>
      <c r="I1023">
        <v>28233</v>
      </c>
      <c r="J1023">
        <v>142000000000</v>
      </c>
      <c r="K1023">
        <v>159272290</v>
      </c>
      <c r="L1023">
        <f>(Table1[[#This Row],[CLOSE_PRICE]] - Table1[[#This Row],[PREV_CL_PR]]) / Table1[[#This Row],[PREV_CL_PR]] * 100</f>
        <v>-6.3593840332159566</v>
      </c>
      <c r="M1023">
        <f>Table1[[#This Row],[HIGH_PRICE]]-Table1[[#This Row],[LOW_PRICE]]</f>
        <v>80.449999999999932</v>
      </c>
      <c r="N1023" t="str">
        <f>IF(Table1[[#This Row],[CLOSE_PRICE]]&gt;Table1[[#This Row],[OPEN_PRICE]],"Gain","Loss")</f>
        <v>Loss</v>
      </c>
      <c r="O1023" t="str">
        <f>IF(Table1[[#This Row],[MARKET_CAP]]&gt;200000000000,"Large Cap",
IF(Table1[[#This Row],[MARKET_CAP]]&gt;50000000000,"Mid Cap","Small Cap"))</f>
        <v>Mid Cap</v>
      </c>
      <c r="P1023" t="str">
        <f>IF(Table1[[#This Row],[NET_TRDQTY]]&gt;1000000,"High Volume","Low Volume")</f>
        <v>Low Volume</v>
      </c>
    </row>
    <row r="1024" spans="1:16" x14ac:dyDescent="0.3">
      <c r="A1024" t="s">
        <v>2053</v>
      </c>
      <c r="B1024" t="s">
        <v>2054</v>
      </c>
      <c r="C1024">
        <v>100.5</v>
      </c>
      <c r="D1024">
        <v>100.5</v>
      </c>
      <c r="E1024">
        <v>96</v>
      </c>
      <c r="F1024">
        <v>97.09</v>
      </c>
      <c r="G1024">
        <v>100.5</v>
      </c>
      <c r="H1024">
        <v>3797</v>
      </c>
      <c r="I1024">
        <v>121</v>
      </c>
      <c r="J1024">
        <v>754763873.20000005</v>
      </c>
      <c r="K1024">
        <v>7773858</v>
      </c>
      <c r="L1024">
        <f>(Table1[[#This Row],[CLOSE_PRICE]] - Table1[[#This Row],[PREV_CL_PR]]) / Table1[[#This Row],[PREV_CL_PR]] * 100</f>
        <v>-3.3930348258706431</v>
      </c>
      <c r="M1024">
        <f>Table1[[#This Row],[HIGH_PRICE]]-Table1[[#This Row],[LOW_PRICE]]</f>
        <v>4.5</v>
      </c>
      <c r="N1024" t="str">
        <f>IF(Table1[[#This Row],[CLOSE_PRICE]]&gt;Table1[[#This Row],[OPEN_PRICE]],"Gain","Loss")</f>
        <v>Loss</v>
      </c>
      <c r="O1024" t="str">
        <f>IF(Table1[[#This Row],[MARKET_CAP]]&gt;200000000000,"Large Cap",
IF(Table1[[#This Row],[MARKET_CAP]]&gt;50000000000,"Mid Cap","Small Cap"))</f>
        <v>Small Cap</v>
      </c>
      <c r="P1024" t="str">
        <f>IF(Table1[[#This Row],[NET_TRDQTY]]&gt;1000000,"High Volume","Low Volume")</f>
        <v>Low Volume</v>
      </c>
    </row>
    <row r="1025" spans="1:16" x14ac:dyDescent="0.3">
      <c r="A1025" t="s">
        <v>2055</v>
      </c>
      <c r="B1025" t="s">
        <v>2056</v>
      </c>
      <c r="C1025">
        <v>100.49</v>
      </c>
      <c r="D1025">
        <v>100.49</v>
      </c>
      <c r="E1025">
        <v>94.85</v>
      </c>
      <c r="F1025">
        <v>95.81</v>
      </c>
      <c r="G1025">
        <v>100.65</v>
      </c>
      <c r="H1025">
        <v>1067909</v>
      </c>
      <c r="I1025">
        <v>12753</v>
      </c>
      <c r="J1025">
        <v>14694007191</v>
      </c>
      <c r="K1025">
        <v>153366112</v>
      </c>
      <c r="L1025">
        <f>(Table1[[#This Row],[CLOSE_PRICE]] - Table1[[#This Row],[PREV_CL_PR]]) / Table1[[#This Row],[PREV_CL_PR]] * 100</f>
        <v>-4.8087431693989107</v>
      </c>
      <c r="M1025">
        <f>Table1[[#This Row],[HIGH_PRICE]]-Table1[[#This Row],[LOW_PRICE]]</f>
        <v>5.6400000000000006</v>
      </c>
      <c r="N1025" t="str">
        <f>IF(Table1[[#This Row],[CLOSE_PRICE]]&gt;Table1[[#This Row],[OPEN_PRICE]],"Gain","Loss")</f>
        <v>Loss</v>
      </c>
      <c r="O1025" t="str">
        <f>IF(Table1[[#This Row],[MARKET_CAP]]&gt;200000000000,"Large Cap",
IF(Table1[[#This Row],[MARKET_CAP]]&gt;50000000000,"Mid Cap","Small Cap"))</f>
        <v>Small Cap</v>
      </c>
      <c r="P1025" t="str">
        <f>IF(Table1[[#This Row],[NET_TRDQTY]]&gt;1000000,"High Volume","Low Volume")</f>
        <v>High Volume</v>
      </c>
    </row>
    <row r="1026" spans="1:16" x14ac:dyDescent="0.3">
      <c r="A1026" t="s">
        <v>2057</v>
      </c>
      <c r="B1026" t="s">
        <v>2058</v>
      </c>
      <c r="C1026">
        <v>295</v>
      </c>
      <c r="D1026">
        <v>296.14999999999998</v>
      </c>
      <c r="E1026">
        <v>281.10000000000002</v>
      </c>
      <c r="F1026">
        <v>282.89999999999998</v>
      </c>
      <c r="G1026">
        <v>296.25</v>
      </c>
      <c r="H1026">
        <v>57774</v>
      </c>
      <c r="I1026">
        <v>2588</v>
      </c>
      <c r="J1026">
        <v>58253068620</v>
      </c>
      <c r="K1026">
        <v>205913993</v>
      </c>
      <c r="L1026">
        <f>(Table1[[#This Row],[CLOSE_PRICE]] - Table1[[#This Row],[PREV_CL_PR]]) / Table1[[#This Row],[PREV_CL_PR]] * 100</f>
        <v>-4.5063291139240587</v>
      </c>
      <c r="M1026">
        <f>Table1[[#This Row],[HIGH_PRICE]]-Table1[[#This Row],[LOW_PRICE]]</f>
        <v>15.049999999999955</v>
      </c>
      <c r="N1026" t="str">
        <f>IF(Table1[[#This Row],[CLOSE_PRICE]]&gt;Table1[[#This Row],[OPEN_PRICE]],"Gain","Loss")</f>
        <v>Loss</v>
      </c>
      <c r="O1026" t="str">
        <f>IF(Table1[[#This Row],[MARKET_CAP]]&gt;200000000000,"Large Cap",
IF(Table1[[#This Row],[MARKET_CAP]]&gt;50000000000,"Mid Cap","Small Cap"))</f>
        <v>Mid Cap</v>
      </c>
      <c r="P1026" t="str">
        <f>IF(Table1[[#This Row],[NET_TRDQTY]]&gt;1000000,"High Volume","Low Volume")</f>
        <v>Low Volume</v>
      </c>
    </row>
    <row r="1027" spans="1:16" x14ac:dyDescent="0.3">
      <c r="A1027" t="s">
        <v>2059</v>
      </c>
      <c r="B1027" t="s">
        <v>2060</v>
      </c>
      <c r="C1027">
        <v>554.54999999999995</v>
      </c>
      <c r="D1027">
        <v>554.54999999999995</v>
      </c>
      <c r="E1027">
        <v>523.6</v>
      </c>
      <c r="F1027">
        <v>533.9</v>
      </c>
      <c r="G1027">
        <v>554.5</v>
      </c>
      <c r="H1027">
        <v>3278</v>
      </c>
      <c r="I1027">
        <v>225</v>
      </c>
      <c r="J1027">
        <v>1942328200</v>
      </c>
      <c r="K1027">
        <v>3638000</v>
      </c>
      <c r="L1027">
        <f>(Table1[[#This Row],[CLOSE_PRICE]] - Table1[[#This Row],[PREV_CL_PR]]) / Table1[[#This Row],[PREV_CL_PR]] * 100</f>
        <v>-3.7150586113615915</v>
      </c>
      <c r="M1027">
        <f>Table1[[#This Row],[HIGH_PRICE]]-Table1[[#This Row],[LOW_PRICE]]</f>
        <v>30.949999999999932</v>
      </c>
      <c r="N1027" t="str">
        <f>IF(Table1[[#This Row],[CLOSE_PRICE]]&gt;Table1[[#This Row],[OPEN_PRICE]],"Gain","Loss")</f>
        <v>Loss</v>
      </c>
      <c r="O1027" t="str">
        <f>IF(Table1[[#This Row],[MARKET_CAP]]&gt;200000000000,"Large Cap",
IF(Table1[[#This Row],[MARKET_CAP]]&gt;50000000000,"Mid Cap","Small Cap"))</f>
        <v>Small Cap</v>
      </c>
      <c r="P1027" t="str">
        <f>IF(Table1[[#This Row],[NET_TRDQTY]]&gt;1000000,"High Volume","Low Volume")</f>
        <v>Low Volume</v>
      </c>
    </row>
    <row r="1028" spans="1:16" x14ac:dyDescent="0.3">
      <c r="A1028" t="s">
        <v>2061</v>
      </c>
      <c r="B1028" t="s">
        <v>2062</v>
      </c>
      <c r="C1028">
        <v>378.7</v>
      </c>
      <c r="D1028">
        <v>378.7</v>
      </c>
      <c r="E1028">
        <v>361.1</v>
      </c>
      <c r="F1028">
        <v>362.7</v>
      </c>
      <c r="G1028">
        <v>382.7</v>
      </c>
      <c r="H1028">
        <v>3830721</v>
      </c>
      <c r="I1028">
        <v>53945</v>
      </c>
      <c r="J1028">
        <v>375000000000</v>
      </c>
      <c r="K1028">
        <v>1032662662</v>
      </c>
      <c r="L1028">
        <f>(Table1[[#This Row],[CLOSE_PRICE]] - Table1[[#This Row],[PREV_CL_PR]]) / Table1[[#This Row],[PREV_CL_PR]] * 100</f>
        <v>-5.226025607525477</v>
      </c>
      <c r="M1028">
        <f>Table1[[#This Row],[HIGH_PRICE]]-Table1[[#This Row],[LOW_PRICE]]</f>
        <v>17.599999999999966</v>
      </c>
      <c r="N1028" t="str">
        <f>IF(Table1[[#This Row],[CLOSE_PRICE]]&gt;Table1[[#This Row],[OPEN_PRICE]],"Gain","Loss")</f>
        <v>Loss</v>
      </c>
      <c r="O1028" t="str">
        <f>IF(Table1[[#This Row],[MARKET_CAP]]&gt;200000000000,"Large Cap",
IF(Table1[[#This Row],[MARKET_CAP]]&gt;50000000000,"Mid Cap","Small Cap"))</f>
        <v>Large Cap</v>
      </c>
      <c r="P1028" t="str">
        <f>IF(Table1[[#This Row],[NET_TRDQTY]]&gt;1000000,"High Volume","Low Volume")</f>
        <v>High Volume</v>
      </c>
    </row>
    <row r="1029" spans="1:16" x14ac:dyDescent="0.3">
      <c r="A1029" t="s">
        <v>2063</v>
      </c>
      <c r="B1029" t="s">
        <v>2064</v>
      </c>
      <c r="C1029">
        <v>179.37</v>
      </c>
      <c r="D1029">
        <v>179.37</v>
      </c>
      <c r="E1029">
        <v>160.94999999999999</v>
      </c>
      <c r="F1029">
        <v>162.57</v>
      </c>
      <c r="G1029">
        <v>182.56</v>
      </c>
      <c r="H1029">
        <v>116506</v>
      </c>
      <c r="I1029">
        <v>3435</v>
      </c>
      <c r="J1029">
        <v>4792575305</v>
      </c>
      <c r="K1029">
        <v>29480072</v>
      </c>
      <c r="L1029">
        <f>(Table1[[#This Row],[CLOSE_PRICE]] - Table1[[#This Row],[PREV_CL_PR]]) / Table1[[#This Row],[PREV_CL_PR]] * 100</f>
        <v>-10.949824715162142</v>
      </c>
      <c r="M1029">
        <f>Table1[[#This Row],[HIGH_PRICE]]-Table1[[#This Row],[LOW_PRICE]]</f>
        <v>18.420000000000016</v>
      </c>
      <c r="N1029" t="str">
        <f>IF(Table1[[#This Row],[CLOSE_PRICE]]&gt;Table1[[#This Row],[OPEN_PRICE]],"Gain","Loss")</f>
        <v>Loss</v>
      </c>
      <c r="O1029" t="str">
        <f>IF(Table1[[#This Row],[MARKET_CAP]]&gt;200000000000,"Large Cap",
IF(Table1[[#This Row],[MARKET_CAP]]&gt;50000000000,"Mid Cap","Small Cap"))</f>
        <v>Small Cap</v>
      </c>
      <c r="P1029" t="str">
        <f>IF(Table1[[#This Row],[NET_TRDQTY]]&gt;1000000,"High Volume","Low Volume")</f>
        <v>Low Volume</v>
      </c>
    </row>
    <row r="1030" spans="1:16" x14ac:dyDescent="0.3">
      <c r="A1030" t="s">
        <v>2065</v>
      </c>
      <c r="B1030" t="s">
        <v>2066</v>
      </c>
      <c r="C1030">
        <v>21.01</v>
      </c>
      <c r="D1030">
        <v>21.02</v>
      </c>
      <c r="E1030">
        <v>19.059999999999999</v>
      </c>
      <c r="F1030">
        <v>19.260000000000002</v>
      </c>
      <c r="G1030">
        <v>21.12</v>
      </c>
      <c r="H1030">
        <v>2711634</v>
      </c>
      <c r="I1030">
        <v>4911</v>
      </c>
      <c r="J1030">
        <v>5429066580</v>
      </c>
      <c r="K1030">
        <v>281883000</v>
      </c>
      <c r="L1030">
        <f>(Table1[[#This Row],[CLOSE_PRICE]] - Table1[[#This Row],[PREV_CL_PR]]) / Table1[[#This Row],[PREV_CL_PR]] * 100</f>
        <v>-8.8068181818181781</v>
      </c>
      <c r="M1030">
        <f>Table1[[#This Row],[HIGH_PRICE]]-Table1[[#This Row],[LOW_PRICE]]</f>
        <v>1.9600000000000009</v>
      </c>
      <c r="N1030" t="str">
        <f>IF(Table1[[#This Row],[CLOSE_PRICE]]&gt;Table1[[#This Row],[OPEN_PRICE]],"Gain","Loss")</f>
        <v>Loss</v>
      </c>
      <c r="O1030" t="str">
        <f>IF(Table1[[#This Row],[MARKET_CAP]]&gt;200000000000,"Large Cap",
IF(Table1[[#This Row],[MARKET_CAP]]&gt;50000000000,"Mid Cap","Small Cap"))</f>
        <v>Small Cap</v>
      </c>
      <c r="P1030" t="str">
        <f>IF(Table1[[#This Row],[NET_TRDQTY]]&gt;1000000,"High Volume","Low Volume")</f>
        <v>High Volume</v>
      </c>
    </row>
    <row r="1031" spans="1:16" x14ac:dyDescent="0.3">
      <c r="A1031" t="s">
        <v>2067</v>
      </c>
      <c r="B1031" t="s">
        <v>2068</v>
      </c>
      <c r="C1031">
        <v>4.16</v>
      </c>
      <c r="D1031">
        <v>4.26</v>
      </c>
      <c r="E1031">
        <v>3.97</v>
      </c>
      <c r="F1031">
        <v>4.13</v>
      </c>
      <c r="G1031">
        <v>4.29</v>
      </c>
      <c r="H1031">
        <v>585911</v>
      </c>
      <c r="I1031">
        <v>1225</v>
      </c>
      <c r="J1031">
        <v>1298286150</v>
      </c>
      <c r="K1031">
        <v>314355000</v>
      </c>
      <c r="L1031">
        <f>(Table1[[#This Row],[CLOSE_PRICE]] - Table1[[#This Row],[PREV_CL_PR]]) / Table1[[#This Row],[PREV_CL_PR]] * 100</f>
        <v>-3.729603729603733</v>
      </c>
      <c r="M1031">
        <f>Table1[[#This Row],[HIGH_PRICE]]-Table1[[#This Row],[LOW_PRICE]]</f>
        <v>0.28999999999999959</v>
      </c>
      <c r="N1031" t="str">
        <f>IF(Table1[[#This Row],[CLOSE_PRICE]]&gt;Table1[[#This Row],[OPEN_PRICE]],"Gain","Loss")</f>
        <v>Loss</v>
      </c>
      <c r="O1031" t="str">
        <f>IF(Table1[[#This Row],[MARKET_CAP]]&gt;200000000000,"Large Cap",
IF(Table1[[#This Row],[MARKET_CAP]]&gt;50000000000,"Mid Cap","Small Cap"))</f>
        <v>Small Cap</v>
      </c>
      <c r="P1031" t="str">
        <f>IF(Table1[[#This Row],[NET_TRDQTY]]&gt;1000000,"High Volume","Low Volume")</f>
        <v>Low Volume</v>
      </c>
    </row>
    <row r="1032" spans="1:16" x14ac:dyDescent="0.3">
      <c r="A1032" t="s">
        <v>2069</v>
      </c>
      <c r="B1032" t="s">
        <v>2070</v>
      </c>
      <c r="C1032">
        <v>1.37</v>
      </c>
      <c r="D1032">
        <v>1.37</v>
      </c>
      <c r="E1032">
        <v>1.17</v>
      </c>
      <c r="F1032">
        <v>1.28</v>
      </c>
      <c r="G1032">
        <v>1.35</v>
      </c>
      <c r="H1032">
        <v>213347</v>
      </c>
      <c r="I1032">
        <v>499</v>
      </c>
      <c r="J1032">
        <v>253271040</v>
      </c>
      <c r="K1032">
        <v>197868000</v>
      </c>
      <c r="L1032">
        <f>(Table1[[#This Row],[CLOSE_PRICE]] - Table1[[#This Row],[PREV_CL_PR]]) / Table1[[#This Row],[PREV_CL_PR]] * 100</f>
        <v>-5.1851851851851896</v>
      </c>
      <c r="M1032">
        <f>Table1[[#This Row],[HIGH_PRICE]]-Table1[[#This Row],[LOW_PRICE]]</f>
        <v>0.20000000000000018</v>
      </c>
      <c r="N1032" t="str">
        <f>IF(Table1[[#This Row],[CLOSE_PRICE]]&gt;Table1[[#This Row],[OPEN_PRICE]],"Gain","Loss")</f>
        <v>Loss</v>
      </c>
      <c r="O1032" t="str">
        <f>IF(Table1[[#This Row],[MARKET_CAP]]&gt;200000000000,"Large Cap",
IF(Table1[[#This Row],[MARKET_CAP]]&gt;50000000000,"Mid Cap","Small Cap"))</f>
        <v>Small Cap</v>
      </c>
      <c r="P1032" t="str">
        <f>IF(Table1[[#This Row],[NET_TRDQTY]]&gt;1000000,"High Volume","Low Volume")</f>
        <v>Low Volume</v>
      </c>
    </row>
    <row r="1033" spans="1:16" x14ac:dyDescent="0.3">
      <c r="A1033" t="s">
        <v>2071</v>
      </c>
      <c r="B1033" t="s">
        <v>2072</v>
      </c>
      <c r="C1033">
        <v>62.96</v>
      </c>
      <c r="D1033">
        <v>62.96</v>
      </c>
      <c r="E1033">
        <v>58.26</v>
      </c>
      <c r="F1033">
        <v>59.4</v>
      </c>
      <c r="G1033">
        <v>62.98</v>
      </c>
      <c r="H1033">
        <v>80669</v>
      </c>
      <c r="I1033">
        <v>236</v>
      </c>
      <c r="J1033">
        <v>2595383980</v>
      </c>
      <c r="K1033">
        <v>43693333</v>
      </c>
      <c r="L1033">
        <f>(Table1[[#This Row],[CLOSE_PRICE]] - Table1[[#This Row],[PREV_CL_PR]]) / Table1[[#This Row],[PREV_CL_PR]] * 100</f>
        <v>-5.6843442362654786</v>
      </c>
      <c r="M1033">
        <f>Table1[[#This Row],[HIGH_PRICE]]-Table1[[#This Row],[LOW_PRICE]]</f>
        <v>4.7000000000000028</v>
      </c>
      <c r="N1033" t="str">
        <f>IF(Table1[[#This Row],[CLOSE_PRICE]]&gt;Table1[[#This Row],[OPEN_PRICE]],"Gain","Loss")</f>
        <v>Loss</v>
      </c>
      <c r="O1033" t="str">
        <f>IF(Table1[[#This Row],[MARKET_CAP]]&gt;200000000000,"Large Cap",
IF(Table1[[#This Row],[MARKET_CAP]]&gt;50000000000,"Mid Cap","Small Cap"))</f>
        <v>Small Cap</v>
      </c>
      <c r="P1033" t="str">
        <f>IF(Table1[[#This Row],[NET_TRDQTY]]&gt;1000000,"High Volume","Low Volume")</f>
        <v>Low Volume</v>
      </c>
    </row>
    <row r="1034" spans="1:16" x14ac:dyDescent="0.3">
      <c r="A1034" t="s">
        <v>2073</v>
      </c>
      <c r="B1034" t="s">
        <v>2074</v>
      </c>
      <c r="C1034">
        <v>179</v>
      </c>
      <c r="D1034">
        <v>179</v>
      </c>
      <c r="E1034">
        <v>151.25</v>
      </c>
      <c r="F1034">
        <v>157.83000000000001</v>
      </c>
      <c r="G1034">
        <v>178.57</v>
      </c>
      <c r="H1034">
        <v>30511</v>
      </c>
      <c r="I1034">
        <v>1216</v>
      </c>
      <c r="J1034">
        <v>3665879215</v>
      </c>
      <c r="K1034">
        <v>23226758</v>
      </c>
      <c r="L1034">
        <f>(Table1[[#This Row],[CLOSE_PRICE]] - Table1[[#This Row],[PREV_CL_PR]]) / Table1[[#This Row],[PREV_CL_PR]] * 100</f>
        <v>-11.614492915943316</v>
      </c>
      <c r="M1034">
        <f>Table1[[#This Row],[HIGH_PRICE]]-Table1[[#This Row],[LOW_PRICE]]</f>
        <v>27.75</v>
      </c>
      <c r="N1034" t="str">
        <f>IF(Table1[[#This Row],[CLOSE_PRICE]]&gt;Table1[[#This Row],[OPEN_PRICE]],"Gain","Loss")</f>
        <v>Loss</v>
      </c>
      <c r="O1034" t="str">
        <f>IF(Table1[[#This Row],[MARKET_CAP]]&gt;200000000000,"Large Cap",
IF(Table1[[#This Row],[MARKET_CAP]]&gt;50000000000,"Mid Cap","Small Cap"))</f>
        <v>Small Cap</v>
      </c>
      <c r="P1034" t="str">
        <f>IF(Table1[[#This Row],[NET_TRDQTY]]&gt;1000000,"High Volume","Low Volume")</f>
        <v>Low Volume</v>
      </c>
    </row>
    <row r="1035" spans="1:16" x14ac:dyDescent="0.3">
      <c r="A1035" t="s">
        <v>2075</v>
      </c>
      <c r="B1035" t="s">
        <v>2076</v>
      </c>
      <c r="C1035">
        <v>166</v>
      </c>
      <c r="D1035">
        <v>166</v>
      </c>
      <c r="E1035">
        <v>157.91</v>
      </c>
      <c r="F1035">
        <v>159.07</v>
      </c>
      <c r="G1035">
        <v>166.77</v>
      </c>
      <c r="H1035">
        <v>414532</v>
      </c>
      <c r="I1035">
        <v>15554</v>
      </c>
      <c r="J1035">
        <v>129000000000</v>
      </c>
      <c r="K1035">
        <v>808520964</v>
      </c>
      <c r="L1035">
        <f>(Table1[[#This Row],[CLOSE_PRICE]] - Table1[[#This Row],[PREV_CL_PR]]) / Table1[[#This Row],[PREV_CL_PR]] * 100</f>
        <v>-4.6171373748276165</v>
      </c>
      <c r="M1035">
        <f>Table1[[#This Row],[HIGH_PRICE]]-Table1[[#This Row],[LOW_PRICE]]</f>
        <v>8.0900000000000034</v>
      </c>
      <c r="N1035" t="str">
        <f>IF(Table1[[#This Row],[CLOSE_PRICE]]&gt;Table1[[#This Row],[OPEN_PRICE]],"Gain","Loss")</f>
        <v>Loss</v>
      </c>
      <c r="O1035" t="str">
        <f>IF(Table1[[#This Row],[MARKET_CAP]]&gt;200000000000,"Large Cap",
IF(Table1[[#This Row],[MARKET_CAP]]&gt;50000000000,"Mid Cap","Small Cap"))</f>
        <v>Mid Cap</v>
      </c>
      <c r="P1035" t="str">
        <f>IF(Table1[[#This Row],[NET_TRDQTY]]&gt;1000000,"High Volume","Low Volume")</f>
        <v>Low Volume</v>
      </c>
    </row>
    <row r="1036" spans="1:16" x14ac:dyDescent="0.3">
      <c r="A1036" t="s">
        <v>2077</v>
      </c>
      <c r="B1036" t="s">
        <v>2078</v>
      </c>
      <c r="C1036">
        <v>37.15</v>
      </c>
      <c r="D1036">
        <v>38.18</v>
      </c>
      <c r="E1036">
        <v>37.020000000000003</v>
      </c>
      <c r="F1036">
        <v>37.65</v>
      </c>
      <c r="G1036">
        <v>38.96</v>
      </c>
      <c r="H1036">
        <v>4225</v>
      </c>
      <c r="I1036">
        <v>55</v>
      </c>
      <c r="J1036">
        <v>435607412.69999999</v>
      </c>
      <c r="K1036">
        <v>11569918</v>
      </c>
      <c r="L1036">
        <f>(Table1[[#This Row],[CLOSE_PRICE]] - Table1[[#This Row],[PREV_CL_PR]]) / Table1[[#This Row],[PREV_CL_PR]] * 100</f>
        <v>-3.3624229979466174</v>
      </c>
      <c r="M1036">
        <f>Table1[[#This Row],[HIGH_PRICE]]-Table1[[#This Row],[LOW_PRICE]]</f>
        <v>1.1599999999999966</v>
      </c>
      <c r="N1036" t="str">
        <f>IF(Table1[[#This Row],[CLOSE_PRICE]]&gt;Table1[[#This Row],[OPEN_PRICE]],"Gain","Loss")</f>
        <v>Gain</v>
      </c>
      <c r="O1036" t="str">
        <f>IF(Table1[[#This Row],[MARKET_CAP]]&gt;200000000000,"Large Cap",
IF(Table1[[#This Row],[MARKET_CAP]]&gt;50000000000,"Mid Cap","Small Cap"))</f>
        <v>Small Cap</v>
      </c>
      <c r="P1036" t="str">
        <f>IF(Table1[[#This Row],[NET_TRDQTY]]&gt;1000000,"High Volume","Low Volume")</f>
        <v>Low Volume</v>
      </c>
    </row>
    <row r="1037" spans="1:16" x14ac:dyDescent="0.3">
      <c r="A1037" t="s">
        <v>2079</v>
      </c>
      <c r="B1037" t="s">
        <v>2080</v>
      </c>
      <c r="C1037">
        <v>259</v>
      </c>
      <c r="D1037">
        <v>263.5</v>
      </c>
      <c r="E1037">
        <v>255.55</v>
      </c>
      <c r="F1037">
        <v>261.14999999999998</v>
      </c>
      <c r="G1037">
        <v>263.89999999999998</v>
      </c>
      <c r="H1037">
        <v>3652466</v>
      </c>
      <c r="I1037">
        <v>77799</v>
      </c>
      <c r="J1037">
        <v>252000000000</v>
      </c>
      <c r="K1037">
        <v>966470328</v>
      </c>
      <c r="L1037">
        <f>(Table1[[#This Row],[CLOSE_PRICE]] - Table1[[#This Row],[PREV_CL_PR]]) / Table1[[#This Row],[PREV_CL_PR]] * 100</f>
        <v>-1.0420613868889732</v>
      </c>
      <c r="M1037">
        <f>Table1[[#This Row],[HIGH_PRICE]]-Table1[[#This Row],[LOW_PRICE]]</f>
        <v>7.9499999999999886</v>
      </c>
      <c r="N1037" t="str">
        <f>IF(Table1[[#This Row],[CLOSE_PRICE]]&gt;Table1[[#This Row],[OPEN_PRICE]],"Gain","Loss")</f>
        <v>Gain</v>
      </c>
      <c r="O1037" t="str">
        <f>IF(Table1[[#This Row],[MARKET_CAP]]&gt;200000000000,"Large Cap",
IF(Table1[[#This Row],[MARKET_CAP]]&gt;50000000000,"Mid Cap","Small Cap"))</f>
        <v>Large Cap</v>
      </c>
      <c r="P1037" t="str">
        <f>IF(Table1[[#This Row],[NET_TRDQTY]]&gt;1000000,"High Volume","Low Volume")</f>
        <v>High Volume</v>
      </c>
    </row>
    <row r="1038" spans="1:16" x14ac:dyDescent="0.3">
      <c r="A1038" t="s">
        <v>2081</v>
      </c>
      <c r="B1038" t="s">
        <v>2082</v>
      </c>
      <c r="C1038">
        <v>788.05</v>
      </c>
      <c r="D1038">
        <v>790</v>
      </c>
      <c r="E1038">
        <v>756</v>
      </c>
      <c r="F1038">
        <v>773.2</v>
      </c>
      <c r="G1038">
        <v>767.95</v>
      </c>
      <c r="H1038">
        <v>276</v>
      </c>
      <c r="I1038">
        <v>70</v>
      </c>
      <c r="J1038">
        <v>267763799.19999999</v>
      </c>
      <c r="K1038">
        <v>346306</v>
      </c>
      <c r="L1038">
        <f>(Table1[[#This Row],[CLOSE_PRICE]] - Table1[[#This Row],[PREV_CL_PR]]) / Table1[[#This Row],[PREV_CL_PR]] * 100</f>
        <v>0.68363825769906894</v>
      </c>
      <c r="M1038">
        <f>Table1[[#This Row],[HIGH_PRICE]]-Table1[[#This Row],[LOW_PRICE]]</f>
        <v>34</v>
      </c>
      <c r="N1038" t="str">
        <f>IF(Table1[[#This Row],[CLOSE_PRICE]]&gt;Table1[[#This Row],[OPEN_PRICE]],"Gain","Loss")</f>
        <v>Loss</v>
      </c>
      <c r="O1038" t="str">
        <f>IF(Table1[[#This Row],[MARKET_CAP]]&gt;200000000000,"Large Cap",
IF(Table1[[#This Row],[MARKET_CAP]]&gt;50000000000,"Mid Cap","Small Cap"))</f>
        <v>Small Cap</v>
      </c>
      <c r="P1038" t="str">
        <f>IF(Table1[[#This Row],[NET_TRDQTY]]&gt;1000000,"High Volume","Low Volume")</f>
        <v>Low Volume</v>
      </c>
    </row>
    <row r="1039" spans="1:16" x14ac:dyDescent="0.3">
      <c r="A1039" t="s">
        <v>2083</v>
      </c>
      <c r="B1039" t="s">
        <v>2084</v>
      </c>
      <c r="C1039">
        <v>283.5</v>
      </c>
      <c r="D1039">
        <v>283.5</v>
      </c>
      <c r="E1039">
        <v>248.35</v>
      </c>
      <c r="F1039">
        <v>252.25</v>
      </c>
      <c r="G1039">
        <v>282.95</v>
      </c>
      <c r="H1039">
        <v>66946</v>
      </c>
      <c r="I1039">
        <v>3306</v>
      </c>
      <c r="J1039">
        <v>3831074370</v>
      </c>
      <c r="K1039">
        <v>15187609</v>
      </c>
      <c r="L1039">
        <f>(Table1[[#This Row],[CLOSE_PRICE]] - Table1[[#This Row],[PREV_CL_PR]]) / Table1[[#This Row],[PREV_CL_PR]] * 100</f>
        <v>-10.849973493550094</v>
      </c>
      <c r="M1039">
        <f>Table1[[#This Row],[HIGH_PRICE]]-Table1[[#This Row],[LOW_PRICE]]</f>
        <v>35.150000000000006</v>
      </c>
      <c r="N1039" t="str">
        <f>IF(Table1[[#This Row],[CLOSE_PRICE]]&gt;Table1[[#This Row],[OPEN_PRICE]],"Gain","Loss")</f>
        <v>Loss</v>
      </c>
      <c r="O1039" t="str">
        <f>IF(Table1[[#This Row],[MARKET_CAP]]&gt;200000000000,"Large Cap",
IF(Table1[[#This Row],[MARKET_CAP]]&gt;50000000000,"Mid Cap","Small Cap"))</f>
        <v>Small Cap</v>
      </c>
      <c r="P1039" t="str">
        <f>IF(Table1[[#This Row],[NET_TRDQTY]]&gt;1000000,"High Volume","Low Volume")</f>
        <v>Low Volume</v>
      </c>
    </row>
    <row r="1040" spans="1:16" x14ac:dyDescent="0.3">
      <c r="A1040" t="s">
        <v>2085</v>
      </c>
      <c r="B1040" t="s">
        <v>2086</v>
      </c>
      <c r="C1040">
        <v>3550</v>
      </c>
      <c r="D1040">
        <v>3596</v>
      </c>
      <c r="E1040">
        <v>3347</v>
      </c>
      <c r="F1040">
        <v>3409.7</v>
      </c>
      <c r="G1040">
        <v>3620.6</v>
      </c>
      <c r="H1040">
        <v>1495670</v>
      </c>
      <c r="I1040">
        <v>94655</v>
      </c>
      <c r="J1040">
        <v>229000000000</v>
      </c>
      <c r="K1040">
        <v>67034654</v>
      </c>
      <c r="L1040">
        <f>(Table1[[#This Row],[CLOSE_PRICE]] - Table1[[#This Row],[PREV_CL_PR]]) / Table1[[#This Row],[PREV_CL_PR]] * 100</f>
        <v>-5.8250013809865795</v>
      </c>
      <c r="M1040">
        <f>Table1[[#This Row],[HIGH_PRICE]]-Table1[[#This Row],[LOW_PRICE]]</f>
        <v>249</v>
      </c>
      <c r="N1040" t="str">
        <f>IF(Table1[[#This Row],[CLOSE_PRICE]]&gt;Table1[[#This Row],[OPEN_PRICE]],"Gain","Loss")</f>
        <v>Loss</v>
      </c>
      <c r="O1040" t="str">
        <f>IF(Table1[[#This Row],[MARKET_CAP]]&gt;200000000000,"Large Cap",
IF(Table1[[#This Row],[MARKET_CAP]]&gt;50000000000,"Mid Cap","Small Cap"))</f>
        <v>Large Cap</v>
      </c>
      <c r="P1040" t="str">
        <f>IF(Table1[[#This Row],[NET_TRDQTY]]&gt;1000000,"High Volume","Low Volume")</f>
        <v>High Volume</v>
      </c>
    </row>
    <row r="1041" spans="1:16" x14ac:dyDescent="0.3">
      <c r="A1041" t="s">
        <v>2087</v>
      </c>
      <c r="B1041" t="s">
        <v>2088</v>
      </c>
      <c r="C1041">
        <v>135.12</v>
      </c>
      <c r="D1041">
        <v>136</v>
      </c>
      <c r="E1041">
        <v>127</v>
      </c>
      <c r="F1041">
        <v>128.19999999999999</v>
      </c>
      <c r="G1041">
        <v>137.5</v>
      </c>
      <c r="H1041">
        <v>322907</v>
      </c>
      <c r="I1041">
        <v>4196</v>
      </c>
      <c r="J1041">
        <v>16527692712</v>
      </c>
      <c r="K1041">
        <v>128921160</v>
      </c>
      <c r="L1041">
        <f>(Table1[[#This Row],[CLOSE_PRICE]] - Table1[[#This Row],[PREV_CL_PR]]) / Table1[[#This Row],[PREV_CL_PR]] * 100</f>
        <v>-6.7636363636363717</v>
      </c>
      <c r="M1041">
        <f>Table1[[#This Row],[HIGH_PRICE]]-Table1[[#This Row],[LOW_PRICE]]</f>
        <v>9</v>
      </c>
      <c r="N1041" t="str">
        <f>IF(Table1[[#This Row],[CLOSE_PRICE]]&gt;Table1[[#This Row],[OPEN_PRICE]],"Gain","Loss")</f>
        <v>Loss</v>
      </c>
      <c r="O1041" t="str">
        <f>IF(Table1[[#This Row],[MARKET_CAP]]&gt;200000000000,"Large Cap",
IF(Table1[[#This Row],[MARKET_CAP]]&gt;50000000000,"Mid Cap","Small Cap"))</f>
        <v>Small Cap</v>
      </c>
      <c r="P1041" t="str">
        <f>IF(Table1[[#This Row],[NET_TRDQTY]]&gt;1000000,"High Volume","Low Volume")</f>
        <v>Low Volume</v>
      </c>
    </row>
    <row r="1042" spans="1:16" x14ac:dyDescent="0.3">
      <c r="A1042" t="s">
        <v>2089</v>
      </c>
      <c r="B1042" t="s">
        <v>2090</v>
      </c>
      <c r="C1042">
        <v>24.15</v>
      </c>
      <c r="D1042">
        <v>24.15</v>
      </c>
      <c r="E1042">
        <v>22.7</v>
      </c>
      <c r="F1042">
        <v>23.01</v>
      </c>
      <c r="G1042">
        <v>23.82</v>
      </c>
      <c r="H1042">
        <v>212036</v>
      </c>
      <c r="I1042">
        <v>1129</v>
      </c>
      <c r="J1042">
        <v>2608990001</v>
      </c>
      <c r="K1042">
        <v>113385050</v>
      </c>
      <c r="L1042">
        <f>(Table1[[#This Row],[CLOSE_PRICE]] - Table1[[#This Row],[PREV_CL_PR]]) / Table1[[#This Row],[PREV_CL_PR]] * 100</f>
        <v>-3.400503778337526</v>
      </c>
      <c r="M1042">
        <f>Table1[[#This Row],[HIGH_PRICE]]-Table1[[#This Row],[LOW_PRICE]]</f>
        <v>1.4499999999999993</v>
      </c>
      <c r="N1042" t="str">
        <f>IF(Table1[[#This Row],[CLOSE_PRICE]]&gt;Table1[[#This Row],[OPEN_PRICE]],"Gain","Loss")</f>
        <v>Loss</v>
      </c>
      <c r="O1042" t="str">
        <f>IF(Table1[[#This Row],[MARKET_CAP]]&gt;200000000000,"Large Cap",
IF(Table1[[#This Row],[MARKET_CAP]]&gt;50000000000,"Mid Cap","Small Cap"))</f>
        <v>Small Cap</v>
      </c>
      <c r="P1042" t="str">
        <f>IF(Table1[[#This Row],[NET_TRDQTY]]&gt;1000000,"High Volume","Low Volume")</f>
        <v>Low Volume</v>
      </c>
    </row>
    <row r="1043" spans="1:16" x14ac:dyDescent="0.3">
      <c r="A1043" t="s">
        <v>2091</v>
      </c>
      <c r="B1043" t="s">
        <v>2092</v>
      </c>
      <c r="C1043">
        <v>2155</v>
      </c>
      <c r="D1043">
        <v>2173</v>
      </c>
      <c r="E1043">
        <v>2079.3000000000002</v>
      </c>
      <c r="F1043">
        <v>2102.5</v>
      </c>
      <c r="G1043">
        <v>2195.4</v>
      </c>
      <c r="H1043">
        <v>23868</v>
      </c>
      <c r="I1043">
        <v>2811</v>
      </c>
      <c r="J1043">
        <v>25859236200</v>
      </c>
      <c r="K1043">
        <v>12299280</v>
      </c>
      <c r="L1043">
        <f>(Table1[[#This Row],[CLOSE_PRICE]] - Table1[[#This Row],[PREV_CL_PR]]) / Table1[[#This Row],[PREV_CL_PR]] * 100</f>
        <v>-4.2315751115969791</v>
      </c>
      <c r="M1043">
        <f>Table1[[#This Row],[HIGH_PRICE]]-Table1[[#This Row],[LOW_PRICE]]</f>
        <v>93.699999999999818</v>
      </c>
      <c r="N1043" t="str">
        <f>IF(Table1[[#This Row],[CLOSE_PRICE]]&gt;Table1[[#This Row],[OPEN_PRICE]],"Gain","Loss")</f>
        <v>Loss</v>
      </c>
      <c r="O1043" t="str">
        <f>IF(Table1[[#This Row],[MARKET_CAP]]&gt;200000000000,"Large Cap",
IF(Table1[[#This Row],[MARKET_CAP]]&gt;50000000000,"Mid Cap","Small Cap"))</f>
        <v>Small Cap</v>
      </c>
      <c r="P1043" t="str">
        <f>IF(Table1[[#This Row],[NET_TRDQTY]]&gt;1000000,"High Volume","Low Volume")</f>
        <v>Low Volume</v>
      </c>
    </row>
    <row r="1044" spans="1:16" x14ac:dyDescent="0.3">
      <c r="A1044" t="s">
        <v>2093</v>
      </c>
      <c r="B1044" t="s">
        <v>2094</v>
      </c>
      <c r="C1044">
        <v>540</v>
      </c>
      <c r="D1044">
        <v>540.29999999999995</v>
      </c>
      <c r="E1044">
        <v>511.9</v>
      </c>
      <c r="F1044">
        <v>514.85</v>
      </c>
      <c r="G1044">
        <v>546.1</v>
      </c>
      <c r="H1044">
        <v>506074</v>
      </c>
      <c r="I1044">
        <v>20575</v>
      </c>
      <c r="J1044">
        <v>137000000000</v>
      </c>
      <c r="K1044">
        <v>266200000</v>
      </c>
      <c r="L1044">
        <f>(Table1[[#This Row],[CLOSE_PRICE]] - Table1[[#This Row],[PREV_CL_PR]]) / Table1[[#This Row],[PREV_CL_PR]] * 100</f>
        <v>-5.7223951657205641</v>
      </c>
      <c r="M1044">
        <f>Table1[[#This Row],[HIGH_PRICE]]-Table1[[#This Row],[LOW_PRICE]]</f>
        <v>28.399999999999977</v>
      </c>
      <c r="N1044" t="str">
        <f>IF(Table1[[#This Row],[CLOSE_PRICE]]&gt;Table1[[#This Row],[OPEN_PRICE]],"Gain","Loss")</f>
        <v>Loss</v>
      </c>
      <c r="O1044" t="str">
        <f>IF(Table1[[#This Row],[MARKET_CAP]]&gt;200000000000,"Large Cap",
IF(Table1[[#This Row],[MARKET_CAP]]&gt;50000000000,"Mid Cap","Small Cap"))</f>
        <v>Mid Cap</v>
      </c>
      <c r="P1044" t="str">
        <f>IF(Table1[[#This Row],[NET_TRDQTY]]&gt;1000000,"High Volume","Low Volume")</f>
        <v>Low Volume</v>
      </c>
    </row>
    <row r="1045" spans="1:16" x14ac:dyDescent="0.3">
      <c r="A1045" t="s">
        <v>2095</v>
      </c>
      <c r="B1045" t="s">
        <v>2096</v>
      </c>
      <c r="C1045">
        <v>81.89</v>
      </c>
      <c r="D1045">
        <v>86.8</v>
      </c>
      <c r="E1045">
        <v>79.959999999999994</v>
      </c>
      <c r="F1045">
        <v>83.17</v>
      </c>
      <c r="G1045">
        <v>83.35</v>
      </c>
      <c r="H1045">
        <v>494576</v>
      </c>
      <c r="I1045">
        <v>4701</v>
      </c>
      <c r="J1045">
        <v>5523658285</v>
      </c>
      <c r="K1045">
        <v>66414071</v>
      </c>
      <c r="L1045">
        <f>(Table1[[#This Row],[CLOSE_PRICE]] - Table1[[#This Row],[PREV_CL_PR]]) / Table1[[#This Row],[PREV_CL_PR]] * 100</f>
        <v>-0.21595680863826353</v>
      </c>
      <c r="M1045">
        <f>Table1[[#This Row],[HIGH_PRICE]]-Table1[[#This Row],[LOW_PRICE]]</f>
        <v>6.8400000000000034</v>
      </c>
      <c r="N1045" t="str">
        <f>IF(Table1[[#This Row],[CLOSE_PRICE]]&gt;Table1[[#This Row],[OPEN_PRICE]],"Gain","Loss")</f>
        <v>Gain</v>
      </c>
      <c r="O1045" t="str">
        <f>IF(Table1[[#This Row],[MARKET_CAP]]&gt;200000000000,"Large Cap",
IF(Table1[[#This Row],[MARKET_CAP]]&gt;50000000000,"Mid Cap","Small Cap"))</f>
        <v>Small Cap</v>
      </c>
      <c r="P1045" t="str">
        <f>IF(Table1[[#This Row],[NET_TRDQTY]]&gt;1000000,"High Volume","Low Volume")</f>
        <v>Low Volume</v>
      </c>
    </row>
    <row r="1046" spans="1:16" x14ac:dyDescent="0.3">
      <c r="A1046" t="s">
        <v>2097</v>
      </c>
      <c r="B1046" t="s">
        <v>2098</v>
      </c>
      <c r="C1046">
        <v>1.86</v>
      </c>
      <c r="D1046">
        <v>1.86</v>
      </c>
      <c r="E1046">
        <v>1.69</v>
      </c>
      <c r="F1046">
        <v>1.73</v>
      </c>
      <c r="G1046">
        <v>1.82</v>
      </c>
      <c r="H1046">
        <v>32015</v>
      </c>
      <c r="I1046">
        <v>151</v>
      </c>
      <c r="J1046">
        <v>269381903.60000002</v>
      </c>
      <c r="K1046">
        <v>155712083</v>
      </c>
      <c r="L1046">
        <f>(Table1[[#This Row],[CLOSE_PRICE]] - Table1[[#This Row],[PREV_CL_PR]]) / Table1[[#This Row],[PREV_CL_PR]] * 100</f>
        <v>-4.9450549450549488</v>
      </c>
      <c r="M1046">
        <f>Table1[[#This Row],[HIGH_PRICE]]-Table1[[#This Row],[LOW_PRICE]]</f>
        <v>0.17000000000000015</v>
      </c>
      <c r="N1046" t="str">
        <f>IF(Table1[[#This Row],[CLOSE_PRICE]]&gt;Table1[[#This Row],[OPEN_PRICE]],"Gain","Loss")</f>
        <v>Loss</v>
      </c>
      <c r="O1046" t="str">
        <f>IF(Table1[[#This Row],[MARKET_CAP]]&gt;200000000000,"Large Cap",
IF(Table1[[#This Row],[MARKET_CAP]]&gt;50000000000,"Mid Cap","Small Cap"))</f>
        <v>Small Cap</v>
      </c>
      <c r="P1046" t="str">
        <f>IF(Table1[[#This Row],[NET_TRDQTY]]&gt;1000000,"High Volume","Low Volume")</f>
        <v>Low Volume</v>
      </c>
    </row>
    <row r="1047" spans="1:16" x14ac:dyDescent="0.3">
      <c r="A1047" t="s">
        <v>2099</v>
      </c>
      <c r="B1047" t="s">
        <v>2100</v>
      </c>
      <c r="C1047">
        <v>4110</v>
      </c>
      <c r="D1047">
        <v>4121.5</v>
      </c>
      <c r="E1047">
        <v>3937</v>
      </c>
      <c r="F1047">
        <v>3990.5</v>
      </c>
      <c r="G1047">
        <v>4188</v>
      </c>
      <c r="H1047">
        <v>370258</v>
      </c>
      <c r="I1047">
        <v>47116</v>
      </c>
      <c r="J1047">
        <v>381000000000</v>
      </c>
      <c r="K1047">
        <v>95600595</v>
      </c>
      <c r="L1047">
        <f>(Table1[[#This Row],[CLOSE_PRICE]] - Table1[[#This Row],[PREV_CL_PR]]) / Table1[[#This Row],[PREV_CL_PR]] * 100</f>
        <v>-4.7158548233046798</v>
      </c>
      <c r="M1047">
        <f>Table1[[#This Row],[HIGH_PRICE]]-Table1[[#This Row],[LOW_PRICE]]</f>
        <v>184.5</v>
      </c>
      <c r="N1047" t="str">
        <f>IF(Table1[[#This Row],[CLOSE_PRICE]]&gt;Table1[[#This Row],[OPEN_PRICE]],"Gain","Loss")</f>
        <v>Loss</v>
      </c>
      <c r="O1047" t="str">
        <f>IF(Table1[[#This Row],[MARKET_CAP]]&gt;200000000000,"Large Cap",
IF(Table1[[#This Row],[MARKET_CAP]]&gt;50000000000,"Mid Cap","Small Cap"))</f>
        <v>Large Cap</v>
      </c>
      <c r="P1047" t="str">
        <f>IF(Table1[[#This Row],[NET_TRDQTY]]&gt;1000000,"High Volume","Low Volume")</f>
        <v>Low Volume</v>
      </c>
    </row>
    <row r="1048" spans="1:16" x14ac:dyDescent="0.3">
      <c r="A1048" t="s">
        <v>2101</v>
      </c>
      <c r="B1048" t="s">
        <v>2102</v>
      </c>
      <c r="C1048">
        <v>15.8</v>
      </c>
      <c r="D1048">
        <v>15.8</v>
      </c>
      <c r="E1048">
        <v>15.31</v>
      </c>
      <c r="F1048">
        <v>15.43</v>
      </c>
      <c r="G1048">
        <v>16.09</v>
      </c>
      <c r="H1048">
        <v>2164055</v>
      </c>
      <c r="I1048">
        <v>4500</v>
      </c>
      <c r="J1048">
        <v>8144026058</v>
      </c>
      <c r="K1048">
        <v>527804670</v>
      </c>
      <c r="L1048">
        <f>(Table1[[#This Row],[CLOSE_PRICE]] - Table1[[#This Row],[PREV_CL_PR]]) / Table1[[#This Row],[PREV_CL_PR]] * 100</f>
        <v>-4.1019266625233071</v>
      </c>
      <c r="M1048">
        <f>Table1[[#This Row],[HIGH_PRICE]]-Table1[[#This Row],[LOW_PRICE]]</f>
        <v>0.49000000000000021</v>
      </c>
      <c r="N1048" t="str">
        <f>IF(Table1[[#This Row],[CLOSE_PRICE]]&gt;Table1[[#This Row],[OPEN_PRICE]],"Gain","Loss")</f>
        <v>Loss</v>
      </c>
      <c r="O1048" t="str">
        <f>IF(Table1[[#This Row],[MARKET_CAP]]&gt;200000000000,"Large Cap",
IF(Table1[[#This Row],[MARKET_CAP]]&gt;50000000000,"Mid Cap","Small Cap"))</f>
        <v>Small Cap</v>
      </c>
      <c r="P1048" t="str">
        <f>IF(Table1[[#This Row],[NET_TRDQTY]]&gt;1000000,"High Volume","Low Volume")</f>
        <v>High Volume</v>
      </c>
    </row>
    <row r="1049" spans="1:16" x14ac:dyDescent="0.3">
      <c r="A1049" t="s">
        <v>2103</v>
      </c>
      <c r="B1049" t="s">
        <v>2104</v>
      </c>
      <c r="C1049">
        <v>951</v>
      </c>
      <c r="D1049">
        <v>953.3</v>
      </c>
      <c r="E1049">
        <v>900</v>
      </c>
      <c r="F1049">
        <v>905</v>
      </c>
      <c r="G1049">
        <v>962</v>
      </c>
      <c r="H1049">
        <v>165744</v>
      </c>
      <c r="I1049">
        <v>9479</v>
      </c>
      <c r="J1049">
        <v>15167276910</v>
      </c>
      <c r="K1049">
        <v>16759422</v>
      </c>
      <c r="L1049">
        <f>(Table1[[#This Row],[CLOSE_PRICE]] - Table1[[#This Row],[PREV_CL_PR]]) / Table1[[#This Row],[PREV_CL_PR]] * 100</f>
        <v>-5.9251559251559254</v>
      </c>
      <c r="M1049">
        <f>Table1[[#This Row],[HIGH_PRICE]]-Table1[[#This Row],[LOW_PRICE]]</f>
        <v>53.299999999999955</v>
      </c>
      <c r="N1049" t="str">
        <f>IF(Table1[[#This Row],[CLOSE_PRICE]]&gt;Table1[[#This Row],[OPEN_PRICE]],"Gain","Loss")</f>
        <v>Loss</v>
      </c>
      <c r="O1049" t="str">
        <f>IF(Table1[[#This Row],[MARKET_CAP]]&gt;200000000000,"Large Cap",
IF(Table1[[#This Row],[MARKET_CAP]]&gt;50000000000,"Mid Cap","Small Cap"))</f>
        <v>Small Cap</v>
      </c>
      <c r="P1049" t="str">
        <f>IF(Table1[[#This Row],[NET_TRDQTY]]&gt;1000000,"High Volume","Low Volume")</f>
        <v>Low Volume</v>
      </c>
    </row>
    <row r="1050" spans="1:16" x14ac:dyDescent="0.3">
      <c r="A1050" t="s">
        <v>2105</v>
      </c>
      <c r="B1050" t="s">
        <v>2106</v>
      </c>
      <c r="C1050">
        <v>8.1999999999999993</v>
      </c>
      <c r="D1050">
        <v>8.1999999999999993</v>
      </c>
      <c r="E1050">
        <v>7.41</v>
      </c>
      <c r="F1050">
        <v>7.81</v>
      </c>
      <c r="G1050">
        <v>8.0500000000000007</v>
      </c>
      <c r="H1050">
        <v>1241894</v>
      </c>
      <c r="I1050">
        <v>1992</v>
      </c>
      <c r="J1050">
        <v>2426283208</v>
      </c>
      <c r="K1050">
        <v>310663663</v>
      </c>
      <c r="L1050">
        <f>(Table1[[#This Row],[CLOSE_PRICE]] - Table1[[#This Row],[PREV_CL_PR]]) / Table1[[#This Row],[PREV_CL_PR]] * 100</f>
        <v>-2.9813664596273428</v>
      </c>
      <c r="M1050">
        <f>Table1[[#This Row],[HIGH_PRICE]]-Table1[[#This Row],[LOW_PRICE]]</f>
        <v>0.78999999999999915</v>
      </c>
      <c r="N1050" t="str">
        <f>IF(Table1[[#This Row],[CLOSE_PRICE]]&gt;Table1[[#This Row],[OPEN_PRICE]],"Gain","Loss")</f>
        <v>Loss</v>
      </c>
      <c r="O1050" t="str">
        <f>IF(Table1[[#This Row],[MARKET_CAP]]&gt;200000000000,"Large Cap",
IF(Table1[[#This Row],[MARKET_CAP]]&gt;50000000000,"Mid Cap","Small Cap"))</f>
        <v>Small Cap</v>
      </c>
      <c r="P1050" t="str">
        <f>IF(Table1[[#This Row],[NET_TRDQTY]]&gt;1000000,"High Volume","Low Volume")</f>
        <v>High Volume</v>
      </c>
    </row>
    <row r="1051" spans="1:16" x14ac:dyDescent="0.3">
      <c r="A1051" t="s">
        <v>2107</v>
      </c>
      <c r="B1051" t="s">
        <v>2108</v>
      </c>
      <c r="C1051">
        <v>242</v>
      </c>
      <c r="D1051">
        <v>259.8</v>
      </c>
      <c r="E1051">
        <v>242</v>
      </c>
      <c r="F1051">
        <v>247.85</v>
      </c>
      <c r="G1051">
        <v>258.95</v>
      </c>
      <c r="H1051">
        <v>2429</v>
      </c>
      <c r="I1051">
        <v>134</v>
      </c>
      <c r="J1051">
        <v>1379690980</v>
      </c>
      <c r="K1051">
        <v>5566637</v>
      </c>
      <c r="L1051">
        <f>(Table1[[#This Row],[CLOSE_PRICE]] - Table1[[#This Row],[PREV_CL_PR]]) / Table1[[#This Row],[PREV_CL_PR]] * 100</f>
        <v>-4.2865418034369549</v>
      </c>
      <c r="M1051">
        <f>Table1[[#This Row],[HIGH_PRICE]]-Table1[[#This Row],[LOW_PRICE]]</f>
        <v>17.800000000000011</v>
      </c>
      <c r="N1051" t="str">
        <f>IF(Table1[[#This Row],[CLOSE_PRICE]]&gt;Table1[[#This Row],[OPEN_PRICE]],"Gain","Loss")</f>
        <v>Gain</v>
      </c>
      <c r="O1051" t="str">
        <f>IF(Table1[[#This Row],[MARKET_CAP]]&gt;200000000000,"Large Cap",
IF(Table1[[#This Row],[MARKET_CAP]]&gt;50000000000,"Mid Cap","Small Cap"))</f>
        <v>Small Cap</v>
      </c>
      <c r="P1051" t="str">
        <f>IF(Table1[[#This Row],[NET_TRDQTY]]&gt;1000000,"High Volume","Low Volume")</f>
        <v>Low Volume</v>
      </c>
    </row>
    <row r="1052" spans="1:16" x14ac:dyDescent="0.3">
      <c r="A1052" t="s">
        <v>2109</v>
      </c>
      <c r="B1052" t="s">
        <v>2110</v>
      </c>
      <c r="C1052">
        <v>910</v>
      </c>
      <c r="D1052">
        <v>911.4</v>
      </c>
      <c r="E1052">
        <v>870</v>
      </c>
      <c r="F1052">
        <v>877.6</v>
      </c>
      <c r="G1052">
        <v>914.55</v>
      </c>
      <c r="H1052">
        <v>910416</v>
      </c>
      <c r="I1052">
        <v>30766</v>
      </c>
      <c r="J1052">
        <v>151000000000</v>
      </c>
      <c r="K1052">
        <v>172401007</v>
      </c>
      <c r="L1052">
        <f>(Table1[[#This Row],[CLOSE_PRICE]] - Table1[[#This Row],[PREV_CL_PR]]) / Table1[[#This Row],[PREV_CL_PR]] * 100</f>
        <v>-4.0402383685965697</v>
      </c>
      <c r="M1052">
        <f>Table1[[#This Row],[HIGH_PRICE]]-Table1[[#This Row],[LOW_PRICE]]</f>
        <v>41.399999999999977</v>
      </c>
      <c r="N1052" t="str">
        <f>IF(Table1[[#This Row],[CLOSE_PRICE]]&gt;Table1[[#This Row],[OPEN_PRICE]],"Gain","Loss")</f>
        <v>Loss</v>
      </c>
      <c r="O1052" t="str">
        <f>IF(Table1[[#This Row],[MARKET_CAP]]&gt;200000000000,"Large Cap",
IF(Table1[[#This Row],[MARKET_CAP]]&gt;50000000000,"Mid Cap","Small Cap"))</f>
        <v>Mid Cap</v>
      </c>
      <c r="P1052" t="str">
        <f>IF(Table1[[#This Row],[NET_TRDQTY]]&gt;1000000,"High Volume","Low Volume")</f>
        <v>Low Volume</v>
      </c>
    </row>
    <row r="1053" spans="1:16" x14ac:dyDescent="0.3">
      <c r="A1053" t="s">
        <v>2111</v>
      </c>
      <c r="B1053" t="s">
        <v>2112</v>
      </c>
      <c r="C1053">
        <v>88.48</v>
      </c>
      <c r="D1053">
        <v>89.99</v>
      </c>
      <c r="E1053">
        <v>80.92</v>
      </c>
      <c r="F1053">
        <v>85.29</v>
      </c>
      <c r="G1053">
        <v>88.01</v>
      </c>
      <c r="H1053">
        <v>856857</v>
      </c>
      <c r="I1053">
        <v>7035</v>
      </c>
      <c r="J1053">
        <v>1567492201</v>
      </c>
      <c r="K1053">
        <v>18378382</v>
      </c>
      <c r="L1053">
        <f>(Table1[[#This Row],[CLOSE_PRICE]] - Table1[[#This Row],[PREV_CL_PR]]) / Table1[[#This Row],[PREV_CL_PR]] * 100</f>
        <v>-3.0905578911487317</v>
      </c>
      <c r="M1053">
        <f>Table1[[#This Row],[HIGH_PRICE]]-Table1[[#This Row],[LOW_PRICE]]</f>
        <v>9.0699999999999932</v>
      </c>
      <c r="N1053" t="str">
        <f>IF(Table1[[#This Row],[CLOSE_PRICE]]&gt;Table1[[#This Row],[OPEN_PRICE]],"Gain","Loss")</f>
        <v>Loss</v>
      </c>
      <c r="O1053" t="str">
        <f>IF(Table1[[#This Row],[MARKET_CAP]]&gt;200000000000,"Large Cap",
IF(Table1[[#This Row],[MARKET_CAP]]&gt;50000000000,"Mid Cap","Small Cap"))</f>
        <v>Small Cap</v>
      </c>
      <c r="P1053" t="str">
        <f>IF(Table1[[#This Row],[NET_TRDQTY]]&gt;1000000,"High Volume","Low Volume")</f>
        <v>Low Volume</v>
      </c>
    </row>
    <row r="1054" spans="1:16" x14ac:dyDescent="0.3">
      <c r="A1054" t="s">
        <v>2113</v>
      </c>
      <c r="B1054" t="s">
        <v>2114</v>
      </c>
      <c r="C1054">
        <v>48.06</v>
      </c>
      <c r="D1054">
        <v>48.49</v>
      </c>
      <c r="E1054">
        <v>46.26</v>
      </c>
      <c r="F1054">
        <v>46.82</v>
      </c>
      <c r="G1054">
        <v>48.85</v>
      </c>
      <c r="H1054">
        <v>189844</v>
      </c>
      <c r="I1054">
        <v>2474</v>
      </c>
      <c r="J1054">
        <v>4541034344</v>
      </c>
      <c r="K1054">
        <v>96989200</v>
      </c>
      <c r="L1054">
        <f>(Table1[[#This Row],[CLOSE_PRICE]] - Table1[[#This Row],[PREV_CL_PR]]) / Table1[[#This Row],[PREV_CL_PR]] * 100</f>
        <v>-4.1555783009211895</v>
      </c>
      <c r="M1054">
        <f>Table1[[#This Row],[HIGH_PRICE]]-Table1[[#This Row],[LOW_PRICE]]</f>
        <v>2.230000000000004</v>
      </c>
      <c r="N1054" t="str">
        <f>IF(Table1[[#This Row],[CLOSE_PRICE]]&gt;Table1[[#This Row],[OPEN_PRICE]],"Gain","Loss")</f>
        <v>Loss</v>
      </c>
      <c r="O1054" t="str">
        <f>IF(Table1[[#This Row],[MARKET_CAP]]&gt;200000000000,"Large Cap",
IF(Table1[[#This Row],[MARKET_CAP]]&gt;50000000000,"Mid Cap","Small Cap"))</f>
        <v>Small Cap</v>
      </c>
      <c r="P1054" t="str">
        <f>IF(Table1[[#This Row],[NET_TRDQTY]]&gt;1000000,"High Volume","Low Volume")</f>
        <v>Low Volume</v>
      </c>
    </row>
    <row r="1055" spans="1:16" x14ac:dyDescent="0.3">
      <c r="A1055" t="s">
        <v>2115</v>
      </c>
      <c r="B1055" t="s">
        <v>2116</v>
      </c>
      <c r="C1055">
        <v>98.89</v>
      </c>
      <c r="D1055">
        <v>98.89</v>
      </c>
      <c r="E1055">
        <v>93.03</v>
      </c>
      <c r="F1055">
        <v>93.34</v>
      </c>
      <c r="G1055">
        <v>95.69</v>
      </c>
      <c r="H1055">
        <v>1034</v>
      </c>
      <c r="I1055">
        <v>59</v>
      </c>
      <c r="J1055">
        <v>443365000</v>
      </c>
      <c r="K1055">
        <v>4750000</v>
      </c>
      <c r="L1055">
        <f>(Table1[[#This Row],[CLOSE_PRICE]] - Table1[[#This Row],[PREV_CL_PR]]) / Table1[[#This Row],[PREV_CL_PR]] * 100</f>
        <v>-2.4558470059567297</v>
      </c>
      <c r="M1055">
        <f>Table1[[#This Row],[HIGH_PRICE]]-Table1[[#This Row],[LOW_PRICE]]</f>
        <v>5.8599999999999994</v>
      </c>
      <c r="N1055" t="str">
        <f>IF(Table1[[#This Row],[CLOSE_PRICE]]&gt;Table1[[#This Row],[OPEN_PRICE]],"Gain","Loss")</f>
        <v>Loss</v>
      </c>
      <c r="O1055" t="str">
        <f>IF(Table1[[#This Row],[MARKET_CAP]]&gt;200000000000,"Large Cap",
IF(Table1[[#This Row],[MARKET_CAP]]&gt;50000000000,"Mid Cap","Small Cap"))</f>
        <v>Small Cap</v>
      </c>
      <c r="P1055" t="str">
        <f>IF(Table1[[#This Row],[NET_TRDQTY]]&gt;1000000,"High Volume","Low Volume")</f>
        <v>Low Volume</v>
      </c>
    </row>
    <row r="1056" spans="1:16" x14ac:dyDescent="0.3">
      <c r="A1056" t="s">
        <v>2117</v>
      </c>
      <c r="B1056" t="s">
        <v>2118</v>
      </c>
      <c r="C1056">
        <v>15.41</v>
      </c>
      <c r="D1056">
        <v>17.100000000000001</v>
      </c>
      <c r="E1056">
        <v>15.05</v>
      </c>
      <c r="F1056">
        <v>15.87</v>
      </c>
      <c r="G1056">
        <v>16</v>
      </c>
      <c r="H1056">
        <v>5294</v>
      </c>
      <c r="I1056">
        <v>81</v>
      </c>
      <c r="J1056">
        <v>242077885.40000001</v>
      </c>
      <c r="K1056">
        <v>15253805</v>
      </c>
      <c r="L1056">
        <f>(Table1[[#This Row],[CLOSE_PRICE]] - Table1[[#This Row],[PREV_CL_PR]]) / Table1[[#This Row],[PREV_CL_PR]] * 100</f>
        <v>-0.81250000000000488</v>
      </c>
      <c r="M1056">
        <f>Table1[[#This Row],[HIGH_PRICE]]-Table1[[#This Row],[LOW_PRICE]]</f>
        <v>2.0500000000000007</v>
      </c>
      <c r="N1056" t="str">
        <f>IF(Table1[[#This Row],[CLOSE_PRICE]]&gt;Table1[[#This Row],[OPEN_PRICE]],"Gain","Loss")</f>
        <v>Gain</v>
      </c>
      <c r="O1056" t="str">
        <f>IF(Table1[[#This Row],[MARKET_CAP]]&gt;200000000000,"Large Cap",
IF(Table1[[#This Row],[MARKET_CAP]]&gt;50000000000,"Mid Cap","Small Cap"))</f>
        <v>Small Cap</v>
      </c>
      <c r="P1056" t="str">
        <f>IF(Table1[[#This Row],[NET_TRDQTY]]&gt;1000000,"High Volume","Low Volume")</f>
        <v>Low Volume</v>
      </c>
    </row>
    <row r="1057" spans="1:16" x14ac:dyDescent="0.3">
      <c r="A1057" t="s">
        <v>2119</v>
      </c>
      <c r="B1057" t="s">
        <v>2120</v>
      </c>
      <c r="C1057">
        <v>4331</v>
      </c>
      <c r="D1057">
        <v>4338.5</v>
      </c>
      <c r="E1057">
        <v>4154</v>
      </c>
      <c r="F1057">
        <v>4187</v>
      </c>
      <c r="G1057">
        <v>4434</v>
      </c>
      <c r="H1057">
        <v>3909</v>
      </c>
      <c r="I1057">
        <v>687</v>
      </c>
      <c r="J1057">
        <v>18277536222</v>
      </c>
      <c r="K1057">
        <v>4365306</v>
      </c>
      <c r="L1057">
        <f>(Table1[[#This Row],[CLOSE_PRICE]] - Table1[[#This Row],[PREV_CL_PR]]) / Table1[[#This Row],[PREV_CL_PR]] * 100</f>
        <v>-5.5705908885881827</v>
      </c>
      <c r="M1057">
        <f>Table1[[#This Row],[HIGH_PRICE]]-Table1[[#This Row],[LOW_PRICE]]</f>
        <v>184.5</v>
      </c>
      <c r="N1057" t="str">
        <f>IF(Table1[[#This Row],[CLOSE_PRICE]]&gt;Table1[[#This Row],[OPEN_PRICE]],"Gain","Loss")</f>
        <v>Loss</v>
      </c>
      <c r="O1057" t="str">
        <f>IF(Table1[[#This Row],[MARKET_CAP]]&gt;200000000000,"Large Cap",
IF(Table1[[#This Row],[MARKET_CAP]]&gt;50000000000,"Mid Cap","Small Cap"))</f>
        <v>Small Cap</v>
      </c>
      <c r="P1057" t="str">
        <f>IF(Table1[[#This Row],[NET_TRDQTY]]&gt;1000000,"High Volume","Low Volume")</f>
        <v>Low Volume</v>
      </c>
    </row>
    <row r="1058" spans="1:16" x14ac:dyDescent="0.3">
      <c r="A1058" t="s">
        <v>2121</v>
      </c>
      <c r="B1058" t="s">
        <v>2122</v>
      </c>
      <c r="C1058">
        <v>321</v>
      </c>
      <c r="D1058">
        <v>325</v>
      </c>
      <c r="E1058">
        <v>312.35000000000002</v>
      </c>
      <c r="F1058">
        <v>313.60000000000002</v>
      </c>
      <c r="G1058">
        <v>316.10000000000002</v>
      </c>
      <c r="H1058">
        <v>57994</v>
      </c>
      <c r="I1058">
        <v>2100</v>
      </c>
      <c r="J1058">
        <v>5481973235</v>
      </c>
      <c r="K1058">
        <v>17480782</v>
      </c>
      <c r="L1058">
        <f>(Table1[[#This Row],[CLOSE_PRICE]] - Table1[[#This Row],[PREV_CL_PR]]) / Table1[[#This Row],[PREV_CL_PR]] * 100</f>
        <v>-0.79088895919012958</v>
      </c>
      <c r="M1058">
        <f>Table1[[#This Row],[HIGH_PRICE]]-Table1[[#This Row],[LOW_PRICE]]</f>
        <v>12.649999999999977</v>
      </c>
      <c r="N1058" t="str">
        <f>IF(Table1[[#This Row],[CLOSE_PRICE]]&gt;Table1[[#This Row],[OPEN_PRICE]],"Gain","Loss")</f>
        <v>Loss</v>
      </c>
      <c r="O1058" t="str">
        <f>IF(Table1[[#This Row],[MARKET_CAP]]&gt;200000000000,"Large Cap",
IF(Table1[[#This Row],[MARKET_CAP]]&gt;50000000000,"Mid Cap","Small Cap"))</f>
        <v>Small Cap</v>
      </c>
      <c r="P1058" t="str">
        <f>IF(Table1[[#This Row],[NET_TRDQTY]]&gt;1000000,"High Volume","Low Volume")</f>
        <v>Low Volume</v>
      </c>
    </row>
    <row r="1059" spans="1:16" x14ac:dyDescent="0.3">
      <c r="A1059" t="s">
        <v>2123</v>
      </c>
      <c r="B1059" t="s">
        <v>2124</v>
      </c>
      <c r="C1059">
        <v>641</v>
      </c>
      <c r="D1059">
        <v>641.04999999999995</v>
      </c>
      <c r="E1059">
        <v>619</v>
      </c>
      <c r="F1059">
        <v>630.5</v>
      </c>
      <c r="G1059">
        <v>645.1</v>
      </c>
      <c r="H1059">
        <v>388274</v>
      </c>
      <c r="I1059">
        <v>26435</v>
      </c>
      <c r="J1059">
        <v>252000000000</v>
      </c>
      <c r="K1059">
        <v>400138935</v>
      </c>
      <c r="L1059">
        <f>(Table1[[#This Row],[CLOSE_PRICE]] - Table1[[#This Row],[PREV_CL_PR]]) / Table1[[#This Row],[PREV_CL_PR]] * 100</f>
        <v>-2.2632150054255189</v>
      </c>
      <c r="M1059">
        <f>Table1[[#This Row],[HIGH_PRICE]]-Table1[[#This Row],[LOW_PRICE]]</f>
        <v>22.049999999999955</v>
      </c>
      <c r="N1059" t="str">
        <f>IF(Table1[[#This Row],[CLOSE_PRICE]]&gt;Table1[[#This Row],[OPEN_PRICE]],"Gain","Loss")</f>
        <v>Loss</v>
      </c>
      <c r="O1059" t="str">
        <f>IF(Table1[[#This Row],[MARKET_CAP]]&gt;200000000000,"Large Cap",
IF(Table1[[#This Row],[MARKET_CAP]]&gt;50000000000,"Mid Cap","Small Cap"))</f>
        <v>Large Cap</v>
      </c>
      <c r="P1059" t="str">
        <f>IF(Table1[[#This Row],[NET_TRDQTY]]&gt;1000000,"High Volume","Low Volume")</f>
        <v>Low Volume</v>
      </c>
    </row>
    <row r="1060" spans="1:16" x14ac:dyDescent="0.3">
      <c r="A1060" t="s">
        <v>2125</v>
      </c>
      <c r="B1060" t="s">
        <v>2126</v>
      </c>
      <c r="C1060">
        <v>4015</v>
      </c>
      <c r="D1060">
        <v>4039</v>
      </c>
      <c r="E1060">
        <v>3927</v>
      </c>
      <c r="F1060">
        <v>3949</v>
      </c>
      <c r="G1060">
        <v>4073.3</v>
      </c>
      <c r="H1060">
        <v>3805</v>
      </c>
      <c r="I1060">
        <v>1002</v>
      </c>
      <c r="J1060">
        <v>53514403569</v>
      </c>
      <c r="K1060">
        <v>13551381</v>
      </c>
      <c r="L1060">
        <f>(Table1[[#This Row],[CLOSE_PRICE]] - Table1[[#This Row],[PREV_CL_PR]]) / Table1[[#This Row],[PREV_CL_PR]] * 100</f>
        <v>-3.0515798001620351</v>
      </c>
      <c r="M1060">
        <f>Table1[[#This Row],[HIGH_PRICE]]-Table1[[#This Row],[LOW_PRICE]]</f>
        <v>112</v>
      </c>
      <c r="N1060" t="str">
        <f>IF(Table1[[#This Row],[CLOSE_PRICE]]&gt;Table1[[#This Row],[OPEN_PRICE]],"Gain","Loss")</f>
        <v>Loss</v>
      </c>
      <c r="O1060" t="str">
        <f>IF(Table1[[#This Row],[MARKET_CAP]]&gt;200000000000,"Large Cap",
IF(Table1[[#This Row],[MARKET_CAP]]&gt;50000000000,"Mid Cap","Small Cap"))</f>
        <v>Mid Cap</v>
      </c>
      <c r="P1060" t="str">
        <f>IF(Table1[[#This Row],[NET_TRDQTY]]&gt;1000000,"High Volume","Low Volume")</f>
        <v>Low Volume</v>
      </c>
    </row>
    <row r="1061" spans="1:16" x14ac:dyDescent="0.3">
      <c r="A1061" t="s">
        <v>2127</v>
      </c>
      <c r="B1061" t="s">
        <v>2128</v>
      </c>
      <c r="C1061">
        <v>342</v>
      </c>
      <c r="D1061">
        <v>348.8</v>
      </c>
      <c r="E1061">
        <v>321.14999999999998</v>
      </c>
      <c r="F1061">
        <v>324.60000000000002</v>
      </c>
      <c r="G1061">
        <v>351.75</v>
      </c>
      <c r="H1061">
        <v>1402495</v>
      </c>
      <c r="I1061">
        <v>50376</v>
      </c>
      <c r="J1061">
        <v>197000000000</v>
      </c>
      <c r="K1061">
        <v>607751096</v>
      </c>
      <c r="L1061">
        <f>(Table1[[#This Row],[CLOSE_PRICE]] - Table1[[#This Row],[PREV_CL_PR]]) / Table1[[#This Row],[PREV_CL_PR]] * 100</f>
        <v>-7.7185501066098023</v>
      </c>
      <c r="M1061">
        <f>Table1[[#This Row],[HIGH_PRICE]]-Table1[[#This Row],[LOW_PRICE]]</f>
        <v>27.650000000000034</v>
      </c>
      <c r="N1061" t="str">
        <f>IF(Table1[[#This Row],[CLOSE_PRICE]]&gt;Table1[[#This Row],[OPEN_PRICE]],"Gain","Loss")</f>
        <v>Loss</v>
      </c>
      <c r="O1061" t="str">
        <f>IF(Table1[[#This Row],[MARKET_CAP]]&gt;200000000000,"Large Cap",
IF(Table1[[#This Row],[MARKET_CAP]]&gt;50000000000,"Mid Cap","Small Cap"))</f>
        <v>Mid Cap</v>
      </c>
      <c r="P1061" t="str">
        <f>IF(Table1[[#This Row],[NET_TRDQTY]]&gt;1000000,"High Volume","Low Volume")</f>
        <v>High Volume</v>
      </c>
    </row>
    <row r="1062" spans="1:16" x14ac:dyDescent="0.3">
      <c r="A1062" t="s">
        <v>2129</v>
      </c>
      <c r="B1062" t="s">
        <v>2130</v>
      </c>
      <c r="C1062">
        <v>369</v>
      </c>
      <c r="D1062">
        <v>371.95</v>
      </c>
      <c r="E1062">
        <v>354.9</v>
      </c>
      <c r="F1062">
        <v>357.9</v>
      </c>
      <c r="G1062">
        <v>374.85</v>
      </c>
      <c r="H1062">
        <v>936779</v>
      </c>
      <c r="I1062">
        <v>15867</v>
      </c>
      <c r="J1062">
        <v>21482072077</v>
      </c>
      <c r="K1062">
        <v>60022554</v>
      </c>
      <c r="L1062">
        <f>(Table1[[#This Row],[CLOSE_PRICE]] - Table1[[#This Row],[PREV_CL_PR]]) / Table1[[#This Row],[PREV_CL_PR]] * 100</f>
        <v>-4.5218087234894071</v>
      </c>
      <c r="M1062">
        <f>Table1[[#This Row],[HIGH_PRICE]]-Table1[[#This Row],[LOW_PRICE]]</f>
        <v>17.050000000000011</v>
      </c>
      <c r="N1062" t="str">
        <f>IF(Table1[[#This Row],[CLOSE_PRICE]]&gt;Table1[[#This Row],[OPEN_PRICE]],"Gain","Loss")</f>
        <v>Loss</v>
      </c>
      <c r="O1062" t="str">
        <f>IF(Table1[[#This Row],[MARKET_CAP]]&gt;200000000000,"Large Cap",
IF(Table1[[#This Row],[MARKET_CAP]]&gt;50000000000,"Mid Cap","Small Cap"))</f>
        <v>Small Cap</v>
      </c>
      <c r="P1062" t="str">
        <f>IF(Table1[[#This Row],[NET_TRDQTY]]&gt;1000000,"High Volume","Low Volume")</f>
        <v>Low Volume</v>
      </c>
    </row>
    <row r="1063" spans="1:16" x14ac:dyDescent="0.3">
      <c r="A1063" t="s">
        <v>2131</v>
      </c>
      <c r="B1063" t="s">
        <v>2132</v>
      </c>
      <c r="C1063">
        <v>1552.9</v>
      </c>
      <c r="D1063">
        <v>1556.1</v>
      </c>
      <c r="E1063">
        <v>1470</v>
      </c>
      <c r="F1063">
        <v>1483</v>
      </c>
      <c r="G1063">
        <v>1561.4</v>
      </c>
      <c r="H1063">
        <v>48913</v>
      </c>
      <c r="I1063">
        <v>9147</v>
      </c>
      <c r="J1063">
        <v>118000000000</v>
      </c>
      <c r="K1063">
        <v>79408926</v>
      </c>
      <c r="L1063">
        <f>(Table1[[#This Row],[CLOSE_PRICE]] - Table1[[#This Row],[PREV_CL_PR]]) / Table1[[#This Row],[PREV_CL_PR]] * 100</f>
        <v>-5.0211348789547898</v>
      </c>
      <c r="M1063">
        <f>Table1[[#This Row],[HIGH_PRICE]]-Table1[[#This Row],[LOW_PRICE]]</f>
        <v>86.099999999999909</v>
      </c>
      <c r="N1063" t="str">
        <f>IF(Table1[[#This Row],[CLOSE_PRICE]]&gt;Table1[[#This Row],[OPEN_PRICE]],"Gain","Loss")</f>
        <v>Loss</v>
      </c>
      <c r="O1063" t="str">
        <f>IF(Table1[[#This Row],[MARKET_CAP]]&gt;200000000000,"Large Cap",
IF(Table1[[#This Row],[MARKET_CAP]]&gt;50000000000,"Mid Cap","Small Cap"))</f>
        <v>Mid Cap</v>
      </c>
      <c r="P1063" t="str">
        <f>IF(Table1[[#This Row],[NET_TRDQTY]]&gt;1000000,"High Volume","Low Volume")</f>
        <v>Low Volume</v>
      </c>
    </row>
    <row r="1064" spans="1:16" x14ac:dyDescent="0.3">
      <c r="A1064" t="s">
        <v>2133</v>
      </c>
      <c r="B1064" t="s">
        <v>2134</v>
      </c>
      <c r="C1064">
        <v>1366.2</v>
      </c>
      <c r="D1064">
        <v>1371</v>
      </c>
      <c r="E1064">
        <v>1275.2</v>
      </c>
      <c r="F1064">
        <v>1287.7</v>
      </c>
      <c r="G1064">
        <v>1376.7</v>
      </c>
      <c r="H1064">
        <v>228162</v>
      </c>
      <c r="I1064">
        <v>21781</v>
      </c>
      <c r="J1064">
        <v>187000000000</v>
      </c>
      <c r="K1064">
        <v>145331414</v>
      </c>
      <c r="L1064">
        <f>(Table1[[#This Row],[CLOSE_PRICE]] - Table1[[#This Row],[PREV_CL_PR]]) / Table1[[#This Row],[PREV_CL_PR]] * 100</f>
        <v>-6.4647345100602882</v>
      </c>
      <c r="M1064">
        <f>Table1[[#This Row],[HIGH_PRICE]]-Table1[[#This Row],[LOW_PRICE]]</f>
        <v>95.799999999999955</v>
      </c>
      <c r="N1064" t="str">
        <f>IF(Table1[[#This Row],[CLOSE_PRICE]]&gt;Table1[[#This Row],[OPEN_PRICE]],"Gain","Loss")</f>
        <v>Loss</v>
      </c>
      <c r="O1064" t="str">
        <f>IF(Table1[[#This Row],[MARKET_CAP]]&gt;200000000000,"Large Cap",
IF(Table1[[#This Row],[MARKET_CAP]]&gt;50000000000,"Mid Cap","Small Cap"))</f>
        <v>Mid Cap</v>
      </c>
      <c r="P1064" t="str">
        <f>IF(Table1[[#This Row],[NET_TRDQTY]]&gt;1000000,"High Volume","Low Volume")</f>
        <v>Low Volume</v>
      </c>
    </row>
    <row r="1065" spans="1:16" x14ac:dyDescent="0.3">
      <c r="A1065" t="s">
        <v>2135</v>
      </c>
      <c r="B1065" t="s">
        <v>2136</v>
      </c>
      <c r="C1065">
        <v>2725</v>
      </c>
      <c r="D1065">
        <v>2725</v>
      </c>
      <c r="E1065">
        <v>2619.1999999999998</v>
      </c>
      <c r="F1065">
        <v>2631.5</v>
      </c>
      <c r="G1065">
        <v>2735.8</v>
      </c>
      <c r="H1065">
        <v>11305</v>
      </c>
      <c r="I1065">
        <v>1985</v>
      </c>
      <c r="J1065">
        <v>27639081329</v>
      </c>
      <c r="K1065">
        <v>10503166</v>
      </c>
      <c r="L1065">
        <f>(Table1[[#This Row],[CLOSE_PRICE]] - Table1[[#This Row],[PREV_CL_PR]]) / Table1[[#This Row],[PREV_CL_PR]] * 100</f>
        <v>-3.8124131880985521</v>
      </c>
      <c r="M1065">
        <f>Table1[[#This Row],[HIGH_PRICE]]-Table1[[#This Row],[LOW_PRICE]]</f>
        <v>105.80000000000018</v>
      </c>
      <c r="N1065" t="str">
        <f>IF(Table1[[#This Row],[CLOSE_PRICE]]&gt;Table1[[#This Row],[OPEN_PRICE]],"Gain","Loss")</f>
        <v>Loss</v>
      </c>
      <c r="O1065" t="str">
        <f>IF(Table1[[#This Row],[MARKET_CAP]]&gt;200000000000,"Large Cap",
IF(Table1[[#This Row],[MARKET_CAP]]&gt;50000000000,"Mid Cap","Small Cap"))</f>
        <v>Small Cap</v>
      </c>
      <c r="P1065" t="str">
        <f>IF(Table1[[#This Row],[NET_TRDQTY]]&gt;1000000,"High Volume","Low Volume")</f>
        <v>Low Volume</v>
      </c>
    </row>
    <row r="1066" spans="1:16" x14ac:dyDescent="0.3">
      <c r="A1066" t="s">
        <v>2137</v>
      </c>
      <c r="B1066" t="s">
        <v>2138</v>
      </c>
      <c r="C1066">
        <v>1040</v>
      </c>
      <c r="D1066">
        <v>1060.7</v>
      </c>
      <c r="E1066">
        <v>1033.2</v>
      </c>
      <c r="F1066">
        <v>1041.5999999999999</v>
      </c>
      <c r="G1066">
        <v>1050.7</v>
      </c>
      <c r="H1066">
        <v>93727</v>
      </c>
      <c r="I1066">
        <v>11330</v>
      </c>
      <c r="J1066">
        <v>67641076944</v>
      </c>
      <c r="K1066">
        <v>64939590</v>
      </c>
      <c r="L1066">
        <f>(Table1[[#This Row],[CLOSE_PRICE]] - Table1[[#This Row],[PREV_CL_PR]]) / Table1[[#This Row],[PREV_CL_PR]] * 100</f>
        <v>-0.86608927381746792</v>
      </c>
      <c r="M1066">
        <f>Table1[[#This Row],[HIGH_PRICE]]-Table1[[#This Row],[LOW_PRICE]]</f>
        <v>27.5</v>
      </c>
      <c r="N1066" t="str">
        <f>IF(Table1[[#This Row],[CLOSE_PRICE]]&gt;Table1[[#This Row],[OPEN_PRICE]],"Gain","Loss")</f>
        <v>Gain</v>
      </c>
      <c r="O1066" t="str">
        <f>IF(Table1[[#This Row],[MARKET_CAP]]&gt;200000000000,"Large Cap",
IF(Table1[[#This Row],[MARKET_CAP]]&gt;50000000000,"Mid Cap","Small Cap"))</f>
        <v>Mid Cap</v>
      </c>
      <c r="P1066" t="str">
        <f>IF(Table1[[#This Row],[NET_TRDQTY]]&gt;1000000,"High Volume","Low Volume")</f>
        <v>Low Volume</v>
      </c>
    </row>
    <row r="1067" spans="1:16" x14ac:dyDescent="0.3">
      <c r="A1067" t="s">
        <v>2139</v>
      </c>
      <c r="B1067" t="s">
        <v>2140</v>
      </c>
      <c r="C1067">
        <v>156</v>
      </c>
      <c r="D1067">
        <v>156.62</v>
      </c>
      <c r="E1067">
        <v>149</v>
      </c>
      <c r="F1067">
        <v>150.21</v>
      </c>
      <c r="G1067">
        <v>159.4</v>
      </c>
      <c r="H1067">
        <v>803317</v>
      </c>
      <c r="I1067">
        <v>9701</v>
      </c>
      <c r="J1067">
        <v>29966895000</v>
      </c>
      <c r="K1067">
        <v>199500000</v>
      </c>
      <c r="L1067">
        <f>(Table1[[#This Row],[CLOSE_PRICE]] - Table1[[#This Row],[PREV_CL_PR]]) / Table1[[#This Row],[PREV_CL_PR]] * 100</f>
        <v>-5.7653701380175644</v>
      </c>
      <c r="M1067">
        <f>Table1[[#This Row],[HIGH_PRICE]]-Table1[[#This Row],[LOW_PRICE]]</f>
        <v>7.6200000000000045</v>
      </c>
      <c r="N1067" t="str">
        <f>IF(Table1[[#This Row],[CLOSE_PRICE]]&gt;Table1[[#This Row],[OPEN_PRICE]],"Gain","Loss")</f>
        <v>Loss</v>
      </c>
      <c r="O1067" t="str">
        <f>IF(Table1[[#This Row],[MARKET_CAP]]&gt;200000000000,"Large Cap",
IF(Table1[[#This Row],[MARKET_CAP]]&gt;50000000000,"Mid Cap","Small Cap"))</f>
        <v>Small Cap</v>
      </c>
      <c r="P1067" t="str">
        <f>IF(Table1[[#This Row],[NET_TRDQTY]]&gt;1000000,"High Volume","Low Volume")</f>
        <v>Low Volume</v>
      </c>
    </row>
    <row r="1068" spans="1:16" x14ac:dyDescent="0.3">
      <c r="A1068" t="s">
        <v>2141</v>
      </c>
      <c r="B1068" t="s">
        <v>2142</v>
      </c>
      <c r="C1068">
        <v>423</v>
      </c>
      <c r="D1068">
        <v>427.1</v>
      </c>
      <c r="E1068">
        <v>408.35</v>
      </c>
      <c r="F1068">
        <v>413.05</v>
      </c>
      <c r="G1068">
        <v>426.85</v>
      </c>
      <c r="H1068">
        <v>101330</v>
      </c>
      <c r="I1068">
        <v>8444</v>
      </c>
      <c r="J1068">
        <v>25454282664</v>
      </c>
      <c r="K1068">
        <v>61625185</v>
      </c>
      <c r="L1068">
        <f>(Table1[[#This Row],[CLOSE_PRICE]] - Table1[[#This Row],[PREV_CL_PR]]) / Table1[[#This Row],[PREV_CL_PR]] * 100</f>
        <v>-3.2329858264027198</v>
      </c>
      <c r="M1068">
        <f>Table1[[#This Row],[HIGH_PRICE]]-Table1[[#This Row],[LOW_PRICE]]</f>
        <v>18.75</v>
      </c>
      <c r="N1068" t="str">
        <f>IF(Table1[[#This Row],[CLOSE_PRICE]]&gt;Table1[[#This Row],[OPEN_PRICE]],"Gain","Loss")</f>
        <v>Loss</v>
      </c>
      <c r="O1068" t="str">
        <f>IF(Table1[[#This Row],[MARKET_CAP]]&gt;200000000000,"Large Cap",
IF(Table1[[#This Row],[MARKET_CAP]]&gt;50000000000,"Mid Cap","Small Cap"))</f>
        <v>Small Cap</v>
      </c>
      <c r="P1068" t="str">
        <f>IF(Table1[[#This Row],[NET_TRDQTY]]&gt;1000000,"High Volume","Low Volume")</f>
        <v>Low Volume</v>
      </c>
    </row>
    <row r="1069" spans="1:16" x14ac:dyDescent="0.3">
      <c r="A1069" t="s">
        <v>2143</v>
      </c>
      <c r="B1069" t="s">
        <v>2144</v>
      </c>
      <c r="C1069">
        <v>1535</v>
      </c>
      <c r="D1069">
        <v>1535</v>
      </c>
      <c r="E1069">
        <v>1409</v>
      </c>
      <c r="F1069">
        <v>1443.1</v>
      </c>
      <c r="G1069">
        <v>1545.2</v>
      </c>
      <c r="H1069">
        <v>136193</v>
      </c>
      <c r="I1069">
        <v>11946</v>
      </c>
      <c r="J1069">
        <v>35275292255</v>
      </c>
      <c r="K1069">
        <v>24444108</v>
      </c>
      <c r="L1069">
        <f>(Table1[[#This Row],[CLOSE_PRICE]] - Table1[[#This Row],[PREV_CL_PR]]) / Table1[[#This Row],[PREV_CL_PR]] * 100</f>
        <v>-6.6075588920528174</v>
      </c>
      <c r="M1069">
        <f>Table1[[#This Row],[HIGH_PRICE]]-Table1[[#This Row],[LOW_PRICE]]</f>
        <v>126</v>
      </c>
      <c r="N1069" t="str">
        <f>IF(Table1[[#This Row],[CLOSE_PRICE]]&gt;Table1[[#This Row],[OPEN_PRICE]],"Gain","Loss")</f>
        <v>Loss</v>
      </c>
      <c r="O1069" t="str">
        <f>IF(Table1[[#This Row],[MARKET_CAP]]&gt;200000000000,"Large Cap",
IF(Table1[[#This Row],[MARKET_CAP]]&gt;50000000000,"Mid Cap","Small Cap"))</f>
        <v>Small Cap</v>
      </c>
      <c r="P1069" t="str">
        <f>IF(Table1[[#This Row],[NET_TRDQTY]]&gt;1000000,"High Volume","Low Volume")</f>
        <v>Low Volume</v>
      </c>
    </row>
    <row r="1070" spans="1:16" x14ac:dyDescent="0.3">
      <c r="A1070" t="s">
        <v>2145</v>
      </c>
      <c r="B1070" t="s">
        <v>2146</v>
      </c>
      <c r="C1070">
        <v>25.66</v>
      </c>
      <c r="D1070">
        <v>25.66</v>
      </c>
      <c r="E1070">
        <v>24.42</v>
      </c>
      <c r="F1070">
        <v>24.54</v>
      </c>
      <c r="G1070">
        <v>25.74</v>
      </c>
      <c r="H1070">
        <v>90003</v>
      </c>
      <c r="I1070">
        <v>928</v>
      </c>
      <c r="J1070">
        <v>2257684172</v>
      </c>
      <c r="K1070">
        <v>92000170</v>
      </c>
      <c r="L1070">
        <f>(Table1[[#This Row],[CLOSE_PRICE]] - Table1[[#This Row],[PREV_CL_PR]]) / Table1[[#This Row],[PREV_CL_PR]] * 100</f>
        <v>-4.6620046620046596</v>
      </c>
      <c r="M1070">
        <f>Table1[[#This Row],[HIGH_PRICE]]-Table1[[#This Row],[LOW_PRICE]]</f>
        <v>1.2399999999999984</v>
      </c>
      <c r="N1070" t="str">
        <f>IF(Table1[[#This Row],[CLOSE_PRICE]]&gt;Table1[[#This Row],[OPEN_PRICE]],"Gain","Loss")</f>
        <v>Loss</v>
      </c>
      <c r="O1070" t="str">
        <f>IF(Table1[[#This Row],[MARKET_CAP]]&gt;200000000000,"Large Cap",
IF(Table1[[#This Row],[MARKET_CAP]]&gt;50000000000,"Mid Cap","Small Cap"))</f>
        <v>Small Cap</v>
      </c>
      <c r="P1070" t="str">
        <f>IF(Table1[[#This Row],[NET_TRDQTY]]&gt;1000000,"High Volume","Low Volume")</f>
        <v>Low Volume</v>
      </c>
    </row>
    <row r="1071" spans="1:16" x14ac:dyDescent="0.3">
      <c r="A1071" t="s">
        <v>2147</v>
      </c>
      <c r="B1071" t="s">
        <v>2148</v>
      </c>
      <c r="C1071">
        <v>168.5</v>
      </c>
      <c r="D1071">
        <v>169.7</v>
      </c>
      <c r="E1071">
        <v>162.54</v>
      </c>
      <c r="F1071">
        <v>162.75</v>
      </c>
      <c r="G1071">
        <v>171.09</v>
      </c>
      <c r="H1071">
        <v>11371</v>
      </c>
      <c r="I1071">
        <v>266</v>
      </c>
      <c r="J1071">
        <v>4068572603</v>
      </c>
      <c r="K1071">
        <v>24998910</v>
      </c>
      <c r="L1071">
        <f>(Table1[[#This Row],[CLOSE_PRICE]] - Table1[[#This Row],[PREV_CL_PR]]) / Table1[[#This Row],[PREV_CL_PR]] * 100</f>
        <v>-4.8746273890934617</v>
      </c>
      <c r="M1071">
        <f>Table1[[#This Row],[HIGH_PRICE]]-Table1[[#This Row],[LOW_PRICE]]</f>
        <v>7.1599999999999966</v>
      </c>
      <c r="N1071" t="str">
        <f>IF(Table1[[#This Row],[CLOSE_PRICE]]&gt;Table1[[#This Row],[OPEN_PRICE]],"Gain","Loss")</f>
        <v>Loss</v>
      </c>
      <c r="O1071" t="str">
        <f>IF(Table1[[#This Row],[MARKET_CAP]]&gt;200000000000,"Large Cap",
IF(Table1[[#This Row],[MARKET_CAP]]&gt;50000000000,"Mid Cap","Small Cap"))</f>
        <v>Small Cap</v>
      </c>
      <c r="P1071" t="str">
        <f>IF(Table1[[#This Row],[NET_TRDQTY]]&gt;1000000,"High Volume","Low Volume")</f>
        <v>Low Volume</v>
      </c>
    </row>
    <row r="1072" spans="1:16" x14ac:dyDescent="0.3">
      <c r="A1072" t="s">
        <v>2149</v>
      </c>
      <c r="B1072" t="s">
        <v>2150</v>
      </c>
      <c r="C1072">
        <v>117.5</v>
      </c>
      <c r="D1072">
        <v>117.5</v>
      </c>
      <c r="E1072">
        <v>111</v>
      </c>
      <c r="F1072">
        <v>114.06</v>
      </c>
      <c r="G1072">
        <v>118.01</v>
      </c>
      <c r="H1072">
        <v>1512358</v>
      </c>
      <c r="I1072">
        <v>20272</v>
      </c>
      <c r="J1072">
        <v>32077618476</v>
      </c>
      <c r="K1072">
        <v>281234600</v>
      </c>
      <c r="L1072">
        <f>(Table1[[#This Row],[CLOSE_PRICE]] - Table1[[#This Row],[PREV_CL_PR]]) / Table1[[#This Row],[PREV_CL_PR]] * 100</f>
        <v>-3.3471739683077728</v>
      </c>
      <c r="M1072">
        <f>Table1[[#This Row],[HIGH_PRICE]]-Table1[[#This Row],[LOW_PRICE]]</f>
        <v>6.5</v>
      </c>
      <c r="N1072" t="str">
        <f>IF(Table1[[#This Row],[CLOSE_PRICE]]&gt;Table1[[#This Row],[OPEN_PRICE]],"Gain","Loss")</f>
        <v>Loss</v>
      </c>
      <c r="O1072" t="str">
        <f>IF(Table1[[#This Row],[MARKET_CAP]]&gt;200000000000,"Large Cap",
IF(Table1[[#This Row],[MARKET_CAP]]&gt;50000000000,"Mid Cap","Small Cap"))</f>
        <v>Small Cap</v>
      </c>
      <c r="P1072" t="str">
        <f>IF(Table1[[#This Row],[NET_TRDQTY]]&gt;1000000,"High Volume","Low Volume")</f>
        <v>High Volume</v>
      </c>
    </row>
    <row r="1073" spans="1:16" x14ac:dyDescent="0.3">
      <c r="A1073" t="s">
        <v>2151</v>
      </c>
      <c r="B1073" t="s">
        <v>2152</v>
      </c>
      <c r="C1073">
        <v>23</v>
      </c>
      <c r="D1073">
        <v>23</v>
      </c>
      <c r="E1073">
        <v>21.5</v>
      </c>
      <c r="F1073">
        <v>21.96</v>
      </c>
      <c r="G1073">
        <v>22.69</v>
      </c>
      <c r="H1073">
        <v>80735</v>
      </c>
      <c r="I1073">
        <v>1170</v>
      </c>
      <c r="J1073">
        <v>814090798.79999995</v>
      </c>
      <c r="K1073">
        <v>37071530</v>
      </c>
      <c r="L1073">
        <f>(Table1[[#This Row],[CLOSE_PRICE]] - Table1[[#This Row],[PREV_CL_PR]]) / Table1[[#This Row],[PREV_CL_PR]] * 100</f>
        <v>-3.2172763331864274</v>
      </c>
      <c r="M1073">
        <f>Table1[[#This Row],[HIGH_PRICE]]-Table1[[#This Row],[LOW_PRICE]]</f>
        <v>1.5</v>
      </c>
      <c r="N1073" t="str">
        <f>IF(Table1[[#This Row],[CLOSE_PRICE]]&gt;Table1[[#This Row],[OPEN_PRICE]],"Gain","Loss")</f>
        <v>Loss</v>
      </c>
      <c r="O1073" t="str">
        <f>IF(Table1[[#This Row],[MARKET_CAP]]&gt;200000000000,"Large Cap",
IF(Table1[[#This Row],[MARKET_CAP]]&gt;50000000000,"Mid Cap","Small Cap"))</f>
        <v>Small Cap</v>
      </c>
      <c r="P1073" t="str">
        <f>IF(Table1[[#This Row],[NET_TRDQTY]]&gt;1000000,"High Volume","Low Volume")</f>
        <v>Low Volume</v>
      </c>
    </row>
    <row r="1074" spans="1:16" x14ac:dyDescent="0.3">
      <c r="A1074" t="s">
        <v>2153</v>
      </c>
      <c r="B1074" t="s">
        <v>2154</v>
      </c>
      <c r="C1074">
        <v>76.94</v>
      </c>
      <c r="D1074">
        <v>77.11</v>
      </c>
      <c r="E1074">
        <v>73.010000000000005</v>
      </c>
      <c r="F1074">
        <v>73.58</v>
      </c>
      <c r="G1074">
        <v>76.94</v>
      </c>
      <c r="H1074">
        <v>67600</v>
      </c>
      <c r="I1074">
        <v>769</v>
      </c>
      <c r="J1074">
        <v>7380354046</v>
      </c>
      <c r="K1074">
        <v>100303806</v>
      </c>
      <c r="L1074">
        <f>(Table1[[#This Row],[CLOSE_PRICE]] - Table1[[#This Row],[PREV_CL_PR]]) / Table1[[#This Row],[PREV_CL_PR]] * 100</f>
        <v>-4.3670392513646989</v>
      </c>
      <c r="M1074">
        <f>Table1[[#This Row],[HIGH_PRICE]]-Table1[[#This Row],[LOW_PRICE]]</f>
        <v>4.0999999999999943</v>
      </c>
      <c r="N1074" t="str">
        <f>IF(Table1[[#This Row],[CLOSE_PRICE]]&gt;Table1[[#This Row],[OPEN_PRICE]],"Gain","Loss")</f>
        <v>Loss</v>
      </c>
      <c r="O1074" t="str">
        <f>IF(Table1[[#This Row],[MARKET_CAP]]&gt;200000000000,"Large Cap",
IF(Table1[[#This Row],[MARKET_CAP]]&gt;50000000000,"Mid Cap","Small Cap"))</f>
        <v>Small Cap</v>
      </c>
      <c r="P1074" t="str">
        <f>IF(Table1[[#This Row],[NET_TRDQTY]]&gt;1000000,"High Volume","Low Volume")</f>
        <v>Low Volume</v>
      </c>
    </row>
    <row r="1075" spans="1:16" x14ac:dyDescent="0.3">
      <c r="A1075" t="s">
        <v>2155</v>
      </c>
      <c r="B1075" t="s">
        <v>2156</v>
      </c>
      <c r="C1075">
        <v>324.60000000000002</v>
      </c>
      <c r="D1075">
        <v>330</v>
      </c>
      <c r="E1075">
        <v>317.25</v>
      </c>
      <c r="F1075">
        <v>323.10000000000002</v>
      </c>
      <c r="G1075">
        <v>324.64999999999998</v>
      </c>
      <c r="H1075">
        <v>80610</v>
      </c>
      <c r="I1075">
        <v>2773</v>
      </c>
      <c r="J1075">
        <v>28652538371</v>
      </c>
      <c r="K1075">
        <v>88680094</v>
      </c>
      <c r="L1075">
        <f>(Table1[[#This Row],[CLOSE_PRICE]] - Table1[[#This Row],[PREV_CL_PR]]) / Table1[[#This Row],[PREV_CL_PR]] * 100</f>
        <v>-0.47743724010471422</v>
      </c>
      <c r="M1075">
        <f>Table1[[#This Row],[HIGH_PRICE]]-Table1[[#This Row],[LOW_PRICE]]</f>
        <v>12.75</v>
      </c>
      <c r="N1075" t="str">
        <f>IF(Table1[[#This Row],[CLOSE_PRICE]]&gt;Table1[[#This Row],[OPEN_PRICE]],"Gain","Loss")</f>
        <v>Loss</v>
      </c>
      <c r="O1075" t="str">
        <f>IF(Table1[[#This Row],[MARKET_CAP]]&gt;200000000000,"Large Cap",
IF(Table1[[#This Row],[MARKET_CAP]]&gt;50000000000,"Mid Cap","Small Cap"))</f>
        <v>Small Cap</v>
      </c>
      <c r="P1075" t="str">
        <f>IF(Table1[[#This Row],[NET_TRDQTY]]&gt;1000000,"High Volume","Low Volume")</f>
        <v>Low Volume</v>
      </c>
    </row>
    <row r="1076" spans="1:16" x14ac:dyDescent="0.3">
      <c r="A1076" t="s">
        <v>2157</v>
      </c>
      <c r="B1076" t="s">
        <v>2158</v>
      </c>
      <c r="C1076">
        <v>118.9</v>
      </c>
      <c r="D1076">
        <v>118.99</v>
      </c>
      <c r="E1076">
        <v>110.8</v>
      </c>
      <c r="F1076">
        <v>114.08</v>
      </c>
      <c r="G1076">
        <v>118.22</v>
      </c>
      <c r="H1076">
        <v>337418</v>
      </c>
      <c r="I1076">
        <v>3352</v>
      </c>
      <c r="J1076">
        <v>5508649522</v>
      </c>
      <c r="K1076">
        <v>48287601</v>
      </c>
      <c r="L1076">
        <f>(Table1[[#This Row],[CLOSE_PRICE]] - Table1[[#This Row],[PREV_CL_PR]]) / Table1[[#This Row],[PREV_CL_PR]] * 100</f>
        <v>-3.5019455252918297</v>
      </c>
      <c r="M1076">
        <f>Table1[[#This Row],[HIGH_PRICE]]-Table1[[#This Row],[LOW_PRICE]]</f>
        <v>8.1899999999999977</v>
      </c>
      <c r="N1076" t="str">
        <f>IF(Table1[[#This Row],[CLOSE_PRICE]]&gt;Table1[[#This Row],[OPEN_PRICE]],"Gain","Loss")</f>
        <v>Loss</v>
      </c>
      <c r="O1076" t="str">
        <f>IF(Table1[[#This Row],[MARKET_CAP]]&gt;200000000000,"Large Cap",
IF(Table1[[#This Row],[MARKET_CAP]]&gt;50000000000,"Mid Cap","Small Cap"))</f>
        <v>Small Cap</v>
      </c>
      <c r="P1076" t="str">
        <f>IF(Table1[[#This Row],[NET_TRDQTY]]&gt;1000000,"High Volume","Low Volume")</f>
        <v>Low Volume</v>
      </c>
    </row>
    <row r="1077" spans="1:16" x14ac:dyDescent="0.3">
      <c r="A1077" t="s">
        <v>2159</v>
      </c>
      <c r="B1077" t="s">
        <v>2160</v>
      </c>
      <c r="C1077">
        <v>23.94</v>
      </c>
      <c r="D1077">
        <v>23.94</v>
      </c>
      <c r="E1077">
        <v>22.72</v>
      </c>
      <c r="F1077">
        <v>23.31</v>
      </c>
      <c r="G1077">
        <v>23.7</v>
      </c>
      <c r="H1077">
        <v>60632</v>
      </c>
      <c r="I1077">
        <v>567</v>
      </c>
      <c r="J1077">
        <v>1932132800</v>
      </c>
      <c r="K1077">
        <v>82888580</v>
      </c>
      <c r="L1077">
        <f>(Table1[[#This Row],[CLOSE_PRICE]] - Table1[[#This Row],[PREV_CL_PR]]) / Table1[[#This Row],[PREV_CL_PR]] * 100</f>
        <v>-1.6455696202531671</v>
      </c>
      <c r="M1077">
        <f>Table1[[#This Row],[HIGH_PRICE]]-Table1[[#This Row],[LOW_PRICE]]</f>
        <v>1.2200000000000024</v>
      </c>
      <c r="N1077" t="str">
        <f>IF(Table1[[#This Row],[CLOSE_PRICE]]&gt;Table1[[#This Row],[OPEN_PRICE]],"Gain","Loss")</f>
        <v>Loss</v>
      </c>
      <c r="O1077" t="str">
        <f>IF(Table1[[#This Row],[MARKET_CAP]]&gt;200000000000,"Large Cap",
IF(Table1[[#This Row],[MARKET_CAP]]&gt;50000000000,"Mid Cap","Small Cap"))</f>
        <v>Small Cap</v>
      </c>
      <c r="P1077" t="str">
        <f>IF(Table1[[#This Row],[NET_TRDQTY]]&gt;1000000,"High Volume","Low Volume")</f>
        <v>Low Volume</v>
      </c>
    </row>
    <row r="1078" spans="1:16" x14ac:dyDescent="0.3">
      <c r="A1078" t="s">
        <v>2161</v>
      </c>
      <c r="B1078" t="s">
        <v>2162</v>
      </c>
      <c r="C1078">
        <v>110.88</v>
      </c>
      <c r="D1078">
        <v>110.88</v>
      </c>
      <c r="E1078">
        <v>104</v>
      </c>
      <c r="F1078">
        <v>106.39</v>
      </c>
      <c r="G1078">
        <v>110.88</v>
      </c>
      <c r="H1078">
        <v>70376</v>
      </c>
      <c r="I1078">
        <v>1611</v>
      </c>
      <c r="J1078">
        <v>6260668496</v>
      </c>
      <c r="K1078">
        <v>58846400</v>
      </c>
      <c r="L1078">
        <f>(Table1[[#This Row],[CLOSE_PRICE]] - Table1[[#This Row],[PREV_CL_PR]]) / Table1[[#This Row],[PREV_CL_PR]] * 100</f>
        <v>-4.0494227994227954</v>
      </c>
      <c r="M1078">
        <f>Table1[[#This Row],[HIGH_PRICE]]-Table1[[#This Row],[LOW_PRICE]]</f>
        <v>6.8799999999999955</v>
      </c>
      <c r="N1078" t="str">
        <f>IF(Table1[[#This Row],[CLOSE_PRICE]]&gt;Table1[[#This Row],[OPEN_PRICE]],"Gain","Loss")</f>
        <v>Loss</v>
      </c>
      <c r="O1078" t="str">
        <f>IF(Table1[[#This Row],[MARKET_CAP]]&gt;200000000000,"Large Cap",
IF(Table1[[#This Row],[MARKET_CAP]]&gt;50000000000,"Mid Cap","Small Cap"))</f>
        <v>Small Cap</v>
      </c>
      <c r="P1078" t="str">
        <f>IF(Table1[[#This Row],[NET_TRDQTY]]&gt;1000000,"High Volume","Low Volume")</f>
        <v>Low Volume</v>
      </c>
    </row>
    <row r="1079" spans="1:16" x14ac:dyDescent="0.3">
      <c r="A1079" t="s">
        <v>2163</v>
      </c>
      <c r="B1079" t="s">
        <v>2164</v>
      </c>
      <c r="C1079">
        <v>63.86</v>
      </c>
      <c r="D1079">
        <v>64.09</v>
      </c>
      <c r="E1079">
        <v>61.3</v>
      </c>
      <c r="F1079">
        <v>61.89</v>
      </c>
      <c r="G1079">
        <v>63.86</v>
      </c>
      <c r="H1079">
        <v>7292</v>
      </c>
      <c r="I1079">
        <v>170</v>
      </c>
      <c r="J1079">
        <v>3694073610</v>
      </c>
      <c r="K1079">
        <v>59687730</v>
      </c>
      <c r="L1079">
        <f>(Table1[[#This Row],[CLOSE_PRICE]] - Table1[[#This Row],[PREV_CL_PR]]) / Table1[[#This Row],[PREV_CL_PR]] * 100</f>
        <v>-3.0848731600375805</v>
      </c>
      <c r="M1079">
        <f>Table1[[#This Row],[HIGH_PRICE]]-Table1[[#This Row],[LOW_PRICE]]</f>
        <v>2.7900000000000063</v>
      </c>
      <c r="N1079" t="str">
        <f>IF(Table1[[#This Row],[CLOSE_PRICE]]&gt;Table1[[#This Row],[OPEN_PRICE]],"Gain","Loss")</f>
        <v>Loss</v>
      </c>
      <c r="O1079" t="str">
        <f>IF(Table1[[#This Row],[MARKET_CAP]]&gt;200000000000,"Large Cap",
IF(Table1[[#This Row],[MARKET_CAP]]&gt;50000000000,"Mid Cap","Small Cap"))</f>
        <v>Small Cap</v>
      </c>
      <c r="P1079" t="str">
        <f>IF(Table1[[#This Row],[NET_TRDQTY]]&gt;1000000,"High Volume","Low Volume")</f>
        <v>Low Volume</v>
      </c>
    </row>
    <row r="1080" spans="1:16" x14ac:dyDescent="0.3">
      <c r="A1080" t="s">
        <v>2165</v>
      </c>
      <c r="B1080" t="s">
        <v>2166</v>
      </c>
      <c r="C1080">
        <v>373</v>
      </c>
      <c r="D1080">
        <v>399.4</v>
      </c>
      <c r="E1080">
        <v>364</v>
      </c>
      <c r="F1080">
        <v>386.05</v>
      </c>
      <c r="G1080">
        <v>371</v>
      </c>
      <c r="H1080">
        <v>54458</v>
      </c>
      <c r="I1080">
        <v>1498</v>
      </c>
      <c r="J1080">
        <v>3968252732</v>
      </c>
      <c r="K1080">
        <v>10279116</v>
      </c>
      <c r="L1080">
        <f>(Table1[[#This Row],[CLOSE_PRICE]] - Table1[[#This Row],[PREV_CL_PR]]) / Table1[[#This Row],[PREV_CL_PR]] * 100</f>
        <v>4.056603773584909</v>
      </c>
      <c r="M1080">
        <f>Table1[[#This Row],[HIGH_PRICE]]-Table1[[#This Row],[LOW_PRICE]]</f>
        <v>35.399999999999977</v>
      </c>
      <c r="N1080" t="str">
        <f>IF(Table1[[#This Row],[CLOSE_PRICE]]&gt;Table1[[#This Row],[OPEN_PRICE]],"Gain","Loss")</f>
        <v>Gain</v>
      </c>
      <c r="O1080" t="str">
        <f>IF(Table1[[#This Row],[MARKET_CAP]]&gt;200000000000,"Large Cap",
IF(Table1[[#This Row],[MARKET_CAP]]&gt;50000000000,"Mid Cap","Small Cap"))</f>
        <v>Small Cap</v>
      </c>
      <c r="P1080" t="str">
        <f>IF(Table1[[#This Row],[NET_TRDQTY]]&gt;1000000,"High Volume","Low Volume")</f>
        <v>Low Volume</v>
      </c>
    </row>
    <row r="1081" spans="1:16" x14ac:dyDescent="0.3">
      <c r="A1081" t="s">
        <v>2167</v>
      </c>
      <c r="B1081" t="s">
        <v>2168</v>
      </c>
      <c r="C1081">
        <v>277</v>
      </c>
      <c r="D1081">
        <v>278</v>
      </c>
      <c r="E1081">
        <v>262.55</v>
      </c>
      <c r="F1081">
        <v>264.5</v>
      </c>
      <c r="G1081">
        <v>279.2</v>
      </c>
      <c r="H1081">
        <v>218127</v>
      </c>
      <c r="I1081">
        <v>6493</v>
      </c>
      <c r="J1081">
        <v>17696912345</v>
      </c>
      <c r="K1081">
        <v>66907041</v>
      </c>
      <c r="L1081">
        <f>(Table1[[#This Row],[CLOSE_PRICE]] - Table1[[#This Row],[PREV_CL_PR]]) / Table1[[#This Row],[PREV_CL_PR]] * 100</f>
        <v>-5.2650429799426899</v>
      </c>
      <c r="M1081">
        <f>Table1[[#This Row],[HIGH_PRICE]]-Table1[[#This Row],[LOW_PRICE]]</f>
        <v>15.449999999999989</v>
      </c>
      <c r="N1081" t="str">
        <f>IF(Table1[[#This Row],[CLOSE_PRICE]]&gt;Table1[[#This Row],[OPEN_PRICE]],"Gain","Loss")</f>
        <v>Loss</v>
      </c>
      <c r="O1081" t="str">
        <f>IF(Table1[[#This Row],[MARKET_CAP]]&gt;200000000000,"Large Cap",
IF(Table1[[#This Row],[MARKET_CAP]]&gt;50000000000,"Mid Cap","Small Cap"))</f>
        <v>Small Cap</v>
      </c>
      <c r="P1081" t="str">
        <f>IF(Table1[[#This Row],[NET_TRDQTY]]&gt;1000000,"High Volume","Low Volume")</f>
        <v>Low Volume</v>
      </c>
    </row>
    <row r="1082" spans="1:16" x14ac:dyDescent="0.3">
      <c r="A1082" t="s">
        <v>2169</v>
      </c>
      <c r="B1082" t="s">
        <v>2170</v>
      </c>
      <c r="C1082">
        <v>373.25</v>
      </c>
      <c r="D1082">
        <v>375</v>
      </c>
      <c r="E1082">
        <v>356</v>
      </c>
      <c r="F1082">
        <v>357.95</v>
      </c>
      <c r="G1082">
        <v>378</v>
      </c>
      <c r="H1082">
        <v>930222</v>
      </c>
      <c r="I1082">
        <v>24999</v>
      </c>
      <c r="J1082">
        <v>70638237080</v>
      </c>
      <c r="K1082">
        <v>197341073</v>
      </c>
      <c r="L1082">
        <f>(Table1[[#This Row],[CLOSE_PRICE]] - Table1[[#This Row],[PREV_CL_PR]]) / Table1[[#This Row],[PREV_CL_PR]] * 100</f>
        <v>-5.3042328042328073</v>
      </c>
      <c r="M1082">
        <f>Table1[[#This Row],[HIGH_PRICE]]-Table1[[#This Row],[LOW_PRICE]]</f>
        <v>19</v>
      </c>
      <c r="N1082" t="str">
        <f>IF(Table1[[#This Row],[CLOSE_PRICE]]&gt;Table1[[#This Row],[OPEN_PRICE]],"Gain","Loss")</f>
        <v>Loss</v>
      </c>
      <c r="O1082" t="str">
        <f>IF(Table1[[#This Row],[MARKET_CAP]]&gt;200000000000,"Large Cap",
IF(Table1[[#This Row],[MARKET_CAP]]&gt;50000000000,"Mid Cap","Small Cap"))</f>
        <v>Mid Cap</v>
      </c>
      <c r="P1082" t="str">
        <f>IF(Table1[[#This Row],[NET_TRDQTY]]&gt;1000000,"High Volume","Low Volume")</f>
        <v>Low Volume</v>
      </c>
    </row>
    <row r="1083" spans="1:16" x14ac:dyDescent="0.3">
      <c r="A1083" t="s">
        <v>2171</v>
      </c>
      <c r="B1083" t="s">
        <v>2172</v>
      </c>
      <c r="C1083">
        <v>1060</v>
      </c>
      <c r="D1083">
        <v>1060</v>
      </c>
      <c r="E1083">
        <v>1007.1</v>
      </c>
      <c r="F1083">
        <v>1018.1</v>
      </c>
      <c r="G1083">
        <v>1071</v>
      </c>
      <c r="H1083">
        <v>264246</v>
      </c>
      <c r="I1083">
        <v>21525</v>
      </c>
      <c r="J1083">
        <v>174000000000</v>
      </c>
      <c r="K1083">
        <v>170772546</v>
      </c>
      <c r="L1083">
        <f>(Table1[[#This Row],[CLOSE_PRICE]] - Table1[[#This Row],[PREV_CL_PR]]) / Table1[[#This Row],[PREV_CL_PR]] * 100</f>
        <v>-4.9393090569561133</v>
      </c>
      <c r="M1083">
        <f>Table1[[#This Row],[HIGH_PRICE]]-Table1[[#This Row],[LOW_PRICE]]</f>
        <v>52.899999999999977</v>
      </c>
      <c r="N1083" t="str">
        <f>IF(Table1[[#This Row],[CLOSE_PRICE]]&gt;Table1[[#This Row],[OPEN_PRICE]],"Gain","Loss")</f>
        <v>Loss</v>
      </c>
      <c r="O1083" t="str">
        <f>IF(Table1[[#This Row],[MARKET_CAP]]&gt;200000000000,"Large Cap",
IF(Table1[[#This Row],[MARKET_CAP]]&gt;50000000000,"Mid Cap","Small Cap"))</f>
        <v>Mid Cap</v>
      </c>
      <c r="P1083" t="str">
        <f>IF(Table1[[#This Row],[NET_TRDQTY]]&gt;1000000,"High Volume","Low Volume")</f>
        <v>Low Volume</v>
      </c>
    </row>
    <row r="1084" spans="1:16" x14ac:dyDescent="0.3">
      <c r="A1084" t="s">
        <v>2173</v>
      </c>
      <c r="B1084" t="s">
        <v>2174</v>
      </c>
      <c r="C1084">
        <v>650</v>
      </c>
      <c r="D1084">
        <v>662.9</v>
      </c>
      <c r="E1084">
        <v>645.54999999999995</v>
      </c>
      <c r="F1084">
        <v>659.3</v>
      </c>
      <c r="G1084">
        <v>660.95</v>
      </c>
      <c r="H1084">
        <v>2233577</v>
      </c>
      <c r="I1084">
        <v>50446</v>
      </c>
      <c r="J1084">
        <v>181000000000</v>
      </c>
      <c r="K1084">
        <v>274143808</v>
      </c>
      <c r="L1084">
        <f>(Table1[[#This Row],[CLOSE_PRICE]] - Table1[[#This Row],[PREV_CL_PR]]) / Table1[[#This Row],[PREV_CL_PR]] * 100</f>
        <v>-0.24964066873441118</v>
      </c>
      <c r="M1084">
        <f>Table1[[#This Row],[HIGH_PRICE]]-Table1[[#This Row],[LOW_PRICE]]</f>
        <v>17.350000000000023</v>
      </c>
      <c r="N1084" t="str">
        <f>IF(Table1[[#This Row],[CLOSE_PRICE]]&gt;Table1[[#This Row],[OPEN_PRICE]],"Gain","Loss")</f>
        <v>Gain</v>
      </c>
      <c r="O1084" t="str">
        <f>IF(Table1[[#This Row],[MARKET_CAP]]&gt;200000000000,"Large Cap",
IF(Table1[[#This Row],[MARKET_CAP]]&gt;50000000000,"Mid Cap","Small Cap"))</f>
        <v>Mid Cap</v>
      </c>
      <c r="P1084" t="str">
        <f>IF(Table1[[#This Row],[NET_TRDQTY]]&gt;1000000,"High Volume","Low Volume")</f>
        <v>High Volume</v>
      </c>
    </row>
    <row r="1085" spans="1:16" x14ac:dyDescent="0.3">
      <c r="A1085" t="s">
        <v>2175</v>
      </c>
      <c r="B1085" t="s">
        <v>2176</v>
      </c>
      <c r="C1085">
        <v>817.95</v>
      </c>
      <c r="D1085">
        <v>833</v>
      </c>
      <c r="E1085">
        <v>804</v>
      </c>
      <c r="F1085">
        <v>822.75</v>
      </c>
      <c r="G1085">
        <v>823.1</v>
      </c>
      <c r="H1085">
        <v>556327</v>
      </c>
      <c r="I1085">
        <v>29485</v>
      </c>
      <c r="J1085">
        <v>281000000000</v>
      </c>
      <c r="K1085">
        <v>341814000</v>
      </c>
      <c r="L1085">
        <f>(Table1[[#This Row],[CLOSE_PRICE]] - Table1[[#This Row],[PREV_CL_PR]]) / Table1[[#This Row],[PREV_CL_PR]] * 100</f>
        <v>-4.2522172275546437E-2</v>
      </c>
      <c r="M1085">
        <f>Table1[[#This Row],[HIGH_PRICE]]-Table1[[#This Row],[LOW_PRICE]]</f>
        <v>29</v>
      </c>
      <c r="N1085" t="str">
        <f>IF(Table1[[#This Row],[CLOSE_PRICE]]&gt;Table1[[#This Row],[OPEN_PRICE]],"Gain","Loss")</f>
        <v>Gain</v>
      </c>
      <c r="O1085" t="str">
        <f>IF(Table1[[#This Row],[MARKET_CAP]]&gt;200000000000,"Large Cap",
IF(Table1[[#This Row],[MARKET_CAP]]&gt;50000000000,"Mid Cap","Small Cap"))</f>
        <v>Large Cap</v>
      </c>
      <c r="P1085" t="str">
        <f>IF(Table1[[#This Row],[NET_TRDQTY]]&gt;1000000,"High Volume","Low Volume")</f>
        <v>Low Volume</v>
      </c>
    </row>
    <row r="1086" spans="1:16" x14ac:dyDescent="0.3">
      <c r="A1086" t="s">
        <v>2177</v>
      </c>
      <c r="B1086" t="s">
        <v>2178</v>
      </c>
      <c r="C1086">
        <v>287.35000000000002</v>
      </c>
      <c r="D1086">
        <v>294.89999999999998</v>
      </c>
      <c r="E1086">
        <v>282.35000000000002</v>
      </c>
      <c r="F1086">
        <v>285.2</v>
      </c>
      <c r="G1086">
        <v>287.35000000000002</v>
      </c>
      <c r="H1086">
        <v>865241</v>
      </c>
      <c r="I1086">
        <v>26036</v>
      </c>
      <c r="J1086">
        <v>65279397198</v>
      </c>
      <c r="K1086">
        <v>228889892</v>
      </c>
      <c r="L1086">
        <f>(Table1[[#This Row],[CLOSE_PRICE]] - Table1[[#This Row],[PREV_CL_PR]]) / Table1[[#This Row],[PREV_CL_PR]] * 100</f>
        <v>-0.74821646076214854</v>
      </c>
      <c r="M1086">
        <f>Table1[[#This Row],[HIGH_PRICE]]-Table1[[#This Row],[LOW_PRICE]]</f>
        <v>12.549999999999955</v>
      </c>
      <c r="N1086" t="str">
        <f>IF(Table1[[#This Row],[CLOSE_PRICE]]&gt;Table1[[#This Row],[OPEN_PRICE]],"Gain","Loss")</f>
        <v>Loss</v>
      </c>
      <c r="O1086" t="str">
        <f>IF(Table1[[#This Row],[MARKET_CAP]]&gt;200000000000,"Large Cap",
IF(Table1[[#This Row],[MARKET_CAP]]&gt;50000000000,"Mid Cap","Small Cap"))</f>
        <v>Mid Cap</v>
      </c>
      <c r="P1086" t="str">
        <f>IF(Table1[[#This Row],[NET_TRDQTY]]&gt;1000000,"High Volume","Low Volume")</f>
        <v>Low Volume</v>
      </c>
    </row>
    <row r="1087" spans="1:16" x14ac:dyDescent="0.3">
      <c r="A1087" t="s">
        <v>2179</v>
      </c>
      <c r="B1087" t="s">
        <v>2180</v>
      </c>
      <c r="C1087">
        <v>47.76</v>
      </c>
      <c r="D1087">
        <v>47.76</v>
      </c>
      <c r="E1087">
        <v>45.75</v>
      </c>
      <c r="F1087">
        <v>45.98</v>
      </c>
      <c r="G1087">
        <v>48</v>
      </c>
      <c r="H1087">
        <v>1652</v>
      </c>
      <c r="I1087">
        <v>54</v>
      </c>
      <c r="J1087">
        <v>991355744.29999995</v>
      </c>
      <c r="K1087">
        <v>21560586</v>
      </c>
      <c r="L1087">
        <f>(Table1[[#This Row],[CLOSE_PRICE]] - Table1[[#This Row],[PREV_CL_PR]]) / Table1[[#This Row],[PREV_CL_PR]] * 100</f>
        <v>-4.2083333333333393</v>
      </c>
      <c r="M1087">
        <f>Table1[[#This Row],[HIGH_PRICE]]-Table1[[#This Row],[LOW_PRICE]]</f>
        <v>2.009999999999998</v>
      </c>
      <c r="N1087" t="str">
        <f>IF(Table1[[#This Row],[CLOSE_PRICE]]&gt;Table1[[#This Row],[OPEN_PRICE]],"Gain","Loss")</f>
        <v>Loss</v>
      </c>
      <c r="O1087" t="str">
        <f>IF(Table1[[#This Row],[MARKET_CAP]]&gt;200000000000,"Large Cap",
IF(Table1[[#This Row],[MARKET_CAP]]&gt;50000000000,"Mid Cap","Small Cap"))</f>
        <v>Small Cap</v>
      </c>
      <c r="P1087" t="str">
        <f>IF(Table1[[#This Row],[NET_TRDQTY]]&gt;1000000,"High Volume","Low Volume")</f>
        <v>Low Volume</v>
      </c>
    </row>
    <row r="1088" spans="1:16" x14ac:dyDescent="0.3">
      <c r="A1088" t="s">
        <v>2181</v>
      </c>
      <c r="B1088" t="s">
        <v>2182</v>
      </c>
      <c r="C1088">
        <v>2.36</v>
      </c>
      <c r="D1088">
        <v>2.54</v>
      </c>
      <c r="E1088">
        <v>2.21</v>
      </c>
      <c r="F1088">
        <v>2.25</v>
      </c>
      <c r="G1088">
        <v>2.3199999999999998</v>
      </c>
      <c r="H1088">
        <v>232589</v>
      </c>
      <c r="I1088">
        <v>217</v>
      </c>
      <c r="J1088">
        <v>213253211.30000001</v>
      </c>
      <c r="K1088">
        <v>94779205</v>
      </c>
      <c r="L1088">
        <f>(Table1[[#This Row],[CLOSE_PRICE]] - Table1[[#This Row],[PREV_CL_PR]]) / Table1[[#This Row],[PREV_CL_PR]] * 100</f>
        <v>-3.0172413793103381</v>
      </c>
      <c r="M1088">
        <f>Table1[[#This Row],[HIGH_PRICE]]-Table1[[#This Row],[LOW_PRICE]]</f>
        <v>0.33000000000000007</v>
      </c>
      <c r="N1088" t="str">
        <f>IF(Table1[[#This Row],[CLOSE_PRICE]]&gt;Table1[[#This Row],[OPEN_PRICE]],"Gain","Loss")</f>
        <v>Loss</v>
      </c>
      <c r="O1088" t="str">
        <f>IF(Table1[[#This Row],[MARKET_CAP]]&gt;200000000000,"Large Cap",
IF(Table1[[#This Row],[MARKET_CAP]]&gt;50000000000,"Mid Cap","Small Cap"))</f>
        <v>Small Cap</v>
      </c>
      <c r="P1088" t="str">
        <f>IF(Table1[[#This Row],[NET_TRDQTY]]&gt;1000000,"High Volume","Low Volume")</f>
        <v>Low Volume</v>
      </c>
    </row>
    <row r="1089" spans="1:16" x14ac:dyDescent="0.3">
      <c r="A1089" t="s">
        <v>2183</v>
      </c>
      <c r="B1089" t="s">
        <v>2184</v>
      </c>
      <c r="C1089">
        <v>479.9</v>
      </c>
      <c r="D1089">
        <v>479.9</v>
      </c>
      <c r="E1089">
        <v>466.2</v>
      </c>
      <c r="F1089">
        <v>469</v>
      </c>
      <c r="G1089">
        <v>487.2</v>
      </c>
      <c r="H1089">
        <v>62559</v>
      </c>
      <c r="I1089">
        <v>2182</v>
      </c>
      <c r="J1089">
        <v>28399169400</v>
      </c>
      <c r="K1089">
        <v>60552600</v>
      </c>
      <c r="L1089">
        <f>(Table1[[#This Row],[CLOSE_PRICE]] - Table1[[#This Row],[PREV_CL_PR]]) / Table1[[#This Row],[PREV_CL_PR]] * 100</f>
        <v>-3.7356321839080433</v>
      </c>
      <c r="M1089">
        <f>Table1[[#This Row],[HIGH_PRICE]]-Table1[[#This Row],[LOW_PRICE]]</f>
        <v>13.699999999999989</v>
      </c>
      <c r="N1089" t="str">
        <f>IF(Table1[[#This Row],[CLOSE_PRICE]]&gt;Table1[[#This Row],[OPEN_PRICE]],"Gain","Loss")</f>
        <v>Loss</v>
      </c>
      <c r="O1089" t="str">
        <f>IF(Table1[[#This Row],[MARKET_CAP]]&gt;200000000000,"Large Cap",
IF(Table1[[#This Row],[MARKET_CAP]]&gt;50000000000,"Mid Cap","Small Cap"))</f>
        <v>Small Cap</v>
      </c>
      <c r="P1089" t="str">
        <f>IF(Table1[[#This Row],[NET_TRDQTY]]&gt;1000000,"High Volume","Low Volume")</f>
        <v>Low Volume</v>
      </c>
    </row>
    <row r="1090" spans="1:16" x14ac:dyDescent="0.3">
      <c r="A1090" t="s">
        <v>2185</v>
      </c>
      <c r="B1090" t="s">
        <v>2186</v>
      </c>
      <c r="C1090">
        <v>320.05</v>
      </c>
      <c r="D1090">
        <v>320.85000000000002</v>
      </c>
      <c r="E1090">
        <v>310.85000000000002</v>
      </c>
      <c r="F1090">
        <v>314.8</v>
      </c>
      <c r="G1090">
        <v>320.10000000000002</v>
      </c>
      <c r="H1090">
        <v>14931</v>
      </c>
      <c r="I1090">
        <v>531</v>
      </c>
      <c r="J1090">
        <v>7018510387</v>
      </c>
      <c r="K1090">
        <v>22295141</v>
      </c>
      <c r="L1090">
        <f>(Table1[[#This Row],[CLOSE_PRICE]] - Table1[[#This Row],[PREV_CL_PR]]) / Table1[[#This Row],[PREV_CL_PR]] * 100</f>
        <v>-1.6557325835676386</v>
      </c>
      <c r="M1090">
        <f>Table1[[#This Row],[HIGH_PRICE]]-Table1[[#This Row],[LOW_PRICE]]</f>
        <v>10</v>
      </c>
      <c r="N1090" t="str">
        <f>IF(Table1[[#This Row],[CLOSE_PRICE]]&gt;Table1[[#This Row],[OPEN_PRICE]],"Gain","Loss")</f>
        <v>Loss</v>
      </c>
      <c r="O1090" t="str">
        <f>IF(Table1[[#This Row],[MARKET_CAP]]&gt;200000000000,"Large Cap",
IF(Table1[[#This Row],[MARKET_CAP]]&gt;50000000000,"Mid Cap","Small Cap"))</f>
        <v>Small Cap</v>
      </c>
      <c r="P1090" t="str">
        <f>IF(Table1[[#This Row],[NET_TRDQTY]]&gt;1000000,"High Volume","Low Volume")</f>
        <v>Low Volume</v>
      </c>
    </row>
    <row r="1091" spans="1:16" x14ac:dyDescent="0.3">
      <c r="A1091" t="s">
        <v>2187</v>
      </c>
      <c r="B1091" t="s">
        <v>2188</v>
      </c>
      <c r="C1091">
        <v>888</v>
      </c>
      <c r="D1091">
        <v>891.7</v>
      </c>
      <c r="E1091">
        <v>825.7</v>
      </c>
      <c r="F1091">
        <v>838.8</v>
      </c>
      <c r="G1091">
        <v>898.4</v>
      </c>
      <c r="H1091">
        <v>165830</v>
      </c>
      <c r="I1091">
        <v>9036</v>
      </c>
      <c r="J1091">
        <v>12514079009</v>
      </c>
      <c r="K1091">
        <v>14919026</v>
      </c>
      <c r="L1091">
        <f>(Table1[[#This Row],[CLOSE_PRICE]] - Table1[[#This Row],[PREV_CL_PR]]) / Table1[[#This Row],[PREV_CL_PR]] * 100</f>
        <v>-6.634016028495104</v>
      </c>
      <c r="M1091">
        <f>Table1[[#This Row],[HIGH_PRICE]]-Table1[[#This Row],[LOW_PRICE]]</f>
        <v>66</v>
      </c>
      <c r="N1091" t="str">
        <f>IF(Table1[[#This Row],[CLOSE_PRICE]]&gt;Table1[[#This Row],[OPEN_PRICE]],"Gain","Loss")</f>
        <v>Loss</v>
      </c>
      <c r="O1091" t="str">
        <f>IF(Table1[[#This Row],[MARKET_CAP]]&gt;200000000000,"Large Cap",
IF(Table1[[#This Row],[MARKET_CAP]]&gt;50000000000,"Mid Cap","Small Cap"))</f>
        <v>Small Cap</v>
      </c>
      <c r="P1091" t="str">
        <f>IF(Table1[[#This Row],[NET_TRDQTY]]&gt;1000000,"High Volume","Low Volume")</f>
        <v>Low Volume</v>
      </c>
    </row>
    <row r="1092" spans="1:16" x14ac:dyDescent="0.3">
      <c r="A1092" t="s">
        <v>2189</v>
      </c>
      <c r="B1092" t="s">
        <v>2190</v>
      </c>
      <c r="C1092">
        <v>67</v>
      </c>
      <c r="D1092">
        <v>69.959999999999994</v>
      </c>
      <c r="E1092">
        <v>58.63</v>
      </c>
      <c r="F1092">
        <v>60.09</v>
      </c>
      <c r="G1092">
        <v>68.63</v>
      </c>
      <c r="H1092">
        <v>170383</v>
      </c>
      <c r="I1092">
        <v>2760</v>
      </c>
      <c r="J1092">
        <v>3166502640</v>
      </c>
      <c r="K1092">
        <v>52696000</v>
      </c>
      <c r="L1092">
        <f>(Table1[[#This Row],[CLOSE_PRICE]] - Table1[[#This Row],[PREV_CL_PR]]) / Table1[[#This Row],[PREV_CL_PR]] * 100</f>
        <v>-12.443537811452707</v>
      </c>
      <c r="M1092">
        <f>Table1[[#This Row],[HIGH_PRICE]]-Table1[[#This Row],[LOW_PRICE]]</f>
        <v>11.329999999999991</v>
      </c>
      <c r="N1092" t="str">
        <f>IF(Table1[[#This Row],[CLOSE_PRICE]]&gt;Table1[[#This Row],[OPEN_PRICE]],"Gain","Loss")</f>
        <v>Loss</v>
      </c>
      <c r="O1092" t="str">
        <f>IF(Table1[[#This Row],[MARKET_CAP]]&gt;200000000000,"Large Cap",
IF(Table1[[#This Row],[MARKET_CAP]]&gt;50000000000,"Mid Cap","Small Cap"))</f>
        <v>Small Cap</v>
      </c>
      <c r="P1092" t="str">
        <f>IF(Table1[[#This Row],[NET_TRDQTY]]&gt;1000000,"High Volume","Low Volume")</f>
        <v>Low Volume</v>
      </c>
    </row>
    <row r="1093" spans="1:16" x14ac:dyDescent="0.3">
      <c r="A1093" t="s">
        <v>2191</v>
      </c>
      <c r="B1093" t="s">
        <v>2192</v>
      </c>
      <c r="C1093">
        <v>5.82</v>
      </c>
      <c r="D1093">
        <v>5.82</v>
      </c>
      <c r="E1093">
        <v>5.2</v>
      </c>
      <c r="F1093">
        <v>5.41</v>
      </c>
      <c r="G1093">
        <v>5.84</v>
      </c>
      <c r="H1093">
        <v>708415</v>
      </c>
      <c r="I1093">
        <v>889</v>
      </c>
      <c r="J1093">
        <v>1440574800</v>
      </c>
      <c r="K1093">
        <v>266280000</v>
      </c>
      <c r="L1093">
        <f>(Table1[[#This Row],[CLOSE_PRICE]] - Table1[[#This Row],[PREV_CL_PR]]) / Table1[[#This Row],[PREV_CL_PR]] * 100</f>
        <v>-7.363013698630132</v>
      </c>
      <c r="M1093">
        <f>Table1[[#This Row],[HIGH_PRICE]]-Table1[[#This Row],[LOW_PRICE]]</f>
        <v>0.62000000000000011</v>
      </c>
      <c r="N1093" t="str">
        <f>IF(Table1[[#This Row],[CLOSE_PRICE]]&gt;Table1[[#This Row],[OPEN_PRICE]],"Gain","Loss")</f>
        <v>Loss</v>
      </c>
      <c r="O1093" t="str">
        <f>IF(Table1[[#This Row],[MARKET_CAP]]&gt;200000000000,"Large Cap",
IF(Table1[[#This Row],[MARKET_CAP]]&gt;50000000000,"Mid Cap","Small Cap"))</f>
        <v>Small Cap</v>
      </c>
      <c r="P1093" t="str">
        <f>IF(Table1[[#This Row],[NET_TRDQTY]]&gt;1000000,"High Volume","Low Volume")</f>
        <v>Low Volume</v>
      </c>
    </row>
    <row r="1094" spans="1:16" x14ac:dyDescent="0.3">
      <c r="A1094" t="s">
        <v>2193</v>
      </c>
      <c r="B1094" t="s">
        <v>2194</v>
      </c>
      <c r="C1094">
        <v>63.69</v>
      </c>
      <c r="D1094">
        <v>64.8</v>
      </c>
      <c r="E1094">
        <v>58.22</v>
      </c>
      <c r="F1094">
        <v>60.11</v>
      </c>
      <c r="G1094">
        <v>63.52</v>
      </c>
      <c r="H1094">
        <v>29592</v>
      </c>
      <c r="I1094">
        <v>544</v>
      </c>
      <c r="J1094">
        <v>3011722587</v>
      </c>
      <c r="K1094">
        <v>50103520</v>
      </c>
      <c r="L1094">
        <f>(Table1[[#This Row],[CLOSE_PRICE]] - Table1[[#This Row],[PREV_CL_PR]]) / Table1[[#This Row],[PREV_CL_PR]] * 100</f>
        <v>-5.3683879093199049</v>
      </c>
      <c r="M1094">
        <f>Table1[[#This Row],[HIGH_PRICE]]-Table1[[#This Row],[LOW_PRICE]]</f>
        <v>6.5799999999999983</v>
      </c>
      <c r="N1094" t="str">
        <f>IF(Table1[[#This Row],[CLOSE_PRICE]]&gt;Table1[[#This Row],[OPEN_PRICE]],"Gain","Loss")</f>
        <v>Loss</v>
      </c>
      <c r="O1094" t="str">
        <f>IF(Table1[[#This Row],[MARKET_CAP]]&gt;200000000000,"Large Cap",
IF(Table1[[#This Row],[MARKET_CAP]]&gt;50000000000,"Mid Cap","Small Cap"))</f>
        <v>Small Cap</v>
      </c>
      <c r="P1094" t="str">
        <f>IF(Table1[[#This Row],[NET_TRDQTY]]&gt;1000000,"High Volume","Low Volume")</f>
        <v>Low Volume</v>
      </c>
    </row>
    <row r="1095" spans="1:16" x14ac:dyDescent="0.3">
      <c r="A1095" t="s">
        <v>2195</v>
      </c>
      <c r="B1095" t="s">
        <v>2196</v>
      </c>
      <c r="C1095">
        <v>885</v>
      </c>
      <c r="D1095">
        <v>890</v>
      </c>
      <c r="E1095">
        <v>831.5</v>
      </c>
      <c r="F1095">
        <v>847.95</v>
      </c>
      <c r="G1095">
        <v>896.85</v>
      </c>
      <c r="H1095">
        <v>655226</v>
      </c>
      <c r="I1095">
        <v>23459</v>
      </c>
      <c r="J1095">
        <v>52705688970</v>
      </c>
      <c r="K1095">
        <v>62156600</v>
      </c>
      <c r="L1095">
        <f>(Table1[[#This Row],[CLOSE_PRICE]] - Table1[[#This Row],[PREV_CL_PR]]) / Table1[[#This Row],[PREV_CL_PR]] * 100</f>
        <v>-5.4524167921057005</v>
      </c>
      <c r="M1095">
        <f>Table1[[#This Row],[HIGH_PRICE]]-Table1[[#This Row],[LOW_PRICE]]</f>
        <v>58.5</v>
      </c>
      <c r="N1095" t="str">
        <f>IF(Table1[[#This Row],[CLOSE_PRICE]]&gt;Table1[[#This Row],[OPEN_PRICE]],"Gain","Loss")</f>
        <v>Loss</v>
      </c>
      <c r="O1095" t="str">
        <f>IF(Table1[[#This Row],[MARKET_CAP]]&gt;200000000000,"Large Cap",
IF(Table1[[#This Row],[MARKET_CAP]]&gt;50000000000,"Mid Cap","Small Cap"))</f>
        <v>Mid Cap</v>
      </c>
      <c r="P1095" t="str">
        <f>IF(Table1[[#This Row],[NET_TRDQTY]]&gt;1000000,"High Volume","Low Volume")</f>
        <v>Low Volume</v>
      </c>
    </row>
    <row r="1096" spans="1:16" x14ac:dyDescent="0.3">
      <c r="A1096" t="s">
        <v>2197</v>
      </c>
      <c r="B1096" t="s">
        <v>2198</v>
      </c>
      <c r="C1096">
        <v>109</v>
      </c>
      <c r="D1096">
        <v>110.64</v>
      </c>
      <c r="E1096">
        <v>103.72</v>
      </c>
      <c r="F1096">
        <v>104.53</v>
      </c>
      <c r="G1096">
        <v>110.65</v>
      </c>
      <c r="H1096">
        <v>57231</v>
      </c>
      <c r="I1096">
        <v>1781</v>
      </c>
      <c r="J1096">
        <v>3878481120</v>
      </c>
      <c r="K1096">
        <v>37104000</v>
      </c>
      <c r="L1096">
        <f>(Table1[[#This Row],[CLOSE_PRICE]] - Table1[[#This Row],[PREV_CL_PR]]) / Table1[[#This Row],[PREV_CL_PR]] * 100</f>
        <v>-5.5309534568459142</v>
      </c>
      <c r="M1096">
        <f>Table1[[#This Row],[HIGH_PRICE]]-Table1[[#This Row],[LOW_PRICE]]</f>
        <v>6.9200000000000017</v>
      </c>
      <c r="N1096" t="str">
        <f>IF(Table1[[#This Row],[CLOSE_PRICE]]&gt;Table1[[#This Row],[OPEN_PRICE]],"Gain","Loss")</f>
        <v>Loss</v>
      </c>
      <c r="O1096" t="str">
        <f>IF(Table1[[#This Row],[MARKET_CAP]]&gt;200000000000,"Large Cap",
IF(Table1[[#This Row],[MARKET_CAP]]&gt;50000000000,"Mid Cap","Small Cap"))</f>
        <v>Small Cap</v>
      </c>
      <c r="P1096" t="str">
        <f>IF(Table1[[#This Row],[NET_TRDQTY]]&gt;1000000,"High Volume","Low Volume")</f>
        <v>Low Volume</v>
      </c>
    </row>
    <row r="1097" spans="1:16" x14ac:dyDescent="0.3">
      <c r="A1097" t="s">
        <v>2199</v>
      </c>
      <c r="B1097" t="s">
        <v>2200</v>
      </c>
      <c r="C1097">
        <v>172.68</v>
      </c>
      <c r="D1097">
        <v>172.68</v>
      </c>
      <c r="E1097">
        <v>157.69999999999999</v>
      </c>
      <c r="F1097">
        <v>160.65</v>
      </c>
      <c r="G1097">
        <v>171.69</v>
      </c>
      <c r="H1097">
        <v>457484</v>
      </c>
      <c r="I1097">
        <v>6090</v>
      </c>
      <c r="J1097">
        <v>10363438644</v>
      </c>
      <c r="K1097">
        <v>64509422</v>
      </c>
      <c r="L1097">
        <f>(Table1[[#This Row],[CLOSE_PRICE]] - Table1[[#This Row],[PREV_CL_PR]]) / Table1[[#This Row],[PREV_CL_PR]] * 100</f>
        <v>-6.4301939542198108</v>
      </c>
      <c r="M1097">
        <f>Table1[[#This Row],[HIGH_PRICE]]-Table1[[#This Row],[LOW_PRICE]]</f>
        <v>14.980000000000018</v>
      </c>
      <c r="N1097" t="str">
        <f>IF(Table1[[#This Row],[CLOSE_PRICE]]&gt;Table1[[#This Row],[OPEN_PRICE]],"Gain","Loss")</f>
        <v>Loss</v>
      </c>
      <c r="O1097" t="str">
        <f>IF(Table1[[#This Row],[MARKET_CAP]]&gt;200000000000,"Large Cap",
IF(Table1[[#This Row],[MARKET_CAP]]&gt;50000000000,"Mid Cap","Small Cap"))</f>
        <v>Small Cap</v>
      </c>
      <c r="P1097" t="str">
        <f>IF(Table1[[#This Row],[NET_TRDQTY]]&gt;1000000,"High Volume","Low Volume")</f>
        <v>Low Volume</v>
      </c>
    </row>
    <row r="1098" spans="1:16" x14ac:dyDescent="0.3">
      <c r="A1098" t="s">
        <v>2201</v>
      </c>
      <c r="B1098" t="s">
        <v>2202</v>
      </c>
      <c r="C1098">
        <v>580</v>
      </c>
      <c r="D1098">
        <v>586.4</v>
      </c>
      <c r="E1098">
        <v>567.35</v>
      </c>
      <c r="F1098">
        <v>574.29999999999995</v>
      </c>
      <c r="G1098">
        <v>587.65</v>
      </c>
      <c r="H1098">
        <v>71189</v>
      </c>
      <c r="I1098">
        <v>5817</v>
      </c>
      <c r="J1098">
        <v>18629529330</v>
      </c>
      <c r="K1098">
        <v>32438672</v>
      </c>
      <c r="L1098">
        <f>(Table1[[#This Row],[CLOSE_PRICE]] - Table1[[#This Row],[PREV_CL_PR]]) / Table1[[#This Row],[PREV_CL_PR]] * 100</f>
        <v>-2.2717604015995958</v>
      </c>
      <c r="M1098">
        <f>Table1[[#This Row],[HIGH_PRICE]]-Table1[[#This Row],[LOW_PRICE]]</f>
        <v>19.049999999999955</v>
      </c>
      <c r="N1098" t="str">
        <f>IF(Table1[[#This Row],[CLOSE_PRICE]]&gt;Table1[[#This Row],[OPEN_PRICE]],"Gain","Loss")</f>
        <v>Loss</v>
      </c>
      <c r="O1098" t="str">
        <f>IF(Table1[[#This Row],[MARKET_CAP]]&gt;200000000000,"Large Cap",
IF(Table1[[#This Row],[MARKET_CAP]]&gt;50000000000,"Mid Cap","Small Cap"))</f>
        <v>Small Cap</v>
      </c>
      <c r="P1098" t="str">
        <f>IF(Table1[[#This Row],[NET_TRDQTY]]&gt;1000000,"High Volume","Low Volume")</f>
        <v>Low Volume</v>
      </c>
    </row>
    <row r="1099" spans="1:16" x14ac:dyDescent="0.3">
      <c r="A1099" t="s">
        <v>2203</v>
      </c>
      <c r="B1099" t="s">
        <v>2204</v>
      </c>
      <c r="C1099">
        <v>556.70000000000005</v>
      </c>
      <c r="D1099">
        <v>557.65</v>
      </c>
      <c r="E1099">
        <v>540</v>
      </c>
      <c r="F1099">
        <v>540.04999999999995</v>
      </c>
      <c r="G1099">
        <v>553.15</v>
      </c>
      <c r="H1099">
        <v>25668</v>
      </c>
      <c r="I1099">
        <v>660</v>
      </c>
      <c r="J1099">
        <v>7545552678</v>
      </c>
      <c r="K1099">
        <v>13971952</v>
      </c>
      <c r="L1099">
        <f>(Table1[[#This Row],[CLOSE_PRICE]] - Table1[[#This Row],[PREV_CL_PR]]) / Table1[[#This Row],[PREV_CL_PR]] * 100</f>
        <v>-2.3682545421675898</v>
      </c>
      <c r="M1099">
        <f>Table1[[#This Row],[HIGH_PRICE]]-Table1[[#This Row],[LOW_PRICE]]</f>
        <v>17.649999999999977</v>
      </c>
      <c r="N1099" t="str">
        <f>IF(Table1[[#This Row],[CLOSE_PRICE]]&gt;Table1[[#This Row],[OPEN_PRICE]],"Gain","Loss")</f>
        <v>Loss</v>
      </c>
      <c r="O1099" t="str">
        <f>IF(Table1[[#This Row],[MARKET_CAP]]&gt;200000000000,"Large Cap",
IF(Table1[[#This Row],[MARKET_CAP]]&gt;50000000000,"Mid Cap","Small Cap"))</f>
        <v>Small Cap</v>
      </c>
      <c r="P1099" t="str">
        <f>IF(Table1[[#This Row],[NET_TRDQTY]]&gt;1000000,"High Volume","Low Volume")</f>
        <v>Low Volume</v>
      </c>
    </row>
    <row r="1100" spans="1:16" x14ac:dyDescent="0.3">
      <c r="A1100" t="s">
        <v>2205</v>
      </c>
      <c r="B1100" t="s">
        <v>2206</v>
      </c>
      <c r="C1100">
        <v>777.7</v>
      </c>
      <c r="D1100">
        <v>788.8</v>
      </c>
      <c r="E1100">
        <v>757.05</v>
      </c>
      <c r="F1100">
        <v>782.85</v>
      </c>
      <c r="G1100">
        <v>782.3</v>
      </c>
      <c r="H1100">
        <v>536554</v>
      </c>
      <c r="I1100">
        <v>28411</v>
      </c>
      <c r="J1100">
        <v>136000000000</v>
      </c>
      <c r="K1100">
        <v>174039220</v>
      </c>
      <c r="L1100">
        <f>(Table1[[#This Row],[CLOSE_PRICE]] - Table1[[#This Row],[PREV_CL_PR]]) / Table1[[#This Row],[PREV_CL_PR]] * 100</f>
        <v>7.0305509395381341E-2</v>
      </c>
      <c r="M1100">
        <f>Table1[[#This Row],[HIGH_PRICE]]-Table1[[#This Row],[LOW_PRICE]]</f>
        <v>31.75</v>
      </c>
      <c r="N1100" t="str">
        <f>IF(Table1[[#This Row],[CLOSE_PRICE]]&gt;Table1[[#This Row],[OPEN_PRICE]],"Gain","Loss")</f>
        <v>Gain</v>
      </c>
      <c r="O1100" t="str">
        <f>IF(Table1[[#This Row],[MARKET_CAP]]&gt;200000000000,"Large Cap",
IF(Table1[[#This Row],[MARKET_CAP]]&gt;50000000000,"Mid Cap","Small Cap"))</f>
        <v>Mid Cap</v>
      </c>
      <c r="P1100" t="str">
        <f>IF(Table1[[#This Row],[NET_TRDQTY]]&gt;1000000,"High Volume","Low Volume")</f>
        <v>Low Volume</v>
      </c>
    </row>
    <row r="1101" spans="1:16" x14ac:dyDescent="0.3">
      <c r="A1101" t="s">
        <v>2207</v>
      </c>
      <c r="B1101" t="s">
        <v>2208</v>
      </c>
      <c r="C1101">
        <v>801.8</v>
      </c>
      <c r="D1101">
        <v>814</v>
      </c>
      <c r="E1101">
        <v>772.05</v>
      </c>
      <c r="F1101">
        <v>785.4</v>
      </c>
      <c r="G1101">
        <v>814</v>
      </c>
      <c r="H1101">
        <v>328459</v>
      </c>
      <c r="I1101">
        <v>13199</v>
      </c>
      <c r="J1101">
        <v>40400246363</v>
      </c>
      <c r="K1101">
        <v>51439071</v>
      </c>
      <c r="L1101">
        <f>(Table1[[#This Row],[CLOSE_PRICE]] - Table1[[#This Row],[PREV_CL_PR]]) / Table1[[#This Row],[PREV_CL_PR]] * 100</f>
        <v>-3.5135135135135167</v>
      </c>
      <c r="M1101">
        <f>Table1[[#This Row],[HIGH_PRICE]]-Table1[[#This Row],[LOW_PRICE]]</f>
        <v>41.950000000000045</v>
      </c>
      <c r="N1101" t="str">
        <f>IF(Table1[[#This Row],[CLOSE_PRICE]]&gt;Table1[[#This Row],[OPEN_PRICE]],"Gain","Loss")</f>
        <v>Loss</v>
      </c>
      <c r="O1101" t="str">
        <f>IF(Table1[[#This Row],[MARKET_CAP]]&gt;200000000000,"Large Cap",
IF(Table1[[#This Row],[MARKET_CAP]]&gt;50000000000,"Mid Cap","Small Cap"))</f>
        <v>Small Cap</v>
      </c>
      <c r="P1101" t="str">
        <f>IF(Table1[[#This Row],[NET_TRDQTY]]&gt;1000000,"High Volume","Low Volume")</f>
        <v>Low Volume</v>
      </c>
    </row>
    <row r="1102" spans="1:16" x14ac:dyDescent="0.3">
      <c r="A1102" t="s">
        <v>2209</v>
      </c>
      <c r="B1102" t="s">
        <v>2210</v>
      </c>
      <c r="C1102">
        <v>427.1</v>
      </c>
      <c r="D1102">
        <v>443.75</v>
      </c>
      <c r="E1102">
        <v>414</v>
      </c>
      <c r="F1102">
        <v>434.9</v>
      </c>
      <c r="G1102">
        <v>434.2</v>
      </c>
      <c r="H1102">
        <v>330725</v>
      </c>
      <c r="I1102">
        <v>12340</v>
      </c>
      <c r="J1102">
        <v>29466953930</v>
      </c>
      <c r="K1102">
        <v>67755700</v>
      </c>
      <c r="L1102">
        <f>(Table1[[#This Row],[CLOSE_PRICE]] - Table1[[#This Row],[PREV_CL_PR]]) / Table1[[#This Row],[PREV_CL_PR]] * 100</f>
        <v>0.16121602947949992</v>
      </c>
      <c r="M1102">
        <f>Table1[[#This Row],[HIGH_PRICE]]-Table1[[#This Row],[LOW_PRICE]]</f>
        <v>29.75</v>
      </c>
      <c r="N1102" t="str">
        <f>IF(Table1[[#This Row],[CLOSE_PRICE]]&gt;Table1[[#This Row],[OPEN_PRICE]],"Gain","Loss")</f>
        <v>Gain</v>
      </c>
      <c r="O1102" t="str">
        <f>IF(Table1[[#This Row],[MARKET_CAP]]&gt;200000000000,"Large Cap",
IF(Table1[[#This Row],[MARKET_CAP]]&gt;50000000000,"Mid Cap","Small Cap"))</f>
        <v>Small Cap</v>
      </c>
      <c r="P1102" t="str">
        <f>IF(Table1[[#This Row],[NET_TRDQTY]]&gt;1000000,"High Volume","Low Volume")</f>
        <v>Low Volume</v>
      </c>
    </row>
    <row r="1103" spans="1:16" x14ac:dyDescent="0.3">
      <c r="A1103" t="s">
        <v>2211</v>
      </c>
      <c r="B1103" t="s">
        <v>2212</v>
      </c>
      <c r="C1103">
        <v>649</v>
      </c>
      <c r="D1103">
        <v>654</v>
      </c>
      <c r="E1103">
        <v>625.15</v>
      </c>
      <c r="F1103">
        <v>638.04999999999995</v>
      </c>
      <c r="G1103">
        <v>651.65</v>
      </c>
      <c r="H1103">
        <v>68678</v>
      </c>
      <c r="I1103">
        <v>4044</v>
      </c>
      <c r="J1103">
        <v>27852834933</v>
      </c>
      <c r="K1103">
        <v>43653060</v>
      </c>
      <c r="L1103">
        <f>(Table1[[#This Row],[CLOSE_PRICE]] - Table1[[#This Row],[PREV_CL_PR]]) / Table1[[#This Row],[PREV_CL_PR]] * 100</f>
        <v>-2.0870098979513578</v>
      </c>
      <c r="M1103">
        <f>Table1[[#This Row],[HIGH_PRICE]]-Table1[[#This Row],[LOW_PRICE]]</f>
        <v>28.850000000000023</v>
      </c>
      <c r="N1103" t="str">
        <f>IF(Table1[[#This Row],[CLOSE_PRICE]]&gt;Table1[[#This Row],[OPEN_PRICE]],"Gain","Loss")</f>
        <v>Loss</v>
      </c>
      <c r="O1103" t="str">
        <f>IF(Table1[[#This Row],[MARKET_CAP]]&gt;200000000000,"Large Cap",
IF(Table1[[#This Row],[MARKET_CAP]]&gt;50000000000,"Mid Cap","Small Cap"))</f>
        <v>Small Cap</v>
      </c>
      <c r="P1103" t="str">
        <f>IF(Table1[[#This Row],[NET_TRDQTY]]&gt;1000000,"High Volume","Low Volume")</f>
        <v>Low Volume</v>
      </c>
    </row>
    <row r="1104" spans="1:16" x14ac:dyDescent="0.3">
      <c r="A1104" t="s">
        <v>2213</v>
      </c>
      <c r="B1104" t="s">
        <v>2214</v>
      </c>
      <c r="C1104">
        <v>270</v>
      </c>
      <c r="D1104">
        <v>273</v>
      </c>
      <c r="E1104">
        <v>258</v>
      </c>
      <c r="F1104">
        <v>260.25</v>
      </c>
      <c r="G1104">
        <v>275.45</v>
      </c>
      <c r="H1104">
        <v>76833</v>
      </c>
      <c r="I1104">
        <v>2793</v>
      </c>
      <c r="J1104">
        <v>6171048000</v>
      </c>
      <c r="K1104">
        <v>23712000</v>
      </c>
      <c r="L1104">
        <f>(Table1[[#This Row],[CLOSE_PRICE]] - Table1[[#This Row],[PREV_CL_PR]]) / Table1[[#This Row],[PREV_CL_PR]] * 100</f>
        <v>-5.5182428752949679</v>
      </c>
      <c r="M1104">
        <f>Table1[[#This Row],[HIGH_PRICE]]-Table1[[#This Row],[LOW_PRICE]]</f>
        <v>15</v>
      </c>
      <c r="N1104" t="str">
        <f>IF(Table1[[#This Row],[CLOSE_PRICE]]&gt;Table1[[#This Row],[OPEN_PRICE]],"Gain","Loss")</f>
        <v>Loss</v>
      </c>
      <c r="O1104" t="str">
        <f>IF(Table1[[#This Row],[MARKET_CAP]]&gt;200000000000,"Large Cap",
IF(Table1[[#This Row],[MARKET_CAP]]&gt;50000000000,"Mid Cap","Small Cap"))</f>
        <v>Small Cap</v>
      </c>
      <c r="P1104" t="str">
        <f>IF(Table1[[#This Row],[NET_TRDQTY]]&gt;1000000,"High Volume","Low Volume")</f>
        <v>Low Volume</v>
      </c>
    </row>
    <row r="1105" spans="1:16" x14ac:dyDescent="0.3">
      <c r="A1105" t="s">
        <v>2215</v>
      </c>
      <c r="B1105" t="s">
        <v>2216</v>
      </c>
      <c r="C1105">
        <v>223</v>
      </c>
      <c r="D1105">
        <v>225.96</v>
      </c>
      <c r="E1105">
        <v>212.5</v>
      </c>
      <c r="F1105">
        <v>214.5</v>
      </c>
      <c r="G1105">
        <v>228.93</v>
      </c>
      <c r="H1105">
        <v>3367717</v>
      </c>
      <c r="I1105">
        <v>33201</v>
      </c>
      <c r="J1105">
        <v>81111103788</v>
      </c>
      <c r="K1105">
        <v>378140344</v>
      </c>
      <c r="L1105">
        <f>(Table1[[#This Row],[CLOSE_PRICE]] - Table1[[#This Row],[PREV_CL_PR]]) / Table1[[#This Row],[PREV_CL_PR]] * 100</f>
        <v>-6.3032367972742778</v>
      </c>
      <c r="M1105">
        <f>Table1[[#This Row],[HIGH_PRICE]]-Table1[[#This Row],[LOW_PRICE]]</f>
        <v>13.460000000000008</v>
      </c>
      <c r="N1105" t="str">
        <f>IF(Table1[[#This Row],[CLOSE_PRICE]]&gt;Table1[[#This Row],[OPEN_PRICE]],"Gain","Loss")</f>
        <v>Loss</v>
      </c>
      <c r="O1105" t="str">
        <f>IF(Table1[[#This Row],[MARKET_CAP]]&gt;200000000000,"Large Cap",
IF(Table1[[#This Row],[MARKET_CAP]]&gt;50000000000,"Mid Cap","Small Cap"))</f>
        <v>Mid Cap</v>
      </c>
      <c r="P1105" t="str">
        <f>IF(Table1[[#This Row],[NET_TRDQTY]]&gt;1000000,"High Volume","Low Volume")</f>
        <v>High Volume</v>
      </c>
    </row>
    <row r="1106" spans="1:16" x14ac:dyDescent="0.3">
      <c r="A1106" t="s">
        <v>2217</v>
      </c>
      <c r="B1106" t="s">
        <v>2218</v>
      </c>
      <c r="C1106">
        <v>75.05</v>
      </c>
      <c r="D1106">
        <v>76.33</v>
      </c>
      <c r="E1106">
        <v>71.510000000000005</v>
      </c>
      <c r="F1106">
        <v>71.989999999999995</v>
      </c>
      <c r="G1106">
        <v>77.63</v>
      </c>
      <c r="H1106">
        <v>174508</v>
      </c>
      <c r="I1106">
        <v>2465</v>
      </c>
      <c r="J1106">
        <v>6282108724</v>
      </c>
      <c r="K1106">
        <v>87263630</v>
      </c>
      <c r="L1106">
        <f>(Table1[[#This Row],[CLOSE_PRICE]] - Table1[[#This Row],[PREV_CL_PR]]) / Table1[[#This Row],[PREV_CL_PR]] * 100</f>
        <v>-7.2652325132036593</v>
      </c>
      <c r="M1106">
        <f>Table1[[#This Row],[HIGH_PRICE]]-Table1[[#This Row],[LOW_PRICE]]</f>
        <v>4.8199999999999932</v>
      </c>
      <c r="N1106" t="str">
        <f>IF(Table1[[#This Row],[CLOSE_PRICE]]&gt;Table1[[#This Row],[OPEN_PRICE]],"Gain","Loss")</f>
        <v>Loss</v>
      </c>
      <c r="O1106" t="str">
        <f>IF(Table1[[#This Row],[MARKET_CAP]]&gt;200000000000,"Large Cap",
IF(Table1[[#This Row],[MARKET_CAP]]&gt;50000000000,"Mid Cap","Small Cap"))</f>
        <v>Small Cap</v>
      </c>
      <c r="P1106" t="str">
        <f>IF(Table1[[#This Row],[NET_TRDQTY]]&gt;1000000,"High Volume","Low Volume")</f>
        <v>Low Volume</v>
      </c>
    </row>
    <row r="1107" spans="1:16" x14ac:dyDescent="0.3">
      <c r="A1107" t="s">
        <v>2219</v>
      </c>
      <c r="B1107" t="s">
        <v>2220</v>
      </c>
      <c r="C1107">
        <v>23.53</v>
      </c>
      <c r="D1107">
        <v>23.55</v>
      </c>
      <c r="E1107">
        <v>22.42</v>
      </c>
      <c r="F1107">
        <v>23.18</v>
      </c>
      <c r="G1107">
        <v>23.53</v>
      </c>
      <c r="H1107">
        <v>9903961</v>
      </c>
      <c r="I1107">
        <v>29894</v>
      </c>
      <c r="J1107">
        <v>54463525453</v>
      </c>
      <c r="K1107">
        <v>2349591262</v>
      </c>
      <c r="L1107">
        <f>(Table1[[#This Row],[CLOSE_PRICE]] - Table1[[#This Row],[PREV_CL_PR]]) / Table1[[#This Row],[PREV_CL_PR]] * 100</f>
        <v>-1.4874628134296703</v>
      </c>
      <c r="M1107">
        <f>Table1[[#This Row],[HIGH_PRICE]]-Table1[[#This Row],[LOW_PRICE]]</f>
        <v>1.129999999999999</v>
      </c>
      <c r="N1107" t="str">
        <f>IF(Table1[[#This Row],[CLOSE_PRICE]]&gt;Table1[[#This Row],[OPEN_PRICE]],"Gain","Loss")</f>
        <v>Loss</v>
      </c>
      <c r="O1107" t="str">
        <f>IF(Table1[[#This Row],[MARKET_CAP]]&gt;200000000000,"Large Cap",
IF(Table1[[#This Row],[MARKET_CAP]]&gt;50000000000,"Mid Cap","Small Cap"))</f>
        <v>Mid Cap</v>
      </c>
      <c r="P1107" t="str">
        <f>IF(Table1[[#This Row],[NET_TRDQTY]]&gt;1000000,"High Volume","Low Volume")</f>
        <v>High Volume</v>
      </c>
    </row>
    <row r="1108" spans="1:16" x14ac:dyDescent="0.3">
      <c r="A1108" t="s">
        <v>2221</v>
      </c>
      <c r="B1108" t="s">
        <v>2222</v>
      </c>
      <c r="C1108">
        <v>65.010000000000005</v>
      </c>
      <c r="D1108">
        <v>65.010000000000005</v>
      </c>
      <c r="E1108">
        <v>58.66</v>
      </c>
      <c r="F1108">
        <v>60.76</v>
      </c>
      <c r="G1108">
        <v>63.8</v>
      </c>
      <c r="H1108">
        <v>6117</v>
      </c>
      <c r="I1108">
        <v>454</v>
      </c>
      <c r="J1108">
        <v>1073568440</v>
      </c>
      <c r="K1108">
        <v>17669000</v>
      </c>
      <c r="L1108">
        <f>(Table1[[#This Row],[CLOSE_PRICE]] - Table1[[#This Row],[PREV_CL_PR]]) / Table1[[#This Row],[PREV_CL_PR]] * 100</f>
        <v>-4.7648902821316605</v>
      </c>
      <c r="M1108">
        <f>Table1[[#This Row],[HIGH_PRICE]]-Table1[[#This Row],[LOW_PRICE]]</f>
        <v>6.3500000000000085</v>
      </c>
      <c r="N1108" t="str">
        <f>IF(Table1[[#This Row],[CLOSE_PRICE]]&gt;Table1[[#This Row],[OPEN_PRICE]],"Gain","Loss")</f>
        <v>Loss</v>
      </c>
      <c r="O1108" t="str">
        <f>IF(Table1[[#This Row],[MARKET_CAP]]&gt;200000000000,"Large Cap",
IF(Table1[[#This Row],[MARKET_CAP]]&gt;50000000000,"Mid Cap","Small Cap"))</f>
        <v>Small Cap</v>
      </c>
      <c r="P1108" t="str">
        <f>IF(Table1[[#This Row],[NET_TRDQTY]]&gt;1000000,"High Volume","Low Volume")</f>
        <v>Low Volume</v>
      </c>
    </row>
    <row r="1109" spans="1:16" x14ac:dyDescent="0.3">
      <c r="A1109" t="s">
        <v>2223</v>
      </c>
      <c r="B1109" t="s">
        <v>2224</v>
      </c>
      <c r="C1109">
        <v>7.02</v>
      </c>
      <c r="D1109">
        <v>7.11</v>
      </c>
      <c r="E1109">
        <v>6.66</v>
      </c>
      <c r="F1109">
        <v>6.77</v>
      </c>
      <c r="G1109">
        <v>7.13</v>
      </c>
      <c r="H1109">
        <v>36344</v>
      </c>
      <c r="I1109">
        <v>187</v>
      </c>
      <c r="J1109">
        <v>1169449042</v>
      </c>
      <c r="K1109">
        <v>172739888</v>
      </c>
      <c r="L1109">
        <f>(Table1[[#This Row],[CLOSE_PRICE]] - Table1[[#This Row],[PREV_CL_PR]]) / Table1[[#This Row],[PREV_CL_PR]] * 100</f>
        <v>-5.0490883590462881</v>
      </c>
      <c r="M1109">
        <f>Table1[[#This Row],[HIGH_PRICE]]-Table1[[#This Row],[LOW_PRICE]]</f>
        <v>0.45000000000000018</v>
      </c>
      <c r="N1109" t="str">
        <f>IF(Table1[[#This Row],[CLOSE_PRICE]]&gt;Table1[[#This Row],[OPEN_PRICE]],"Gain","Loss")</f>
        <v>Loss</v>
      </c>
      <c r="O1109" t="str">
        <f>IF(Table1[[#This Row],[MARKET_CAP]]&gt;200000000000,"Large Cap",
IF(Table1[[#This Row],[MARKET_CAP]]&gt;50000000000,"Mid Cap","Small Cap"))</f>
        <v>Small Cap</v>
      </c>
      <c r="P1109" t="str">
        <f>IF(Table1[[#This Row],[NET_TRDQTY]]&gt;1000000,"High Volume","Low Volume")</f>
        <v>Low Volume</v>
      </c>
    </row>
    <row r="1110" spans="1:16" x14ac:dyDescent="0.3">
      <c r="A1110" t="s">
        <v>2225</v>
      </c>
      <c r="B1110" t="s">
        <v>2226</v>
      </c>
      <c r="C1110">
        <v>1295.0999999999999</v>
      </c>
      <c r="D1110">
        <v>1326.5</v>
      </c>
      <c r="E1110">
        <v>1272.5999999999999</v>
      </c>
      <c r="F1110">
        <v>1307.5999999999999</v>
      </c>
      <c r="G1110">
        <v>1308.2</v>
      </c>
      <c r="H1110">
        <v>367170</v>
      </c>
      <c r="I1110">
        <v>49352</v>
      </c>
      <c r="J1110">
        <v>219000000000</v>
      </c>
      <c r="K1110">
        <v>167551020</v>
      </c>
      <c r="L1110">
        <f>(Table1[[#This Row],[CLOSE_PRICE]] - Table1[[#This Row],[PREV_CL_PR]]) / Table1[[#This Row],[PREV_CL_PR]] * 100</f>
        <v>-4.5864546705407155E-2</v>
      </c>
      <c r="M1110">
        <f>Table1[[#This Row],[HIGH_PRICE]]-Table1[[#This Row],[LOW_PRICE]]</f>
        <v>53.900000000000091</v>
      </c>
      <c r="N1110" t="str">
        <f>IF(Table1[[#This Row],[CLOSE_PRICE]]&gt;Table1[[#This Row],[OPEN_PRICE]],"Gain","Loss")</f>
        <v>Gain</v>
      </c>
      <c r="O1110" t="str">
        <f>IF(Table1[[#This Row],[MARKET_CAP]]&gt;200000000000,"Large Cap",
IF(Table1[[#This Row],[MARKET_CAP]]&gt;50000000000,"Mid Cap","Small Cap"))</f>
        <v>Large Cap</v>
      </c>
      <c r="P1110" t="str">
        <f>IF(Table1[[#This Row],[NET_TRDQTY]]&gt;1000000,"High Volume","Low Volume")</f>
        <v>Low Volume</v>
      </c>
    </row>
    <row r="1111" spans="1:16" x14ac:dyDescent="0.3">
      <c r="A1111" t="s">
        <v>2227</v>
      </c>
      <c r="B1111" t="s">
        <v>2228</v>
      </c>
      <c r="C1111">
        <v>95.5</v>
      </c>
      <c r="D1111">
        <v>95.5</v>
      </c>
      <c r="E1111">
        <v>89.02</v>
      </c>
      <c r="F1111">
        <v>90.7</v>
      </c>
      <c r="G1111">
        <v>94.88</v>
      </c>
      <c r="H1111">
        <v>11628</v>
      </c>
      <c r="I1111">
        <v>226</v>
      </c>
      <c r="J1111">
        <v>941248320</v>
      </c>
      <c r="K1111">
        <v>10377600</v>
      </c>
      <c r="L1111">
        <f>(Table1[[#This Row],[CLOSE_PRICE]] - Table1[[#This Row],[PREV_CL_PR]]) / Table1[[#This Row],[PREV_CL_PR]] * 100</f>
        <v>-4.4055649241146631</v>
      </c>
      <c r="M1111">
        <f>Table1[[#This Row],[HIGH_PRICE]]-Table1[[#This Row],[LOW_PRICE]]</f>
        <v>6.480000000000004</v>
      </c>
      <c r="N1111" t="str">
        <f>IF(Table1[[#This Row],[CLOSE_PRICE]]&gt;Table1[[#This Row],[OPEN_PRICE]],"Gain","Loss")</f>
        <v>Loss</v>
      </c>
      <c r="O1111" t="str">
        <f>IF(Table1[[#This Row],[MARKET_CAP]]&gt;200000000000,"Large Cap",
IF(Table1[[#This Row],[MARKET_CAP]]&gt;50000000000,"Mid Cap","Small Cap"))</f>
        <v>Small Cap</v>
      </c>
      <c r="P1111" t="str">
        <f>IF(Table1[[#This Row],[NET_TRDQTY]]&gt;1000000,"High Volume","Low Volume")</f>
        <v>Low Volume</v>
      </c>
    </row>
    <row r="1112" spans="1:16" x14ac:dyDescent="0.3">
      <c r="A1112" t="s">
        <v>2229</v>
      </c>
      <c r="B1112" t="s">
        <v>2230</v>
      </c>
      <c r="C1112">
        <v>357</v>
      </c>
      <c r="D1112">
        <v>378.9</v>
      </c>
      <c r="E1112">
        <v>347.25</v>
      </c>
      <c r="F1112">
        <v>368.25</v>
      </c>
      <c r="G1112">
        <v>360.4</v>
      </c>
      <c r="H1112">
        <v>133819</v>
      </c>
      <c r="I1112">
        <v>4332</v>
      </c>
      <c r="J1112">
        <v>15269453108</v>
      </c>
      <c r="K1112">
        <v>41464910</v>
      </c>
      <c r="L1112">
        <f>(Table1[[#This Row],[CLOSE_PRICE]] - Table1[[#This Row],[PREV_CL_PR]]) / Table1[[#This Row],[PREV_CL_PR]] * 100</f>
        <v>2.1781354051054449</v>
      </c>
      <c r="M1112">
        <f>Table1[[#This Row],[HIGH_PRICE]]-Table1[[#This Row],[LOW_PRICE]]</f>
        <v>31.649999999999977</v>
      </c>
      <c r="N1112" t="str">
        <f>IF(Table1[[#This Row],[CLOSE_PRICE]]&gt;Table1[[#This Row],[OPEN_PRICE]],"Gain","Loss")</f>
        <v>Gain</v>
      </c>
      <c r="O1112" t="str">
        <f>IF(Table1[[#This Row],[MARKET_CAP]]&gt;200000000000,"Large Cap",
IF(Table1[[#This Row],[MARKET_CAP]]&gt;50000000000,"Mid Cap","Small Cap"))</f>
        <v>Small Cap</v>
      </c>
      <c r="P1112" t="str">
        <f>IF(Table1[[#This Row],[NET_TRDQTY]]&gt;1000000,"High Volume","Low Volume")</f>
        <v>Low Volume</v>
      </c>
    </row>
    <row r="1113" spans="1:16" x14ac:dyDescent="0.3">
      <c r="A1113" t="s">
        <v>2231</v>
      </c>
      <c r="B1113" t="s">
        <v>2232</v>
      </c>
      <c r="C1113">
        <v>182</v>
      </c>
      <c r="D1113">
        <v>183.96</v>
      </c>
      <c r="E1113">
        <v>176.22</v>
      </c>
      <c r="F1113">
        <v>177.14</v>
      </c>
      <c r="G1113">
        <v>184.05</v>
      </c>
      <c r="H1113">
        <v>139225</v>
      </c>
      <c r="I1113">
        <v>3663</v>
      </c>
      <c r="J1113">
        <v>19662540000</v>
      </c>
      <c r="K1113">
        <v>111000000</v>
      </c>
      <c r="L1113">
        <f>(Table1[[#This Row],[CLOSE_PRICE]] - Table1[[#This Row],[PREV_CL_PR]]) / Table1[[#This Row],[PREV_CL_PR]] * 100</f>
        <v>-3.7544145612605404</v>
      </c>
      <c r="M1113">
        <f>Table1[[#This Row],[HIGH_PRICE]]-Table1[[#This Row],[LOW_PRICE]]</f>
        <v>7.7400000000000091</v>
      </c>
      <c r="N1113" t="str">
        <f>IF(Table1[[#This Row],[CLOSE_PRICE]]&gt;Table1[[#This Row],[OPEN_PRICE]],"Gain","Loss")</f>
        <v>Loss</v>
      </c>
      <c r="O1113" t="str">
        <f>IF(Table1[[#This Row],[MARKET_CAP]]&gt;200000000000,"Large Cap",
IF(Table1[[#This Row],[MARKET_CAP]]&gt;50000000000,"Mid Cap","Small Cap"))</f>
        <v>Small Cap</v>
      </c>
      <c r="P1113" t="str">
        <f>IF(Table1[[#This Row],[NET_TRDQTY]]&gt;1000000,"High Volume","Low Volume")</f>
        <v>Low Volume</v>
      </c>
    </row>
    <row r="1114" spans="1:16" x14ac:dyDescent="0.3">
      <c r="A1114" t="s">
        <v>2233</v>
      </c>
      <c r="B1114" t="s">
        <v>2234</v>
      </c>
      <c r="C1114">
        <v>7.3</v>
      </c>
      <c r="D1114">
        <v>7.3</v>
      </c>
      <c r="E1114">
        <v>6.91</v>
      </c>
      <c r="F1114">
        <v>7.01</v>
      </c>
      <c r="G1114">
        <v>7.13</v>
      </c>
      <c r="H1114">
        <v>69130</v>
      </c>
      <c r="I1114">
        <v>347</v>
      </c>
      <c r="J1114">
        <v>351209685.39999998</v>
      </c>
      <c r="K1114">
        <v>50101239</v>
      </c>
      <c r="L1114">
        <f>(Table1[[#This Row],[CLOSE_PRICE]] - Table1[[#This Row],[PREV_CL_PR]]) / Table1[[#This Row],[PREV_CL_PR]] * 100</f>
        <v>-1.6830294530154295</v>
      </c>
      <c r="M1114">
        <f>Table1[[#This Row],[HIGH_PRICE]]-Table1[[#This Row],[LOW_PRICE]]</f>
        <v>0.38999999999999968</v>
      </c>
      <c r="N1114" t="str">
        <f>IF(Table1[[#This Row],[CLOSE_PRICE]]&gt;Table1[[#This Row],[OPEN_PRICE]],"Gain","Loss")</f>
        <v>Loss</v>
      </c>
      <c r="O1114" t="str">
        <f>IF(Table1[[#This Row],[MARKET_CAP]]&gt;200000000000,"Large Cap",
IF(Table1[[#This Row],[MARKET_CAP]]&gt;50000000000,"Mid Cap","Small Cap"))</f>
        <v>Small Cap</v>
      </c>
      <c r="P1114" t="str">
        <f>IF(Table1[[#This Row],[NET_TRDQTY]]&gt;1000000,"High Volume","Low Volume")</f>
        <v>Low Volume</v>
      </c>
    </row>
    <row r="1115" spans="1:16" x14ac:dyDescent="0.3">
      <c r="A1115" t="s">
        <v>2235</v>
      </c>
      <c r="B1115" t="s">
        <v>2236</v>
      </c>
      <c r="C1115">
        <v>265</v>
      </c>
      <c r="D1115">
        <v>265.05</v>
      </c>
      <c r="E1115">
        <v>248</v>
      </c>
      <c r="F1115">
        <v>249.6</v>
      </c>
      <c r="G1115">
        <v>267.35000000000002</v>
      </c>
      <c r="H1115">
        <v>1294815</v>
      </c>
      <c r="I1115">
        <v>42493</v>
      </c>
      <c r="J1115">
        <v>51648475008</v>
      </c>
      <c r="K1115">
        <v>206924980</v>
      </c>
      <c r="L1115">
        <f>(Table1[[#This Row],[CLOSE_PRICE]] - Table1[[#This Row],[PREV_CL_PR]]) / Table1[[#This Row],[PREV_CL_PR]] * 100</f>
        <v>-6.6392369553020485</v>
      </c>
      <c r="M1115">
        <f>Table1[[#This Row],[HIGH_PRICE]]-Table1[[#This Row],[LOW_PRICE]]</f>
        <v>17.050000000000011</v>
      </c>
      <c r="N1115" t="str">
        <f>IF(Table1[[#This Row],[CLOSE_PRICE]]&gt;Table1[[#This Row],[OPEN_PRICE]],"Gain","Loss")</f>
        <v>Loss</v>
      </c>
      <c r="O1115" t="str">
        <f>IF(Table1[[#This Row],[MARKET_CAP]]&gt;200000000000,"Large Cap",
IF(Table1[[#This Row],[MARKET_CAP]]&gt;50000000000,"Mid Cap","Small Cap"))</f>
        <v>Mid Cap</v>
      </c>
      <c r="P1115" t="str">
        <f>IF(Table1[[#This Row],[NET_TRDQTY]]&gt;1000000,"High Volume","Low Volume")</f>
        <v>High Volume</v>
      </c>
    </row>
    <row r="1116" spans="1:16" x14ac:dyDescent="0.3">
      <c r="A1116" t="s">
        <v>2237</v>
      </c>
      <c r="B1116" t="s">
        <v>2238</v>
      </c>
      <c r="C1116">
        <v>19.899999999999999</v>
      </c>
      <c r="D1116">
        <v>19.899999999999999</v>
      </c>
      <c r="E1116">
        <v>18.5</v>
      </c>
      <c r="F1116">
        <v>18.86</v>
      </c>
      <c r="G1116">
        <v>19.5</v>
      </c>
      <c r="H1116">
        <v>56374</v>
      </c>
      <c r="I1116">
        <v>463</v>
      </c>
      <c r="J1116">
        <v>1084371260</v>
      </c>
      <c r="K1116">
        <v>57495825</v>
      </c>
      <c r="L1116">
        <f>(Table1[[#This Row],[CLOSE_PRICE]] - Table1[[#This Row],[PREV_CL_PR]]) / Table1[[#This Row],[PREV_CL_PR]] * 100</f>
        <v>-3.2820512820512846</v>
      </c>
      <c r="M1116">
        <f>Table1[[#This Row],[HIGH_PRICE]]-Table1[[#This Row],[LOW_PRICE]]</f>
        <v>1.3999999999999986</v>
      </c>
      <c r="N1116" t="str">
        <f>IF(Table1[[#This Row],[CLOSE_PRICE]]&gt;Table1[[#This Row],[OPEN_PRICE]],"Gain","Loss")</f>
        <v>Loss</v>
      </c>
      <c r="O1116" t="str">
        <f>IF(Table1[[#This Row],[MARKET_CAP]]&gt;200000000000,"Large Cap",
IF(Table1[[#This Row],[MARKET_CAP]]&gt;50000000000,"Mid Cap","Small Cap"))</f>
        <v>Small Cap</v>
      </c>
      <c r="P1116" t="str">
        <f>IF(Table1[[#This Row],[NET_TRDQTY]]&gt;1000000,"High Volume","Low Volume")</f>
        <v>Low Volume</v>
      </c>
    </row>
    <row r="1117" spans="1:16" x14ac:dyDescent="0.3">
      <c r="A1117" t="s">
        <v>2239</v>
      </c>
      <c r="B1117" t="s">
        <v>2240</v>
      </c>
      <c r="C1117">
        <v>979.1</v>
      </c>
      <c r="D1117">
        <v>981.4</v>
      </c>
      <c r="E1117">
        <v>957.4</v>
      </c>
      <c r="F1117">
        <v>961.4</v>
      </c>
      <c r="G1117">
        <v>987.2</v>
      </c>
      <c r="H1117">
        <v>1068049</v>
      </c>
      <c r="I1117">
        <v>35502</v>
      </c>
      <c r="J1117">
        <v>519000000000</v>
      </c>
      <c r="K1117">
        <v>539856582</v>
      </c>
      <c r="L1117">
        <f>(Table1[[#This Row],[CLOSE_PRICE]] - Table1[[#This Row],[PREV_CL_PR]]) / Table1[[#This Row],[PREV_CL_PR]] * 100</f>
        <v>-2.6134521880064896</v>
      </c>
      <c r="M1117">
        <f>Table1[[#This Row],[HIGH_PRICE]]-Table1[[#This Row],[LOW_PRICE]]</f>
        <v>24</v>
      </c>
      <c r="N1117" t="str">
        <f>IF(Table1[[#This Row],[CLOSE_PRICE]]&gt;Table1[[#This Row],[OPEN_PRICE]],"Gain","Loss")</f>
        <v>Loss</v>
      </c>
      <c r="O1117" t="str">
        <f>IF(Table1[[#This Row],[MARKET_CAP]]&gt;200000000000,"Large Cap",
IF(Table1[[#This Row],[MARKET_CAP]]&gt;50000000000,"Mid Cap","Small Cap"))</f>
        <v>Large Cap</v>
      </c>
      <c r="P1117" t="str">
        <f>IF(Table1[[#This Row],[NET_TRDQTY]]&gt;1000000,"High Volume","Low Volume")</f>
        <v>High Volume</v>
      </c>
    </row>
    <row r="1118" spans="1:16" x14ac:dyDescent="0.3">
      <c r="A1118" t="s">
        <v>2241</v>
      </c>
      <c r="B1118" t="s">
        <v>2242</v>
      </c>
      <c r="C1118">
        <v>173</v>
      </c>
      <c r="D1118">
        <v>174.7</v>
      </c>
      <c r="E1118">
        <v>166.43</v>
      </c>
      <c r="F1118">
        <v>168.45</v>
      </c>
      <c r="G1118">
        <v>173.71</v>
      </c>
      <c r="H1118">
        <v>139265</v>
      </c>
      <c r="I1118">
        <v>5240</v>
      </c>
      <c r="J1118">
        <v>9258373999</v>
      </c>
      <c r="K1118">
        <v>54962149</v>
      </c>
      <c r="L1118">
        <f>(Table1[[#This Row],[CLOSE_PRICE]] - Table1[[#This Row],[PREV_CL_PR]]) / Table1[[#This Row],[PREV_CL_PR]] * 100</f>
        <v>-3.0280352311323582</v>
      </c>
      <c r="M1118">
        <f>Table1[[#This Row],[HIGH_PRICE]]-Table1[[#This Row],[LOW_PRICE]]</f>
        <v>8.2699999999999818</v>
      </c>
      <c r="N1118" t="str">
        <f>IF(Table1[[#This Row],[CLOSE_PRICE]]&gt;Table1[[#This Row],[OPEN_PRICE]],"Gain","Loss")</f>
        <v>Loss</v>
      </c>
      <c r="O1118" t="str">
        <f>IF(Table1[[#This Row],[MARKET_CAP]]&gt;200000000000,"Large Cap",
IF(Table1[[#This Row],[MARKET_CAP]]&gt;50000000000,"Mid Cap","Small Cap"))</f>
        <v>Small Cap</v>
      </c>
      <c r="P1118" t="str">
        <f>IF(Table1[[#This Row],[NET_TRDQTY]]&gt;1000000,"High Volume","Low Volume")</f>
        <v>Low Volume</v>
      </c>
    </row>
    <row r="1119" spans="1:16" x14ac:dyDescent="0.3">
      <c r="A1119" t="s">
        <v>2243</v>
      </c>
      <c r="B1119" t="s">
        <v>2244</v>
      </c>
      <c r="C1119">
        <v>82</v>
      </c>
      <c r="D1119">
        <v>83.99</v>
      </c>
      <c r="E1119">
        <v>77.61</v>
      </c>
      <c r="F1119">
        <v>82</v>
      </c>
      <c r="G1119">
        <v>82.55</v>
      </c>
      <c r="H1119">
        <v>287515</v>
      </c>
      <c r="I1119">
        <v>3155</v>
      </c>
      <c r="J1119">
        <v>4285965750</v>
      </c>
      <c r="K1119">
        <v>52267875</v>
      </c>
      <c r="L1119">
        <f>(Table1[[#This Row],[CLOSE_PRICE]] - Table1[[#This Row],[PREV_CL_PR]]) / Table1[[#This Row],[PREV_CL_PR]] * 100</f>
        <v>-0.66626287098727699</v>
      </c>
      <c r="M1119">
        <f>Table1[[#This Row],[HIGH_PRICE]]-Table1[[#This Row],[LOW_PRICE]]</f>
        <v>6.3799999999999955</v>
      </c>
      <c r="N1119" t="str">
        <f>IF(Table1[[#This Row],[CLOSE_PRICE]]&gt;Table1[[#This Row],[OPEN_PRICE]],"Gain","Loss")</f>
        <v>Loss</v>
      </c>
      <c r="O1119" t="str">
        <f>IF(Table1[[#This Row],[MARKET_CAP]]&gt;200000000000,"Large Cap",
IF(Table1[[#This Row],[MARKET_CAP]]&gt;50000000000,"Mid Cap","Small Cap"))</f>
        <v>Small Cap</v>
      </c>
      <c r="P1119" t="str">
        <f>IF(Table1[[#This Row],[NET_TRDQTY]]&gt;1000000,"High Volume","Low Volume")</f>
        <v>Low Volume</v>
      </c>
    </row>
    <row r="1120" spans="1:16" x14ac:dyDescent="0.3">
      <c r="A1120" t="s">
        <v>2245</v>
      </c>
      <c r="B1120" t="s">
        <v>2246</v>
      </c>
      <c r="C1120">
        <v>448.35</v>
      </c>
      <c r="D1120">
        <v>448.35</v>
      </c>
      <c r="E1120">
        <v>435.05</v>
      </c>
      <c r="F1120">
        <v>440.15</v>
      </c>
      <c r="G1120">
        <v>446.1</v>
      </c>
      <c r="H1120">
        <v>98884</v>
      </c>
      <c r="I1120">
        <v>688</v>
      </c>
      <c r="J1120">
        <v>11018539040</v>
      </c>
      <c r="K1120">
        <v>25033600</v>
      </c>
      <c r="L1120">
        <f>(Table1[[#This Row],[CLOSE_PRICE]] - Table1[[#This Row],[PREV_CL_PR]]) / Table1[[#This Row],[PREV_CL_PR]] * 100</f>
        <v>-1.3337816633042021</v>
      </c>
      <c r="M1120">
        <f>Table1[[#This Row],[HIGH_PRICE]]-Table1[[#This Row],[LOW_PRICE]]</f>
        <v>13.300000000000011</v>
      </c>
      <c r="N1120" t="str">
        <f>IF(Table1[[#This Row],[CLOSE_PRICE]]&gt;Table1[[#This Row],[OPEN_PRICE]],"Gain","Loss")</f>
        <v>Loss</v>
      </c>
      <c r="O1120" t="str">
        <f>IF(Table1[[#This Row],[MARKET_CAP]]&gt;200000000000,"Large Cap",
IF(Table1[[#This Row],[MARKET_CAP]]&gt;50000000000,"Mid Cap","Small Cap"))</f>
        <v>Small Cap</v>
      </c>
      <c r="P1120" t="str">
        <f>IF(Table1[[#This Row],[NET_TRDQTY]]&gt;1000000,"High Volume","Low Volume")</f>
        <v>Low Volume</v>
      </c>
    </row>
    <row r="1121" spans="1:16" x14ac:dyDescent="0.3">
      <c r="A1121" t="s">
        <v>2247</v>
      </c>
      <c r="B1121" t="s">
        <v>2248</v>
      </c>
      <c r="C1121">
        <v>104</v>
      </c>
      <c r="D1121">
        <v>104.27</v>
      </c>
      <c r="E1121">
        <v>100.5</v>
      </c>
      <c r="F1121">
        <v>102.14</v>
      </c>
      <c r="G1121">
        <v>105.66</v>
      </c>
      <c r="H1121">
        <v>3842041</v>
      </c>
      <c r="I1121">
        <v>42850</v>
      </c>
      <c r="J1121">
        <v>80920053833</v>
      </c>
      <c r="K1121">
        <v>792246464</v>
      </c>
      <c r="L1121">
        <f>(Table1[[#This Row],[CLOSE_PRICE]] - Table1[[#This Row],[PREV_CL_PR]]) / Table1[[#This Row],[PREV_CL_PR]] * 100</f>
        <v>-3.3314404694302442</v>
      </c>
      <c r="M1121">
        <f>Table1[[#This Row],[HIGH_PRICE]]-Table1[[#This Row],[LOW_PRICE]]</f>
        <v>3.769999999999996</v>
      </c>
      <c r="N1121" t="str">
        <f>IF(Table1[[#This Row],[CLOSE_PRICE]]&gt;Table1[[#This Row],[OPEN_PRICE]],"Gain","Loss")</f>
        <v>Loss</v>
      </c>
      <c r="O1121" t="str">
        <f>IF(Table1[[#This Row],[MARKET_CAP]]&gt;200000000000,"Large Cap",
IF(Table1[[#This Row],[MARKET_CAP]]&gt;50000000000,"Mid Cap","Small Cap"))</f>
        <v>Mid Cap</v>
      </c>
      <c r="P1121" t="str">
        <f>IF(Table1[[#This Row],[NET_TRDQTY]]&gt;1000000,"High Volume","Low Volume")</f>
        <v>High Volume</v>
      </c>
    </row>
    <row r="1122" spans="1:16" x14ac:dyDescent="0.3">
      <c r="A1122" t="s">
        <v>2249</v>
      </c>
      <c r="B1122" t="s">
        <v>2250</v>
      </c>
      <c r="C1122">
        <v>507.7</v>
      </c>
      <c r="D1122">
        <v>513</v>
      </c>
      <c r="E1122">
        <v>483.05</v>
      </c>
      <c r="F1122">
        <v>501.5</v>
      </c>
      <c r="G1122">
        <v>526.20000000000005</v>
      </c>
      <c r="H1122">
        <v>2283557</v>
      </c>
      <c r="I1122">
        <v>64441</v>
      </c>
      <c r="J1122">
        <v>870000000000</v>
      </c>
      <c r="K1122">
        <v>1734870187</v>
      </c>
      <c r="L1122">
        <f>(Table1[[#This Row],[CLOSE_PRICE]] - Table1[[#This Row],[PREV_CL_PR]]) / Table1[[#This Row],[PREV_CL_PR]] * 100</f>
        <v>-4.6940326871911902</v>
      </c>
      <c r="M1122">
        <f>Table1[[#This Row],[HIGH_PRICE]]-Table1[[#This Row],[LOW_PRICE]]</f>
        <v>29.949999999999989</v>
      </c>
      <c r="N1122" t="str">
        <f>IF(Table1[[#This Row],[CLOSE_PRICE]]&gt;Table1[[#This Row],[OPEN_PRICE]],"Gain","Loss")</f>
        <v>Loss</v>
      </c>
      <c r="O1122" t="str">
        <f>IF(Table1[[#This Row],[MARKET_CAP]]&gt;200000000000,"Large Cap",
IF(Table1[[#This Row],[MARKET_CAP]]&gt;50000000000,"Mid Cap","Small Cap"))</f>
        <v>Large Cap</v>
      </c>
      <c r="P1122" t="str">
        <f>IF(Table1[[#This Row],[NET_TRDQTY]]&gt;1000000,"High Volume","Low Volume")</f>
        <v>High Volume</v>
      </c>
    </row>
    <row r="1123" spans="1:16" x14ac:dyDescent="0.3">
      <c r="A1123" t="s">
        <v>2251</v>
      </c>
      <c r="B1123" t="s">
        <v>2252</v>
      </c>
      <c r="C1123">
        <v>120.75</v>
      </c>
      <c r="D1123">
        <v>121.5</v>
      </c>
      <c r="E1123">
        <v>114.03</v>
      </c>
      <c r="F1123">
        <v>121.16</v>
      </c>
      <c r="G1123">
        <v>120.78</v>
      </c>
      <c r="H1123">
        <v>383</v>
      </c>
      <c r="I1123">
        <v>38</v>
      </c>
      <c r="J1123">
        <v>363480000</v>
      </c>
      <c r="K1123">
        <v>3000000</v>
      </c>
      <c r="L1123">
        <f>(Table1[[#This Row],[CLOSE_PRICE]] - Table1[[#This Row],[PREV_CL_PR]]) / Table1[[#This Row],[PREV_CL_PR]] * 100</f>
        <v>0.31462162609703215</v>
      </c>
      <c r="M1123">
        <f>Table1[[#This Row],[HIGH_PRICE]]-Table1[[#This Row],[LOW_PRICE]]</f>
        <v>7.4699999999999989</v>
      </c>
      <c r="N1123" t="str">
        <f>IF(Table1[[#This Row],[CLOSE_PRICE]]&gt;Table1[[#This Row],[OPEN_PRICE]],"Gain","Loss")</f>
        <v>Gain</v>
      </c>
      <c r="O1123" t="str">
        <f>IF(Table1[[#This Row],[MARKET_CAP]]&gt;200000000000,"Large Cap",
IF(Table1[[#This Row],[MARKET_CAP]]&gt;50000000000,"Mid Cap","Small Cap"))</f>
        <v>Small Cap</v>
      </c>
      <c r="P1123" t="str">
        <f>IF(Table1[[#This Row],[NET_TRDQTY]]&gt;1000000,"High Volume","Low Volume")</f>
        <v>Low Volume</v>
      </c>
    </row>
    <row r="1124" spans="1:16" x14ac:dyDescent="0.3">
      <c r="A1124" t="s">
        <v>2253</v>
      </c>
      <c r="B1124" t="s">
        <v>2254</v>
      </c>
      <c r="C1124">
        <v>1684</v>
      </c>
      <c r="D1124">
        <v>1707.9</v>
      </c>
      <c r="E1124">
        <v>1642</v>
      </c>
      <c r="F1124">
        <v>1651.3</v>
      </c>
      <c r="G1124">
        <v>1710</v>
      </c>
      <c r="H1124">
        <v>31821</v>
      </c>
      <c r="I1124">
        <v>4446</v>
      </c>
      <c r="J1124">
        <v>52663946541</v>
      </c>
      <c r="K1124">
        <v>31892416</v>
      </c>
      <c r="L1124">
        <f>(Table1[[#This Row],[CLOSE_PRICE]] - Table1[[#This Row],[PREV_CL_PR]]) / Table1[[#This Row],[PREV_CL_PR]] * 100</f>
        <v>-3.4327485380116984</v>
      </c>
      <c r="M1124">
        <f>Table1[[#This Row],[HIGH_PRICE]]-Table1[[#This Row],[LOW_PRICE]]</f>
        <v>65.900000000000091</v>
      </c>
      <c r="N1124" t="str">
        <f>IF(Table1[[#This Row],[CLOSE_PRICE]]&gt;Table1[[#This Row],[OPEN_PRICE]],"Gain","Loss")</f>
        <v>Loss</v>
      </c>
      <c r="O1124" t="str">
        <f>IF(Table1[[#This Row],[MARKET_CAP]]&gt;200000000000,"Large Cap",
IF(Table1[[#This Row],[MARKET_CAP]]&gt;50000000000,"Mid Cap","Small Cap"))</f>
        <v>Mid Cap</v>
      </c>
      <c r="P1124" t="str">
        <f>IF(Table1[[#This Row],[NET_TRDQTY]]&gt;1000000,"High Volume","Low Volume")</f>
        <v>Low Volume</v>
      </c>
    </row>
    <row r="1125" spans="1:16" x14ac:dyDescent="0.3">
      <c r="A1125" t="s">
        <v>2255</v>
      </c>
      <c r="B1125" t="s">
        <v>2256</v>
      </c>
      <c r="C1125">
        <v>1535</v>
      </c>
      <c r="D1125">
        <v>1539</v>
      </c>
      <c r="E1125">
        <v>1450</v>
      </c>
      <c r="F1125">
        <v>1484.6</v>
      </c>
      <c r="G1125">
        <v>1559.7</v>
      </c>
      <c r="H1125">
        <v>823647</v>
      </c>
      <c r="I1125">
        <v>54519</v>
      </c>
      <c r="J1125">
        <v>1010000000000</v>
      </c>
      <c r="K1125">
        <v>678772392</v>
      </c>
      <c r="L1125">
        <f>(Table1[[#This Row],[CLOSE_PRICE]] - Table1[[#This Row],[PREV_CL_PR]]) / Table1[[#This Row],[PREV_CL_PR]] * 100</f>
        <v>-4.8150285311277896</v>
      </c>
      <c r="M1125">
        <f>Table1[[#This Row],[HIGH_PRICE]]-Table1[[#This Row],[LOW_PRICE]]</f>
        <v>89</v>
      </c>
      <c r="N1125" t="str">
        <f>IF(Table1[[#This Row],[CLOSE_PRICE]]&gt;Table1[[#This Row],[OPEN_PRICE]],"Gain","Loss")</f>
        <v>Loss</v>
      </c>
      <c r="O1125" t="str">
        <f>IF(Table1[[#This Row],[MARKET_CAP]]&gt;200000000000,"Large Cap",
IF(Table1[[#This Row],[MARKET_CAP]]&gt;50000000000,"Mid Cap","Small Cap"))</f>
        <v>Large Cap</v>
      </c>
      <c r="P1125" t="str">
        <f>IF(Table1[[#This Row],[NET_TRDQTY]]&gt;1000000,"High Volume","Low Volume")</f>
        <v>Low Volume</v>
      </c>
    </row>
    <row r="1126" spans="1:16" x14ac:dyDescent="0.3">
      <c r="A1126" t="s">
        <v>2257</v>
      </c>
      <c r="B1126" t="s">
        <v>2258</v>
      </c>
      <c r="C1126">
        <v>260</v>
      </c>
      <c r="D1126">
        <v>264.05</v>
      </c>
      <c r="E1126">
        <v>231.35</v>
      </c>
      <c r="F1126">
        <v>237.05</v>
      </c>
      <c r="G1126">
        <v>263.35000000000002</v>
      </c>
      <c r="H1126">
        <v>33674</v>
      </c>
      <c r="I1126">
        <v>1023</v>
      </c>
      <c r="J1126">
        <v>11874441348</v>
      </c>
      <c r="K1126">
        <v>50092560</v>
      </c>
      <c r="L1126">
        <f>(Table1[[#This Row],[CLOSE_PRICE]] - Table1[[#This Row],[PREV_CL_PR]]) / Table1[[#This Row],[PREV_CL_PR]] * 100</f>
        <v>-9.9867097019176043</v>
      </c>
      <c r="M1126">
        <f>Table1[[#This Row],[HIGH_PRICE]]-Table1[[#This Row],[LOW_PRICE]]</f>
        <v>32.700000000000017</v>
      </c>
      <c r="N1126" t="str">
        <f>IF(Table1[[#This Row],[CLOSE_PRICE]]&gt;Table1[[#This Row],[OPEN_PRICE]],"Gain","Loss")</f>
        <v>Loss</v>
      </c>
      <c r="O1126" t="str">
        <f>IF(Table1[[#This Row],[MARKET_CAP]]&gt;200000000000,"Large Cap",
IF(Table1[[#This Row],[MARKET_CAP]]&gt;50000000000,"Mid Cap","Small Cap"))</f>
        <v>Small Cap</v>
      </c>
      <c r="P1126" t="str">
        <f>IF(Table1[[#This Row],[NET_TRDQTY]]&gt;1000000,"High Volume","Low Volume")</f>
        <v>Low Volume</v>
      </c>
    </row>
    <row r="1127" spans="1:16" x14ac:dyDescent="0.3">
      <c r="A1127" t="s">
        <v>2259</v>
      </c>
      <c r="B1127" t="s">
        <v>2260</v>
      </c>
      <c r="C1127">
        <v>10.1</v>
      </c>
      <c r="D1127">
        <v>10.24</v>
      </c>
      <c r="E1127">
        <v>9.52</v>
      </c>
      <c r="F1127">
        <v>9.82</v>
      </c>
      <c r="G1127">
        <v>10.039999999999999</v>
      </c>
      <c r="H1127">
        <v>28820</v>
      </c>
      <c r="I1127">
        <v>168</v>
      </c>
      <c r="J1127">
        <v>258703775.59999999</v>
      </c>
      <c r="K1127">
        <v>26344580</v>
      </c>
      <c r="L1127">
        <f>(Table1[[#This Row],[CLOSE_PRICE]] - Table1[[#This Row],[PREV_CL_PR]]) / Table1[[#This Row],[PREV_CL_PR]] * 100</f>
        <v>-2.1912350597609453</v>
      </c>
      <c r="M1127">
        <f>Table1[[#This Row],[HIGH_PRICE]]-Table1[[#This Row],[LOW_PRICE]]</f>
        <v>0.72000000000000064</v>
      </c>
      <c r="N1127" t="str">
        <f>IF(Table1[[#This Row],[CLOSE_PRICE]]&gt;Table1[[#This Row],[OPEN_PRICE]],"Gain","Loss")</f>
        <v>Loss</v>
      </c>
      <c r="O1127" t="str">
        <f>IF(Table1[[#This Row],[MARKET_CAP]]&gt;200000000000,"Large Cap",
IF(Table1[[#This Row],[MARKET_CAP]]&gt;50000000000,"Mid Cap","Small Cap"))</f>
        <v>Small Cap</v>
      </c>
      <c r="P1127" t="str">
        <f>IF(Table1[[#This Row],[NET_TRDQTY]]&gt;1000000,"High Volume","Low Volume")</f>
        <v>Low Volume</v>
      </c>
    </row>
    <row r="1128" spans="1:16" x14ac:dyDescent="0.3">
      <c r="A1128" t="s">
        <v>2261</v>
      </c>
      <c r="B1128" t="s">
        <v>2262</v>
      </c>
      <c r="C1128">
        <v>249.56</v>
      </c>
      <c r="D1128">
        <v>249.56</v>
      </c>
      <c r="E1128">
        <v>231</v>
      </c>
      <c r="F1128">
        <v>235.71</v>
      </c>
      <c r="G1128">
        <v>248.34</v>
      </c>
      <c r="H1128">
        <v>29911</v>
      </c>
      <c r="I1128">
        <v>874</v>
      </c>
      <c r="J1128">
        <v>4016498400</v>
      </c>
      <c r="K1128">
        <v>17040000</v>
      </c>
      <c r="L1128">
        <f>(Table1[[#This Row],[CLOSE_PRICE]] - Table1[[#This Row],[PREV_CL_PR]]) / Table1[[#This Row],[PREV_CL_PR]] * 100</f>
        <v>-5.0857695095433666</v>
      </c>
      <c r="M1128">
        <f>Table1[[#This Row],[HIGH_PRICE]]-Table1[[#This Row],[LOW_PRICE]]</f>
        <v>18.560000000000002</v>
      </c>
      <c r="N1128" t="str">
        <f>IF(Table1[[#This Row],[CLOSE_PRICE]]&gt;Table1[[#This Row],[OPEN_PRICE]],"Gain","Loss")</f>
        <v>Loss</v>
      </c>
      <c r="O1128" t="str">
        <f>IF(Table1[[#This Row],[MARKET_CAP]]&gt;200000000000,"Large Cap",
IF(Table1[[#This Row],[MARKET_CAP]]&gt;50000000000,"Mid Cap","Small Cap"))</f>
        <v>Small Cap</v>
      </c>
      <c r="P1128" t="str">
        <f>IF(Table1[[#This Row],[NET_TRDQTY]]&gt;1000000,"High Volume","Low Volume")</f>
        <v>Low Volume</v>
      </c>
    </row>
    <row r="1129" spans="1:16" x14ac:dyDescent="0.3">
      <c r="A1129" t="s">
        <v>2263</v>
      </c>
      <c r="B1129" t="s">
        <v>2264</v>
      </c>
      <c r="C1129">
        <v>483</v>
      </c>
      <c r="D1129">
        <v>483.7</v>
      </c>
      <c r="E1129">
        <v>458.9</v>
      </c>
      <c r="F1129">
        <v>460.7</v>
      </c>
      <c r="G1129">
        <v>486.15</v>
      </c>
      <c r="H1129">
        <v>3943606</v>
      </c>
      <c r="I1129">
        <v>55549</v>
      </c>
      <c r="J1129">
        <v>253000000000</v>
      </c>
      <c r="K1129">
        <v>550063000</v>
      </c>
      <c r="L1129">
        <f>(Table1[[#This Row],[CLOSE_PRICE]] - Table1[[#This Row],[PREV_CL_PR]]) / Table1[[#This Row],[PREV_CL_PR]] * 100</f>
        <v>-5.2350097706469176</v>
      </c>
      <c r="M1129">
        <f>Table1[[#This Row],[HIGH_PRICE]]-Table1[[#This Row],[LOW_PRICE]]</f>
        <v>24.800000000000011</v>
      </c>
      <c r="N1129" t="str">
        <f>IF(Table1[[#This Row],[CLOSE_PRICE]]&gt;Table1[[#This Row],[OPEN_PRICE]],"Gain","Loss")</f>
        <v>Loss</v>
      </c>
      <c r="O1129" t="str">
        <f>IF(Table1[[#This Row],[MARKET_CAP]]&gt;200000000000,"Large Cap",
IF(Table1[[#This Row],[MARKET_CAP]]&gt;50000000000,"Mid Cap","Small Cap"))</f>
        <v>Large Cap</v>
      </c>
      <c r="P1129" t="str">
        <f>IF(Table1[[#This Row],[NET_TRDQTY]]&gt;1000000,"High Volume","Low Volume")</f>
        <v>High Volume</v>
      </c>
    </row>
    <row r="1130" spans="1:16" x14ac:dyDescent="0.3">
      <c r="A1130" t="s">
        <v>2265</v>
      </c>
      <c r="B1130" t="s">
        <v>2266</v>
      </c>
      <c r="C1130">
        <v>141.5</v>
      </c>
      <c r="D1130">
        <v>141.5</v>
      </c>
      <c r="E1130">
        <v>131.44999999999999</v>
      </c>
      <c r="F1130">
        <v>133.15</v>
      </c>
      <c r="G1130">
        <v>141.74</v>
      </c>
      <c r="H1130">
        <v>97644</v>
      </c>
      <c r="I1130">
        <v>2820</v>
      </c>
      <c r="J1130">
        <v>5252767500</v>
      </c>
      <c r="K1130">
        <v>39450000</v>
      </c>
      <c r="L1130">
        <f>(Table1[[#This Row],[CLOSE_PRICE]] - Table1[[#This Row],[PREV_CL_PR]]) / Table1[[#This Row],[PREV_CL_PR]] * 100</f>
        <v>-6.0603922675321034</v>
      </c>
      <c r="M1130">
        <f>Table1[[#This Row],[HIGH_PRICE]]-Table1[[#This Row],[LOW_PRICE]]</f>
        <v>10.050000000000011</v>
      </c>
      <c r="N1130" t="str">
        <f>IF(Table1[[#This Row],[CLOSE_PRICE]]&gt;Table1[[#This Row],[OPEN_PRICE]],"Gain","Loss")</f>
        <v>Loss</v>
      </c>
      <c r="O1130" t="str">
        <f>IF(Table1[[#This Row],[MARKET_CAP]]&gt;200000000000,"Large Cap",
IF(Table1[[#This Row],[MARKET_CAP]]&gt;50000000000,"Mid Cap","Small Cap"))</f>
        <v>Small Cap</v>
      </c>
      <c r="P1130" t="str">
        <f>IF(Table1[[#This Row],[NET_TRDQTY]]&gt;1000000,"High Volume","Low Volume")</f>
        <v>Low Volume</v>
      </c>
    </row>
    <row r="1131" spans="1:16" x14ac:dyDescent="0.3">
      <c r="A1131" t="s">
        <v>2267</v>
      </c>
      <c r="B1131" t="s">
        <v>2268</v>
      </c>
      <c r="C1131">
        <v>102.87</v>
      </c>
      <c r="D1131">
        <v>102.87</v>
      </c>
      <c r="E1131">
        <v>96</v>
      </c>
      <c r="F1131">
        <v>96.95</v>
      </c>
      <c r="G1131">
        <v>102.87</v>
      </c>
      <c r="H1131">
        <v>30125</v>
      </c>
      <c r="I1131">
        <v>594</v>
      </c>
      <c r="J1131">
        <v>5767474450</v>
      </c>
      <c r="K1131">
        <v>59489164</v>
      </c>
      <c r="L1131">
        <f>(Table1[[#This Row],[CLOSE_PRICE]] - Table1[[#This Row],[PREV_CL_PR]]) / Table1[[#This Row],[PREV_CL_PR]] * 100</f>
        <v>-5.7548362010304288</v>
      </c>
      <c r="M1131">
        <f>Table1[[#This Row],[HIGH_PRICE]]-Table1[[#This Row],[LOW_PRICE]]</f>
        <v>6.8700000000000045</v>
      </c>
      <c r="N1131" t="str">
        <f>IF(Table1[[#This Row],[CLOSE_PRICE]]&gt;Table1[[#This Row],[OPEN_PRICE]],"Gain","Loss")</f>
        <v>Loss</v>
      </c>
      <c r="O1131" t="str">
        <f>IF(Table1[[#This Row],[MARKET_CAP]]&gt;200000000000,"Large Cap",
IF(Table1[[#This Row],[MARKET_CAP]]&gt;50000000000,"Mid Cap","Small Cap"))</f>
        <v>Small Cap</v>
      </c>
      <c r="P1131" t="str">
        <f>IF(Table1[[#This Row],[NET_TRDQTY]]&gt;1000000,"High Volume","Low Volume")</f>
        <v>Low Volume</v>
      </c>
    </row>
    <row r="1132" spans="1:16" x14ac:dyDescent="0.3">
      <c r="A1132" t="s">
        <v>2269</v>
      </c>
      <c r="B1132" t="s">
        <v>2270</v>
      </c>
      <c r="C1132">
        <v>582</v>
      </c>
      <c r="D1132">
        <v>600.6</v>
      </c>
      <c r="E1132">
        <v>582</v>
      </c>
      <c r="F1132">
        <v>586.85</v>
      </c>
      <c r="G1132">
        <v>600.4</v>
      </c>
      <c r="H1132">
        <v>34470</v>
      </c>
      <c r="I1132">
        <v>1331</v>
      </c>
      <c r="J1132">
        <v>11754445877</v>
      </c>
      <c r="K1132">
        <v>20029728</v>
      </c>
      <c r="L1132">
        <f>(Table1[[#This Row],[CLOSE_PRICE]] - Table1[[#This Row],[PREV_CL_PR]]) / Table1[[#This Row],[PREV_CL_PR]] * 100</f>
        <v>-2.2568287808127838</v>
      </c>
      <c r="M1132">
        <f>Table1[[#This Row],[HIGH_PRICE]]-Table1[[#This Row],[LOW_PRICE]]</f>
        <v>18.600000000000023</v>
      </c>
      <c r="N1132" t="str">
        <f>IF(Table1[[#This Row],[CLOSE_PRICE]]&gt;Table1[[#This Row],[OPEN_PRICE]],"Gain","Loss")</f>
        <v>Gain</v>
      </c>
      <c r="O1132" t="str">
        <f>IF(Table1[[#This Row],[MARKET_CAP]]&gt;200000000000,"Large Cap",
IF(Table1[[#This Row],[MARKET_CAP]]&gt;50000000000,"Mid Cap","Small Cap"))</f>
        <v>Small Cap</v>
      </c>
      <c r="P1132" t="str">
        <f>IF(Table1[[#This Row],[NET_TRDQTY]]&gt;1000000,"High Volume","Low Volume")</f>
        <v>Low Volume</v>
      </c>
    </row>
    <row r="1133" spans="1:16" x14ac:dyDescent="0.3">
      <c r="A1133" t="s">
        <v>2271</v>
      </c>
      <c r="B1133" t="s">
        <v>2272</v>
      </c>
      <c r="C1133">
        <v>7015</v>
      </c>
      <c r="D1133">
        <v>7025</v>
      </c>
      <c r="E1133">
        <v>6558</v>
      </c>
      <c r="F1133">
        <v>6765</v>
      </c>
      <c r="G1133">
        <v>7014.5</v>
      </c>
      <c r="H1133">
        <v>71879</v>
      </c>
      <c r="I1133">
        <v>20293</v>
      </c>
      <c r="J1133">
        <v>577000000000</v>
      </c>
      <c r="K1133">
        <v>85284223</v>
      </c>
      <c r="L1133">
        <f>(Table1[[#This Row],[CLOSE_PRICE]] - Table1[[#This Row],[PREV_CL_PR]]) / Table1[[#This Row],[PREV_CL_PR]] * 100</f>
        <v>-3.5569178131014323</v>
      </c>
      <c r="M1133">
        <f>Table1[[#This Row],[HIGH_PRICE]]-Table1[[#This Row],[LOW_PRICE]]</f>
        <v>467</v>
      </c>
      <c r="N1133" t="str">
        <f>IF(Table1[[#This Row],[CLOSE_PRICE]]&gt;Table1[[#This Row],[OPEN_PRICE]],"Gain","Loss")</f>
        <v>Loss</v>
      </c>
      <c r="O1133" t="str">
        <f>IF(Table1[[#This Row],[MARKET_CAP]]&gt;200000000000,"Large Cap",
IF(Table1[[#This Row],[MARKET_CAP]]&gt;50000000000,"Mid Cap","Small Cap"))</f>
        <v>Large Cap</v>
      </c>
      <c r="P1133" t="str">
        <f>IF(Table1[[#This Row],[NET_TRDQTY]]&gt;1000000,"High Volume","Low Volume")</f>
        <v>Low Volume</v>
      </c>
    </row>
    <row r="1134" spans="1:16" x14ac:dyDescent="0.3">
      <c r="A1134" t="s">
        <v>2273</v>
      </c>
      <c r="B1134" t="s">
        <v>2274</v>
      </c>
      <c r="C1134">
        <v>40.92</v>
      </c>
      <c r="D1134">
        <v>40.92</v>
      </c>
      <c r="E1134">
        <v>38</v>
      </c>
      <c r="F1134">
        <v>38.200000000000003</v>
      </c>
      <c r="G1134">
        <v>41.3</v>
      </c>
      <c r="H1134">
        <v>7931175</v>
      </c>
      <c r="I1134">
        <v>22361</v>
      </c>
      <c r="J1134">
        <v>44514832259</v>
      </c>
      <c r="K1134">
        <v>1165309745</v>
      </c>
      <c r="L1134">
        <f>(Table1[[#This Row],[CLOSE_PRICE]] - Table1[[#This Row],[PREV_CL_PR]]) / Table1[[#This Row],[PREV_CL_PR]] * 100</f>
        <v>-7.50605326876512</v>
      </c>
      <c r="M1134">
        <f>Table1[[#This Row],[HIGH_PRICE]]-Table1[[#This Row],[LOW_PRICE]]</f>
        <v>2.9200000000000017</v>
      </c>
      <c r="N1134" t="str">
        <f>IF(Table1[[#This Row],[CLOSE_PRICE]]&gt;Table1[[#This Row],[OPEN_PRICE]],"Gain","Loss")</f>
        <v>Loss</v>
      </c>
      <c r="O1134" t="str">
        <f>IF(Table1[[#This Row],[MARKET_CAP]]&gt;200000000000,"Large Cap",
IF(Table1[[#This Row],[MARKET_CAP]]&gt;50000000000,"Mid Cap","Small Cap"))</f>
        <v>Small Cap</v>
      </c>
      <c r="P1134" t="str">
        <f>IF(Table1[[#This Row],[NET_TRDQTY]]&gt;1000000,"High Volume","Low Volume")</f>
        <v>High Volume</v>
      </c>
    </row>
    <row r="1135" spans="1:16" x14ac:dyDescent="0.3">
      <c r="A1135" t="s">
        <v>2275</v>
      </c>
      <c r="B1135" t="s">
        <v>2276</v>
      </c>
      <c r="C1135">
        <v>44.8</v>
      </c>
      <c r="D1135">
        <v>44.89</v>
      </c>
      <c r="E1135">
        <v>41.66</v>
      </c>
      <c r="F1135">
        <v>42.17</v>
      </c>
      <c r="G1135">
        <v>45.4</v>
      </c>
      <c r="H1135">
        <v>3585219</v>
      </c>
      <c r="I1135">
        <v>13726</v>
      </c>
      <c r="J1135">
        <v>53645579608</v>
      </c>
      <c r="K1135">
        <v>1272126621</v>
      </c>
      <c r="L1135">
        <f>(Table1[[#This Row],[CLOSE_PRICE]] - Table1[[#This Row],[PREV_CL_PR]]) / Table1[[#This Row],[PREV_CL_PR]] * 100</f>
        <v>-7.1145374449339149</v>
      </c>
      <c r="M1135">
        <f>Table1[[#This Row],[HIGH_PRICE]]-Table1[[#This Row],[LOW_PRICE]]</f>
        <v>3.230000000000004</v>
      </c>
      <c r="N1135" t="str">
        <f>IF(Table1[[#This Row],[CLOSE_PRICE]]&gt;Table1[[#This Row],[OPEN_PRICE]],"Gain","Loss")</f>
        <v>Loss</v>
      </c>
      <c r="O1135" t="str">
        <f>IF(Table1[[#This Row],[MARKET_CAP]]&gt;200000000000,"Large Cap",
IF(Table1[[#This Row],[MARKET_CAP]]&gt;50000000000,"Mid Cap","Small Cap"))</f>
        <v>Mid Cap</v>
      </c>
      <c r="P1135" t="str">
        <f>IF(Table1[[#This Row],[NET_TRDQTY]]&gt;1000000,"High Volume","Low Volume")</f>
        <v>High Volume</v>
      </c>
    </row>
    <row r="1136" spans="1:16" x14ac:dyDescent="0.3">
      <c r="A1136" t="s">
        <v>2277</v>
      </c>
      <c r="B1136" t="s">
        <v>2278</v>
      </c>
      <c r="C1136">
        <v>1230</v>
      </c>
      <c r="D1136">
        <v>1234</v>
      </c>
      <c r="E1136">
        <v>1186.4000000000001</v>
      </c>
      <c r="F1136">
        <v>1209.5999999999999</v>
      </c>
      <c r="G1136">
        <v>1245.8</v>
      </c>
      <c r="H1136">
        <v>1480245</v>
      </c>
      <c r="I1136">
        <v>28127</v>
      </c>
      <c r="J1136">
        <v>639000000000</v>
      </c>
      <c r="K1136">
        <v>528502270</v>
      </c>
      <c r="L1136">
        <f>(Table1[[#This Row],[CLOSE_PRICE]] - Table1[[#This Row],[PREV_CL_PR]]) / Table1[[#This Row],[PREV_CL_PR]] * 100</f>
        <v>-2.9057633649060879</v>
      </c>
      <c r="M1136">
        <f>Table1[[#This Row],[HIGH_PRICE]]-Table1[[#This Row],[LOW_PRICE]]</f>
        <v>47.599999999999909</v>
      </c>
      <c r="N1136" t="str">
        <f>IF(Table1[[#This Row],[CLOSE_PRICE]]&gt;Table1[[#This Row],[OPEN_PRICE]],"Gain","Loss")</f>
        <v>Loss</v>
      </c>
      <c r="O1136" t="str">
        <f>IF(Table1[[#This Row],[MARKET_CAP]]&gt;200000000000,"Large Cap",
IF(Table1[[#This Row],[MARKET_CAP]]&gt;50000000000,"Mid Cap","Small Cap"))</f>
        <v>Large Cap</v>
      </c>
      <c r="P1136" t="str">
        <f>IF(Table1[[#This Row],[NET_TRDQTY]]&gt;1000000,"High Volume","Low Volume")</f>
        <v>High Volume</v>
      </c>
    </row>
    <row r="1137" spans="1:16" x14ac:dyDescent="0.3">
      <c r="A1137" t="s">
        <v>2279</v>
      </c>
      <c r="B1137" t="s">
        <v>2280</v>
      </c>
      <c r="C1137">
        <v>13701</v>
      </c>
      <c r="D1137">
        <v>13701</v>
      </c>
      <c r="E1137">
        <v>12500</v>
      </c>
      <c r="F1137">
        <v>12607</v>
      </c>
      <c r="G1137">
        <v>13702</v>
      </c>
      <c r="H1137">
        <v>8404</v>
      </c>
      <c r="I1137">
        <v>2878</v>
      </c>
      <c r="J1137">
        <v>135000000000</v>
      </c>
      <c r="K1137">
        <v>10683000</v>
      </c>
      <c r="L1137">
        <f>(Table1[[#This Row],[CLOSE_PRICE]] - Table1[[#This Row],[PREV_CL_PR]]) / Table1[[#This Row],[PREV_CL_PR]] * 100</f>
        <v>-7.9915340826156767</v>
      </c>
      <c r="M1137">
        <f>Table1[[#This Row],[HIGH_PRICE]]-Table1[[#This Row],[LOW_PRICE]]</f>
        <v>1201</v>
      </c>
      <c r="N1137" t="str">
        <f>IF(Table1[[#This Row],[CLOSE_PRICE]]&gt;Table1[[#This Row],[OPEN_PRICE]],"Gain","Loss")</f>
        <v>Loss</v>
      </c>
      <c r="O1137" t="str">
        <f>IF(Table1[[#This Row],[MARKET_CAP]]&gt;200000000000,"Large Cap",
IF(Table1[[#This Row],[MARKET_CAP]]&gt;50000000000,"Mid Cap","Small Cap"))</f>
        <v>Mid Cap</v>
      </c>
      <c r="P1137" t="str">
        <f>IF(Table1[[#This Row],[NET_TRDQTY]]&gt;1000000,"High Volume","Low Volume")</f>
        <v>Low Volume</v>
      </c>
    </row>
    <row r="1138" spans="1:16" x14ac:dyDescent="0.3">
      <c r="A1138" t="s">
        <v>2281</v>
      </c>
      <c r="B1138" t="s">
        <v>2282</v>
      </c>
      <c r="C1138">
        <v>195.07</v>
      </c>
      <c r="D1138">
        <v>197.99</v>
      </c>
      <c r="E1138">
        <v>190.95</v>
      </c>
      <c r="F1138">
        <v>191.45</v>
      </c>
      <c r="G1138">
        <v>198.33</v>
      </c>
      <c r="H1138">
        <v>52881</v>
      </c>
      <c r="I1138">
        <v>3119</v>
      </c>
      <c r="J1138">
        <v>3828381617</v>
      </c>
      <c r="K1138">
        <v>19996770</v>
      </c>
      <c r="L1138">
        <f>(Table1[[#This Row],[CLOSE_PRICE]] - Table1[[#This Row],[PREV_CL_PR]]) / Table1[[#This Row],[PREV_CL_PR]] * 100</f>
        <v>-3.4689658649725321</v>
      </c>
      <c r="M1138">
        <f>Table1[[#This Row],[HIGH_PRICE]]-Table1[[#This Row],[LOW_PRICE]]</f>
        <v>7.0400000000000205</v>
      </c>
      <c r="N1138" t="str">
        <f>IF(Table1[[#This Row],[CLOSE_PRICE]]&gt;Table1[[#This Row],[OPEN_PRICE]],"Gain","Loss")</f>
        <v>Loss</v>
      </c>
      <c r="O1138" t="str">
        <f>IF(Table1[[#This Row],[MARKET_CAP]]&gt;200000000000,"Large Cap",
IF(Table1[[#This Row],[MARKET_CAP]]&gt;50000000000,"Mid Cap","Small Cap"))</f>
        <v>Small Cap</v>
      </c>
      <c r="P1138" t="str">
        <f>IF(Table1[[#This Row],[NET_TRDQTY]]&gt;1000000,"High Volume","Low Volume")</f>
        <v>Low Volume</v>
      </c>
    </row>
    <row r="1139" spans="1:16" x14ac:dyDescent="0.3">
      <c r="A1139" t="s">
        <v>2283</v>
      </c>
      <c r="B1139" t="s">
        <v>2284</v>
      </c>
      <c r="C1139">
        <v>120</v>
      </c>
      <c r="D1139">
        <v>120</v>
      </c>
      <c r="E1139">
        <v>112</v>
      </c>
      <c r="F1139">
        <v>113.94</v>
      </c>
      <c r="G1139">
        <v>119.13</v>
      </c>
      <c r="H1139">
        <v>15878</v>
      </c>
      <c r="I1139">
        <v>506</v>
      </c>
      <c r="J1139">
        <v>2866030922</v>
      </c>
      <c r="K1139">
        <v>25153861</v>
      </c>
      <c r="L1139">
        <f>(Table1[[#This Row],[CLOSE_PRICE]] - Table1[[#This Row],[PREV_CL_PR]]) / Table1[[#This Row],[PREV_CL_PR]] * 100</f>
        <v>-4.3565852430118337</v>
      </c>
      <c r="M1139">
        <f>Table1[[#This Row],[HIGH_PRICE]]-Table1[[#This Row],[LOW_PRICE]]</f>
        <v>8</v>
      </c>
      <c r="N1139" t="str">
        <f>IF(Table1[[#This Row],[CLOSE_PRICE]]&gt;Table1[[#This Row],[OPEN_PRICE]],"Gain","Loss")</f>
        <v>Loss</v>
      </c>
      <c r="O1139" t="str">
        <f>IF(Table1[[#This Row],[MARKET_CAP]]&gt;200000000000,"Large Cap",
IF(Table1[[#This Row],[MARKET_CAP]]&gt;50000000000,"Mid Cap","Small Cap"))</f>
        <v>Small Cap</v>
      </c>
      <c r="P1139" t="str">
        <f>IF(Table1[[#This Row],[NET_TRDQTY]]&gt;1000000,"High Volume","Low Volume")</f>
        <v>Low Volume</v>
      </c>
    </row>
    <row r="1140" spans="1:16" x14ac:dyDescent="0.3">
      <c r="A1140" t="s">
        <v>2285</v>
      </c>
      <c r="B1140" t="s">
        <v>2286</v>
      </c>
      <c r="C1140">
        <v>112.55</v>
      </c>
      <c r="D1140">
        <v>115.41</v>
      </c>
      <c r="E1140">
        <v>107</v>
      </c>
      <c r="F1140">
        <v>107.67</v>
      </c>
      <c r="G1140">
        <v>114.58</v>
      </c>
      <c r="H1140">
        <v>3596447</v>
      </c>
      <c r="I1140">
        <v>16913</v>
      </c>
      <c r="J1140">
        <v>52620881856</v>
      </c>
      <c r="K1140">
        <v>488723710</v>
      </c>
      <c r="L1140">
        <f>(Table1[[#This Row],[CLOSE_PRICE]] - Table1[[#This Row],[PREV_CL_PR]]) / Table1[[#This Row],[PREV_CL_PR]] * 100</f>
        <v>-6.0307208936987236</v>
      </c>
      <c r="M1140">
        <f>Table1[[#This Row],[HIGH_PRICE]]-Table1[[#This Row],[LOW_PRICE]]</f>
        <v>8.4099999999999966</v>
      </c>
      <c r="N1140" t="str">
        <f>IF(Table1[[#This Row],[CLOSE_PRICE]]&gt;Table1[[#This Row],[OPEN_PRICE]],"Gain","Loss")</f>
        <v>Loss</v>
      </c>
      <c r="O1140" t="str">
        <f>IF(Table1[[#This Row],[MARKET_CAP]]&gt;200000000000,"Large Cap",
IF(Table1[[#This Row],[MARKET_CAP]]&gt;50000000000,"Mid Cap","Small Cap"))</f>
        <v>Mid Cap</v>
      </c>
      <c r="P1140" t="str">
        <f>IF(Table1[[#This Row],[NET_TRDQTY]]&gt;1000000,"High Volume","Low Volume")</f>
        <v>High Volume</v>
      </c>
    </row>
    <row r="1141" spans="1:16" x14ac:dyDescent="0.3">
      <c r="A1141" t="s">
        <v>2287</v>
      </c>
      <c r="B1141" t="s">
        <v>2288</v>
      </c>
      <c r="C1141">
        <v>110.17</v>
      </c>
      <c r="D1141">
        <v>112.3</v>
      </c>
      <c r="E1141">
        <v>103.63</v>
      </c>
      <c r="F1141">
        <v>104.36</v>
      </c>
      <c r="G1141">
        <v>109.08</v>
      </c>
      <c r="H1141">
        <v>6549</v>
      </c>
      <c r="I1141">
        <v>376</v>
      </c>
      <c r="J1141">
        <v>2170304999</v>
      </c>
      <c r="K1141">
        <v>20796330</v>
      </c>
      <c r="L1141">
        <f>(Table1[[#This Row],[CLOSE_PRICE]] - Table1[[#This Row],[PREV_CL_PR]]) / Table1[[#This Row],[PREV_CL_PR]] * 100</f>
        <v>-4.3270993766043269</v>
      </c>
      <c r="M1141">
        <f>Table1[[#This Row],[HIGH_PRICE]]-Table1[[#This Row],[LOW_PRICE]]</f>
        <v>8.6700000000000017</v>
      </c>
      <c r="N1141" t="str">
        <f>IF(Table1[[#This Row],[CLOSE_PRICE]]&gt;Table1[[#This Row],[OPEN_PRICE]],"Gain","Loss")</f>
        <v>Loss</v>
      </c>
      <c r="O1141" t="str">
        <f>IF(Table1[[#This Row],[MARKET_CAP]]&gt;200000000000,"Large Cap",
IF(Table1[[#This Row],[MARKET_CAP]]&gt;50000000000,"Mid Cap","Small Cap"))</f>
        <v>Small Cap</v>
      </c>
      <c r="P1141" t="str">
        <f>IF(Table1[[#This Row],[NET_TRDQTY]]&gt;1000000,"High Volume","Low Volume")</f>
        <v>Low Volume</v>
      </c>
    </row>
    <row r="1142" spans="1:16" x14ac:dyDescent="0.3">
      <c r="A1142" t="s">
        <v>2289</v>
      </c>
      <c r="B1142" t="s">
        <v>2290</v>
      </c>
      <c r="C1142">
        <v>64</v>
      </c>
      <c r="D1142">
        <v>64.5</v>
      </c>
      <c r="E1142">
        <v>60</v>
      </c>
      <c r="F1142">
        <v>61.33</v>
      </c>
      <c r="G1142">
        <v>65</v>
      </c>
      <c r="H1142">
        <v>19245</v>
      </c>
      <c r="I1142">
        <v>356</v>
      </c>
      <c r="J1142">
        <v>907684000</v>
      </c>
      <c r="K1142">
        <v>14800000</v>
      </c>
      <c r="L1142">
        <f>(Table1[[#This Row],[CLOSE_PRICE]] - Table1[[#This Row],[PREV_CL_PR]]) / Table1[[#This Row],[PREV_CL_PR]] * 100</f>
        <v>-5.6461538461538483</v>
      </c>
      <c r="M1142">
        <f>Table1[[#This Row],[HIGH_PRICE]]-Table1[[#This Row],[LOW_PRICE]]</f>
        <v>4.5</v>
      </c>
      <c r="N1142" t="str">
        <f>IF(Table1[[#This Row],[CLOSE_PRICE]]&gt;Table1[[#This Row],[OPEN_PRICE]],"Gain","Loss")</f>
        <v>Loss</v>
      </c>
      <c r="O1142" t="str">
        <f>IF(Table1[[#This Row],[MARKET_CAP]]&gt;200000000000,"Large Cap",
IF(Table1[[#This Row],[MARKET_CAP]]&gt;50000000000,"Mid Cap","Small Cap"))</f>
        <v>Small Cap</v>
      </c>
      <c r="P1142" t="str">
        <f>IF(Table1[[#This Row],[NET_TRDQTY]]&gt;1000000,"High Volume","Low Volume")</f>
        <v>Low Volume</v>
      </c>
    </row>
    <row r="1143" spans="1:16" x14ac:dyDescent="0.3">
      <c r="A1143" t="s">
        <v>2291</v>
      </c>
      <c r="B1143" t="s">
        <v>2292</v>
      </c>
      <c r="C1143">
        <v>6.08</v>
      </c>
      <c r="D1143">
        <v>6.24</v>
      </c>
      <c r="E1143">
        <v>5.72</v>
      </c>
      <c r="F1143">
        <v>5.78</v>
      </c>
      <c r="G1143">
        <v>6.09</v>
      </c>
      <c r="H1143">
        <v>17382</v>
      </c>
      <c r="I1143">
        <v>170</v>
      </c>
      <c r="J1143">
        <v>775347464.79999995</v>
      </c>
      <c r="K1143">
        <v>134143160</v>
      </c>
      <c r="L1143">
        <f>(Table1[[#This Row],[CLOSE_PRICE]] - Table1[[#This Row],[PREV_CL_PR]]) / Table1[[#This Row],[PREV_CL_PR]] * 100</f>
        <v>-5.0903119868637052</v>
      </c>
      <c r="M1143">
        <f>Table1[[#This Row],[HIGH_PRICE]]-Table1[[#This Row],[LOW_PRICE]]</f>
        <v>0.52000000000000046</v>
      </c>
      <c r="N1143" t="str">
        <f>IF(Table1[[#This Row],[CLOSE_PRICE]]&gt;Table1[[#This Row],[OPEN_PRICE]],"Gain","Loss")</f>
        <v>Loss</v>
      </c>
      <c r="O1143" t="str">
        <f>IF(Table1[[#This Row],[MARKET_CAP]]&gt;200000000000,"Large Cap",
IF(Table1[[#This Row],[MARKET_CAP]]&gt;50000000000,"Mid Cap","Small Cap"))</f>
        <v>Small Cap</v>
      </c>
      <c r="P1143" t="str">
        <f>IF(Table1[[#This Row],[NET_TRDQTY]]&gt;1000000,"High Volume","Low Volume")</f>
        <v>Low Volume</v>
      </c>
    </row>
    <row r="1144" spans="1:16" x14ac:dyDescent="0.3">
      <c r="A1144" t="s">
        <v>2293</v>
      </c>
      <c r="B1144" t="s">
        <v>2294</v>
      </c>
      <c r="C1144">
        <v>260.2</v>
      </c>
      <c r="D1144">
        <v>260.25</v>
      </c>
      <c r="E1144">
        <v>245.6</v>
      </c>
      <c r="F1144">
        <v>247.65</v>
      </c>
      <c r="G1144">
        <v>261.2</v>
      </c>
      <c r="H1144">
        <v>8126742</v>
      </c>
      <c r="I1144">
        <v>71842</v>
      </c>
      <c r="J1144">
        <v>620000000000</v>
      </c>
      <c r="K1144">
        <v>2502627626</v>
      </c>
      <c r="L1144">
        <f>(Table1[[#This Row],[CLOSE_PRICE]] - Table1[[#This Row],[PREV_CL_PR]]) / Table1[[#This Row],[PREV_CL_PR]] * 100</f>
        <v>-5.1875957120980036</v>
      </c>
      <c r="M1144">
        <f>Table1[[#This Row],[HIGH_PRICE]]-Table1[[#This Row],[LOW_PRICE]]</f>
        <v>14.650000000000006</v>
      </c>
      <c r="N1144" t="str">
        <f>IF(Table1[[#This Row],[CLOSE_PRICE]]&gt;Table1[[#This Row],[OPEN_PRICE]],"Gain","Loss")</f>
        <v>Loss</v>
      </c>
      <c r="O1144" t="str">
        <f>IF(Table1[[#This Row],[MARKET_CAP]]&gt;200000000000,"Large Cap",
IF(Table1[[#This Row],[MARKET_CAP]]&gt;50000000000,"Mid Cap","Small Cap"))</f>
        <v>Large Cap</v>
      </c>
      <c r="P1144" t="str">
        <f>IF(Table1[[#This Row],[NET_TRDQTY]]&gt;1000000,"High Volume","Low Volume")</f>
        <v>High Volume</v>
      </c>
    </row>
    <row r="1145" spans="1:16" x14ac:dyDescent="0.3">
      <c r="A1145" t="s">
        <v>2295</v>
      </c>
      <c r="B1145" t="s">
        <v>2296</v>
      </c>
      <c r="C1145">
        <v>375.9</v>
      </c>
      <c r="D1145">
        <v>375.9</v>
      </c>
      <c r="E1145">
        <v>362</v>
      </c>
      <c r="F1145">
        <v>364</v>
      </c>
      <c r="G1145">
        <v>378.45</v>
      </c>
      <c r="H1145">
        <v>515461</v>
      </c>
      <c r="I1145">
        <v>18565</v>
      </c>
      <c r="J1145">
        <v>126000000000</v>
      </c>
      <c r="K1145">
        <v>347252944</v>
      </c>
      <c r="L1145">
        <f>(Table1[[#This Row],[CLOSE_PRICE]] - Table1[[#This Row],[PREV_CL_PR]]) / Table1[[#This Row],[PREV_CL_PR]] * 100</f>
        <v>-3.8182058396089285</v>
      </c>
      <c r="M1145">
        <f>Table1[[#This Row],[HIGH_PRICE]]-Table1[[#This Row],[LOW_PRICE]]</f>
        <v>13.899999999999977</v>
      </c>
      <c r="N1145" t="str">
        <f>IF(Table1[[#This Row],[CLOSE_PRICE]]&gt;Table1[[#This Row],[OPEN_PRICE]],"Gain","Loss")</f>
        <v>Loss</v>
      </c>
      <c r="O1145" t="str">
        <f>IF(Table1[[#This Row],[MARKET_CAP]]&gt;200000000000,"Large Cap",
IF(Table1[[#This Row],[MARKET_CAP]]&gt;50000000000,"Mid Cap","Small Cap"))</f>
        <v>Mid Cap</v>
      </c>
      <c r="P1145" t="str">
        <f>IF(Table1[[#This Row],[NET_TRDQTY]]&gt;1000000,"High Volume","Low Volume")</f>
        <v>Low Volume</v>
      </c>
    </row>
    <row r="1146" spans="1:16" x14ac:dyDescent="0.3">
      <c r="A1146" t="s">
        <v>2297</v>
      </c>
      <c r="B1146" t="s">
        <v>2298</v>
      </c>
      <c r="C1146">
        <v>3219.9</v>
      </c>
      <c r="D1146">
        <v>3219.9</v>
      </c>
      <c r="E1146">
        <v>3050</v>
      </c>
      <c r="F1146">
        <v>3075.6</v>
      </c>
      <c r="G1146">
        <v>3229.1</v>
      </c>
      <c r="H1146">
        <v>129801</v>
      </c>
      <c r="I1146">
        <v>22074</v>
      </c>
      <c r="J1146">
        <v>326000000000</v>
      </c>
      <c r="K1146">
        <v>105989318</v>
      </c>
      <c r="L1146">
        <f>(Table1[[#This Row],[CLOSE_PRICE]] - Table1[[#This Row],[PREV_CL_PR]]) / Table1[[#This Row],[PREV_CL_PR]] * 100</f>
        <v>-4.7536465268960395</v>
      </c>
      <c r="M1146">
        <f>Table1[[#This Row],[HIGH_PRICE]]-Table1[[#This Row],[LOW_PRICE]]</f>
        <v>169.90000000000009</v>
      </c>
      <c r="N1146" t="str">
        <f>IF(Table1[[#This Row],[CLOSE_PRICE]]&gt;Table1[[#This Row],[OPEN_PRICE]],"Gain","Loss")</f>
        <v>Loss</v>
      </c>
      <c r="O1146" t="str">
        <f>IF(Table1[[#This Row],[MARKET_CAP]]&gt;200000000000,"Large Cap",
IF(Table1[[#This Row],[MARKET_CAP]]&gt;50000000000,"Mid Cap","Small Cap"))</f>
        <v>Large Cap</v>
      </c>
      <c r="P1146" t="str">
        <f>IF(Table1[[#This Row],[NET_TRDQTY]]&gt;1000000,"High Volume","Low Volume")</f>
        <v>Low Volume</v>
      </c>
    </row>
    <row r="1147" spans="1:16" x14ac:dyDescent="0.3">
      <c r="A1147" t="s">
        <v>2299</v>
      </c>
      <c r="B1147" t="s">
        <v>2300</v>
      </c>
      <c r="C1147">
        <v>4950</v>
      </c>
      <c r="D1147">
        <v>4963</v>
      </c>
      <c r="E1147">
        <v>4720</v>
      </c>
      <c r="F1147">
        <v>4808</v>
      </c>
      <c r="G1147">
        <v>5055.5</v>
      </c>
      <c r="H1147">
        <v>20133</v>
      </c>
      <c r="I1147">
        <v>4015</v>
      </c>
      <c r="J1147">
        <v>44943895456</v>
      </c>
      <c r="K1147">
        <v>9347732</v>
      </c>
      <c r="L1147">
        <f>(Table1[[#This Row],[CLOSE_PRICE]] - Table1[[#This Row],[PREV_CL_PR]]) / Table1[[#This Row],[PREV_CL_PR]] * 100</f>
        <v>-4.8956581940460886</v>
      </c>
      <c r="M1147">
        <f>Table1[[#This Row],[HIGH_PRICE]]-Table1[[#This Row],[LOW_PRICE]]</f>
        <v>243</v>
      </c>
      <c r="N1147" t="str">
        <f>IF(Table1[[#This Row],[CLOSE_PRICE]]&gt;Table1[[#This Row],[OPEN_PRICE]],"Gain","Loss")</f>
        <v>Loss</v>
      </c>
      <c r="O1147" t="str">
        <f>IF(Table1[[#This Row],[MARKET_CAP]]&gt;200000000000,"Large Cap",
IF(Table1[[#This Row],[MARKET_CAP]]&gt;50000000000,"Mid Cap","Small Cap"))</f>
        <v>Small Cap</v>
      </c>
      <c r="P1147" t="str">
        <f>IF(Table1[[#This Row],[NET_TRDQTY]]&gt;1000000,"High Volume","Low Volume")</f>
        <v>Low Volume</v>
      </c>
    </row>
    <row r="1148" spans="1:16" x14ac:dyDescent="0.3">
      <c r="A1148" t="s">
        <v>2301</v>
      </c>
      <c r="B1148" t="s">
        <v>2302</v>
      </c>
      <c r="C1148">
        <v>1560.2</v>
      </c>
      <c r="D1148">
        <v>1560.2</v>
      </c>
      <c r="E1148">
        <v>1465.2</v>
      </c>
      <c r="F1148">
        <v>1480.4</v>
      </c>
      <c r="G1148">
        <v>1568</v>
      </c>
      <c r="H1148">
        <v>146583</v>
      </c>
      <c r="I1148">
        <v>16963</v>
      </c>
      <c r="J1148">
        <v>101000000000</v>
      </c>
      <c r="K1148">
        <v>68157705</v>
      </c>
      <c r="L1148">
        <f>(Table1[[#This Row],[CLOSE_PRICE]] - Table1[[#This Row],[PREV_CL_PR]]) / Table1[[#This Row],[PREV_CL_PR]] * 100</f>
        <v>-5.5867346938775455</v>
      </c>
      <c r="M1148">
        <f>Table1[[#This Row],[HIGH_PRICE]]-Table1[[#This Row],[LOW_PRICE]]</f>
        <v>95</v>
      </c>
      <c r="N1148" t="str">
        <f>IF(Table1[[#This Row],[CLOSE_PRICE]]&gt;Table1[[#This Row],[OPEN_PRICE]],"Gain","Loss")</f>
        <v>Loss</v>
      </c>
      <c r="O1148" t="str">
        <f>IF(Table1[[#This Row],[MARKET_CAP]]&gt;200000000000,"Large Cap",
IF(Table1[[#This Row],[MARKET_CAP]]&gt;50000000000,"Mid Cap","Small Cap"))</f>
        <v>Mid Cap</v>
      </c>
      <c r="P1148" t="str">
        <f>IF(Table1[[#This Row],[NET_TRDQTY]]&gt;1000000,"High Volume","Low Volume")</f>
        <v>Low Volume</v>
      </c>
    </row>
    <row r="1149" spans="1:16" x14ac:dyDescent="0.3">
      <c r="A1149" t="s">
        <v>2303</v>
      </c>
      <c r="B1149" t="s">
        <v>2304</v>
      </c>
      <c r="C1149">
        <v>2319.6999999999998</v>
      </c>
      <c r="D1149">
        <v>2321</v>
      </c>
      <c r="E1149">
        <v>2282.1</v>
      </c>
      <c r="F1149">
        <v>2296.6999999999998</v>
      </c>
      <c r="G1149">
        <v>2322.5</v>
      </c>
      <c r="H1149">
        <v>1092156</v>
      </c>
      <c r="I1149">
        <v>41664</v>
      </c>
      <c r="J1149">
        <v>1050000000000</v>
      </c>
      <c r="K1149">
        <v>456798806</v>
      </c>
      <c r="L1149">
        <f>(Table1[[#This Row],[CLOSE_PRICE]] - Table1[[#This Row],[PREV_CL_PR]]) / Table1[[#This Row],[PREV_CL_PR]] * 100</f>
        <v>-1.1108719052744966</v>
      </c>
      <c r="M1149">
        <f>Table1[[#This Row],[HIGH_PRICE]]-Table1[[#This Row],[LOW_PRICE]]</f>
        <v>38.900000000000091</v>
      </c>
      <c r="N1149" t="str">
        <f>IF(Table1[[#This Row],[CLOSE_PRICE]]&gt;Table1[[#This Row],[OPEN_PRICE]],"Gain","Loss")</f>
        <v>Loss</v>
      </c>
      <c r="O1149" t="str">
        <f>IF(Table1[[#This Row],[MARKET_CAP]]&gt;200000000000,"Large Cap",
IF(Table1[[#This Row],[MARKET_CAP]]&gt;50000000000,"Mid Cap","Small Cap"))</f>
        <v>Large Cap</v>
      </c>
      <c r="P1149" t="str">
        <f>IF(Table1[[#This Row],[NET_TRDQTY]]&gt;1000000,"High Volume","Low Volume")</f>
        <v>High Volume</v>
      </c>
    </row>
    <row r="1150" spans="1:16" x14ac:dyDescent="0.3">
      <c r="A1150" t="s">
        <v>2305</v>
      </c>
      <c r="B1150" t="s">
        <v>2306</v>
      </c>
      <c r="C1150">
        <v>938.35</v>
      </c>
      <c r="D1150">
        <v>964</v>
      </c>
      <c r="E1150">
        <v>908.1</v>
      </c>
      <c r="F1150">
        <v>926.35</v>
      </c>
      <c r="G1150">
        <v>941.1</v>
      </c>
      <c r="H1150">
        <v>149450</v>
      </c>
      <c r="I1150">
        <v>9242</v>
      </c>
      <c r="J1150">
        <v>27856901694</v>
      </c>
      <c r="K1150">
        <v>30071681</v>
      </c>
      <c r="L1150">
        <f>(Table1[[#This Row],[CLOSE_PRICE]] - Table1[[#This Row],[PREV_CL_PR]]) / Table1[[#This Row],[PREV_CL_PR]] * 100</f>
        <v>-1.5673148443311018</v>
      </c>
      <c r="M1150">
        <f>Table1[[#This Row],[HIGH_PRICE]]-Table1[[#This Row],[LOW_PRICE]]</f>
        <v>55.899999999999977</v>
      </c>
      <c r="N1150" t="str">
        <f>IF(Table1[[#This Row],[CLOSE_PRICE]]&gt;Table1[[#This Row],[OPEN_PRICE]],"Gain","Loss")</f>
        <v>Loss</v>
      </c>
      <c r="O1150" t="str">
        <f>IF(Table1[[#This Row],[MARKET_CAP]]&gt;200000000000,"Large Cap",
IF(Table1[[#This Row],[MARKET_CAP]]&gt;50000000000,"Mid Cap","Small Cap"))</f>
        <v>Small Cap</v>
      </c>
      <c r="P1150" t="str">
        <f>IF(Table1[[#This Row],[NET_TRDQTY]]&gt;1000000,"High Volume","Low Volume")</f>
        <v>Low Volume</v>
      </c>
    </row>
    <row r="1151" spans="1:16" x14ac:dyDescent="0.3">
      <c r="A1151" t="s">
        <v>2307</v>
      </c>
      <c r="B1151" t="s">
        <v>2308</v>
      </c>
      <c r="C1151">
        <v>119.4</v>
      </c>
      <c r="D1151">
        <v>119.4</v>
      </c>
      <c r="E1151">
        <v>112.1</v>
      </c>
      <c r="F1151">
        <v>112.9</v>
      </c>
      <c r="G1151">
        <v>120.16</v>
      </c>
      <c r="H1151">
        <v>837194</v>
      </c>
      <c r="I1151">
        <v>10330</v>
      </c>
      <c r="J1151">
        <v>31289994862</v>
      </c>
      <c r="K1151">
        <v>277147873</v>
      </c>
      <c r="L1151">
        <f>(Table1[[#This Row],[CLOSE_PRICE]] - Table1[[#This Row],[PREV_CL_PR]]) / Table1[[#This Row],[PREV_CL_PR]] * 100</f>
        <v>-6.0419440745672359</v>
      </c>
      <c r="M1151">
        <f>Table1[[#This Row],[HIGH_PRICE]]-Table1[[#This Row],[LOW_PRICE]]</f>
        <v>7.3000000000000114</v>
      </c>
      <c r="N1151" t="str">
        <f>IF(Table1[[#This Row],[CLOSE_PRICE]]&gt;Table1[[#This Row],[OPEN_PRICE]],"Gain","Loss")</f>
        <v>Loss</v>
      </c>
      <c r="O1151" t="str">
        <f>IF(Table1[[#This Row],[MARKET_CAP]]&gt;200000000000,"Large Cap",
IF(Table1[[#This Row],[MARKET_CAP]]&gt;50000000000,"Mid Cap","Small Cap"))</f>
        <v>Small Cap</v>
      </c>
      <c r="P1151" t="str">
        <f>IF(Table1[[#This Row],[NET_TRDQTY]]&gt;1000000,"High Volume","Low Volume")</f>
        <v>Low Volume</v>
      </c>
    </row>
    <row r="1152" spans="1:16" x14ac:dyDescent="0.3">
      <c r="A1152" t="s">
        <v>2309</v>
      </c>
      <c r="B1152" t="s">
        <v>2310</v>
      </c>
      <c r="C1152">
        <v>55.9</v>
      </c>
      <c r="D1152">
        <v>55.9</v>
      </c>
      <c r="E1152">
        <v>49.5</v>
      </c>
      <c r="F1152">
        <v>49.83</v>
      </c>
      <c r="G1152">
        <v>54.95</v>
      </c>
      <c r="H1152">
        <v>345202</v>
      </c>
      <c r="I1152">
        <v>2125</v>
      </c>
      <c r="J1152">
        <v>1778432700</v>
      </c>
      <c r="K1152">
        <v>35690000</v>
      </c>
      <c r="L1152">
        <f>(Table1[[#This Row],[CLOSE_PRICE]] - Table1[[#This Row],[PREV_CL_PR]]) / Table1[[#This Row],[PREV_CL_PR]] * 100</f>
        <v>-9.3175614194722556</v>
      </c>
      <c r="M1152">
        <f>Table1[[#This Row],[HIGH_PRICE]]-Table1[[#This Row],[LOW_PRICE]]</f>
        <v>6.3999999999999986</v>
      </c>
      <c r="N1152" t="str">
        <f>IF(Table1[[#This Row],[CLOSE_PRICE]]&gt;Table1[[#This Row],[OPEN_PRICE]],"Gain","Loss")</f>
        <v>Loss</v>
      </c>
      <c r="O1152" t="str">
        <f>IF(Table1[[#This Row],[MARKET_CAP]]&gt;200000000000,"Large Cap",
IF(Table1[[#This Row],[MARKET_CAP]]&gt;50000000000,"Mid Cap","Small Cap"))</f>
        <v>Small Cap</v>
      </c>
      <c r="P1152" t="str">
        <f>IF(Table1[[#This Row],[NET_TRDQTY]]&gt;1000000,"High Volume","Low Volume")</f>
        <v>Low Volume</v>
      </c>
    </row>
    <row r="1153" spans="1:16" x14ac:dyDescent="0.3">
      <c r="A1153" t="s">
        <v>2311</v>
      </c>
      <c r="B1153" t="s">
        <v>2312</v>
      </c>
      <c r="C1153">
        <v>4.6500000000000004</v>
      </c>
      <c r="D1153">
        <v>4.95</v>
      </c>
      <c r="E1153">
        <v>4.4000000000000004</v>
      </c>
      <c r="F1153">
        <v>4.4800000000000004</v>
      </c>
      <c r="G1153">
        <v>4.67</v>
      </c>
      <c r="H1153">
        <v>28302</v>
      </c>
      <c r="I1153">
        <v>403</v>
      </c>
      <c r="J1153">
        <v>132088320</v>
      </c>
      <c r="K1153">
        <v>29484000</v>
      </c>
      <c r="L1153">
        <f>(Table1[[#This Row],[CLOSE_PRICE]] - Table1[[#This Row],[PREV_CL_PR]]) / Table1[[#This Row],[PREV_CL_PR]] * 100</f>
        <v>-4.0685224839400318</v>
      </c>
      <c r="M1153">
        <f>Table1[[#This Row],[HIGH_PRICE]]-Table1[[#This Row],[LOW_PRICE]]</f>
        <v>0.54999999999999982</v>
      </c>
      <c r="N1153" t="str">
        <f>IF(Table1[[#This Row],[CLOSE_PRICE]]&gt;Table1[[#This Row],[OPEN_PRICE]],"Gain","Loss")</f>
        <v>Loss</v>
      </c>
      <c r="O1153" t="str">
        <f>IF(Table1[[#This Row],[MARKET_CAP]]&gt;200000000000,"Large Cap",
IF(Table1[[#This Row],[MARKET_CAP]]&gt;50000000000,"Mid Cap","Small Cap"))</f>
        <v>Small Cap</v>
      </c>
      <c r="P1153" t="str">
        <f>IF(Table1[[#This Row],[NET_TRDQTY]]&gt;1000000,"High Volume","Low Volume")</f>
        <v>Low Volume</v>
      </c>
    </row>
    <row r="1154" spans="1:16" x14ac:dyDescent="0.3">
      <c r="A1154" t="s">
        <v>2313</v>
      </c>
      <c r="B1154" t="s">
        <v>2314</v>
      </c>
      <c r="C1154">
        <v>306</v>
      </c>
      <c r="D1154">
        <v>307.39999999999998</v>
      </c>
      <c r="E1154">
        <v>290</v>
      </c>
      <c r="F1154">
        <v>293.05</v>
      </c>
      <c r="G1154">
        <v>308.35000000000002</v>
      </c>
      <c r="H1154">
        <v>1619227</v>
      </c>
      <c r="I1154">
        <v>50244</v>
      </c>
      <c r="J1154">
        <v>407000000000</v>
      </c>
      <c r="K1154">
        <v>1389971160</v>
      </c>
      <c r="L1154">
        <f>(Table1[[#This Row],[CLOSE_PRICE]] - Table1[[#This Row],[PREV_CL_PR]]) / Table1[[#This Row],[PREV_CL_PR]] * 100</f>
        <v>-4.9618939516782907</v>
      </c>
      <c r="M1154">
        <f>Table1[[#This Row],[HIGH_PRICE]]-Table1[[#This Row],[LOW_PRICE]]</f>
        <v>17.399999999999977</v>
      </c>
      <c r="N1154" t="str">
        <f>IF(Table1[[#This Row],[CLOSE_PRICE]]&gt;Table1[[#This Row],[OPEN_PRICE]],"Gain","Loss")</f>
        <v>Loss</v>
      </c>
      <c r="O1154" t="str">
        <f>IF(Table1[[#This Row],[MARKET_CAP]]&gt;200000000000,"Large Cap",
IF(Table1[[#This Row],[MARKET_CAP]]&gt;50000000000,"Mid Cap","Small Cap"))</f>
        <v>Large Cap</v>
      </c>
      <c r="P1154" t="str">
        <f>IF(Table1[[#This Row],[NET_TRDQTY]]&gt;1000000,"High Volume","Low Volume")</f>
        <v>High Volume</v>
      </c>
    </row>
    <row r="1155" spans="1:16" x14ac:dyDescent="0.3">
      <c r="A1155" t="s">
        <v>2315</v>
      </c>
      <c r="B1155" t="s">
        <v>2316</v>
      </c>
      <c r="C1155">
        <v>835.2</v>
      </c>
      <c r="D1155">
        <v>883</v>
      </c>
      <c r="E1155">
        <v>831.95</v>
      </c>
      <c r="F1155">
        <v>853.1</v>
      </c>
      <c r="G1155">
        <v>849.8</v>
      </c>
      <c r="H1155">
        <v>38020</v>
      </c>
      <c r="I1155">
        <v>3124</v>
      </c>
      <c r="J1155">
        <v>8534548896</v>
      </c>
      <c r="K1155">
        <v>10004160</v>
      </c>
      <c r="L1155">
        <f>(Table1[[#This Row],[CLOSE_PRICE]] - Table1[[#This Row],[PREV_CL_PR]]) / Table1[[#This Row],[PREV_CL_PR]] * 100</f>
        <v>0.3883266650976781</v>
      </c>
      <c r="M1155">
        <f>Table1[[#This Row],[HIGH_PRICE]]-Table1[[#This Row],[LOW_PRICE]]</f>
        <v>51.049999999999955</v>
      </c>
      <c r="N1155" t="str">
        <f>IF(Table1[[#This Row],[CLOSE_PRICE]]&gt;Table1[[#This Row],[OPEN_PRICE]],"Gain","Loss")</f>
        <v>Gain</v>
      </c>
      <c r="O1155" t="str">
        <f>IF(Table1[[#This Row],[MARKET_CAP]]&gt;200000000000,"Large Cap",
IF(Table1[[#This Row],[MARKET_CAP]]&gt;50000000000,"Mid Cap","Small Cap"))</f>
        <v>Small Cap</v>
      </c>
      <c r="P1155" t="str">
        <f>IF(Table1[[#This Row],[NET_TRDQTY]]&gt;1000000,"High Volume","Low Volume")</f>
        <v>Low Volume</v>
      </c>
    </row>
    <row r="1156" spans="1:16" x14ac:dyDescent="0.3">
      <c r="A1156" t="s">
        <v>2317</v>
      </c>
      <c r="B1156" t="s">
        <v>2318</v>
      </c>
      <c r="C1156">
        <v>35.4</v>
      </c>
      <c r="D1156">
        <v>35.4</v>
      </c>
      <c r="E1156">
        <v>31.61</v>
      </c>
      <c r="F1156">
        <v>32.32</v>
      </c>
      <c r="G1156">
        <v>34.28</v>
      </c>
      <c r="H1156">
        <v>49580</v>
      </c>
      <c r="I1156">
        <v>495</v>
      </c>
      <c r="J1156">
        <v>289167040</v>
      </c>
      <c r="K1156">
        <v>8947000</v>
      </c>
      <c r="L1156">
        <f>(Table1[[#This Row],[CLOSE_PRICE]] - Table1[[#This Row],[PREV_CL_PR]]) / Table1[[#This Row],[PREV_CL_PR]] * 100</f>
        <v>-5.7176196032672131</v>
      </c>
      <c r="M1156">
        <f>Table1[[#This Row],[HIGH_PRICE]]-Table1[[#This Row],[LOW_PRICE]]</f>
        <v>3.7899999999999991</v>
      </c>
      <c r="N1156" t="str">
        <f>IF(Table1[[#This Row],[CLOSE_PRICE]]&gt;Table1[[#This Row],[OPEN_PRICE]],"Gain","Loss")</f>
        <v>Loss</v>
      </c>
      <c r="O1156" t="str">
        <f>IF(Table1[[#This Row],[MARKET_CAP]]&gt;200000000000,"Large Cap",
IF(Table1[[#This Row],[MARKET_CAP]]&gt;50000000000,"Mid Cap","Small Cap"))</f>
        <v>Small Cap</v>
      </c>
      <c r="P1156" t="str">
        <f>IF(Table1[[#This Row],[NET_TRDQTY]]&gt;1000000,"High Volume","Low Volume")</f>
        <v>Low Volume</v>
      </c>
    </row>
    <row r="1157" spans="1:16" x14ac:dyDescent="0.3">
      <c r="A1157" t="s">
        <v>2319</v>
      </c>
      <c r="B1157" t="s">
        <v>2320</v>
      </c>
      <c r="C1157">
        <v>4.05</v>
      </c>
      <c r="D1157">
        <v>4.2</v>
      </c>
      <c r="E1157">
        <v>4.01</v>
      </c>
      <c r="F1157">
        <v>4.01</v>
      </c>
      <c r="G1157">
        <v>4.22</v>
      </c>
      <c r="H1157">
        <v>74000</v>
      </c>
      <c r="I1157">
        <v>99</v>
      </c>
      <c r="J1157">
        <v>295917709.39999998</v>
      </c>
      <c r="K1157">
        <v>73794940</v>
      </c>
      <c r="L1157">
        <f>(Table1[[#This Row],[CLOSE_PRICE]] - Table1[[#This Row],[PREV_CL_PR]]) / Table1[[#This Row],[PREV_CL_PR]] * 100</f>
        <v>-4.9763033175355442</v>
      </c>
      <c r="M1157">
        <f>Table1[[#This Row],[HIGH_PRICE]]-Table1[[#This Row],[LOW_PRICE]]</f>
        <v>0.19000000000000039</v>
      </c>
      <c r="N1157" t="str">
        <f>IF(Table1[[#This Row],[CLOSE_PRICE]]&gt;Table1[[#This Row],[OPEN_PRICE]],"Gain","Loss")</f>
        <v>Loss</v>
      </c>
      <c r="O1157" t="str">
        <f>IF(Table1[[#This Row],[MARKET_CAP]]&gt;200000000000,"Large Cap",
IF(Table1[[#This Row],[MARKET_CAP]]&gt;50000000000,"Mid Cap","Small Cap"))</f>
        <v>Small Cap</v>
      </c>
      <c r="P1157" t="str">
        <f>IF(Table1[[#This Row],[NET_TRDQTY]]&gt;1000000,"High Volume","Low Volume")</f>
        <v>Low Volume</v>
      </c>
    </row>
    <row r="1158" spans="1:16" x14ac:dyDescent="0.3">
      <c r="A1158" t="s">
        <v>2321</v>
      </c>
      <c r="B1158" t="s">
        <v>2322</v>
      </c>
      <c r="C1158">
        <v>59.16</v>
      </c>
      <c r="D1158">
        <v>60.25</v>
      </c>
      <c r="E1158">
        <v>57.2</v>
      </c>
      <c r="F1158">
        <v>58.21</v>
      </c>
      <c r="G1158">
        <v>60.66</v>
      </c>
      <c r="H1158">
        <v>149023</v>
      </c>
      <c r="I1158">
        <v>1568</v>
      </c>
      <c r="J1158">
        <v>9377706673</v>
      </c>
      <c r="K1158">
        <v>161101300</v>
      </c>
      <c r="L1158">
        <f>(Table1[[#This Row],[CLOSE_PRICE]] - Table1[[#This Row],[PREV_CL_PR]]) / Table1[[#This Row],[PREV_CL_PR]] * 100</f>
        <v>-4.0389053742169407</v>
      </c>
      <c r="M1158">
        <f>Table1[[#This Row],[HIGH_PRICE]]-Table1[[#This Row],[LOW_PRICE]]</f>
        <v>3.0499999999999972</v>
      </c>
      <c r="N1158" t="str">
        <f>IF(Table1[[#This Row],[CLOSE_PRICE]]&gt;Table1[[#This Row],[OPEN_PRICE]],"Gain","Loss")</f>
        <v>Loss</v>
      </c>
      <c r="O1158" t="str">
        <f>IF(Table1[[#This Row],[MARKET_CAP]]&gt;200000000000,"Large Cap",
IF(Table1[[#This Row],[MARKET_CAP]]&gt;50000000000,"Mid Cap","Small Cap"))</f>
        <v>Small Cap</v>
      </c>
      <c r="P1158" t="str">
        <f>IF(Table1[[#This Row],[NET_TRDQTY]]&gt;1000000,"High Volume","Low Volume")</f>
        <v>Low Volume</v>
      </c>
    </row>
    <row r="1159" spans="1:16" x14ac:dyDescent="0.3">
      <c r="A1159" t="s">
        <v>2323</v>
      </c>
      <c r="B1159" t="s">
        <v>2324</v>
      </c>
      <c r="C1159">
        <v>455</v>
      </c>
      <c r="D1159">
        <v>461.45</v>
      </c>
      <c r="E1159">
        <v>431</v>
      </c>
      <c r="F1159">
        <v>436.45</v>
      </c>
      <c r="G1159">
        <v>459.45</v>
      </c>
      <c r="H1159">
        <v>21359</v>
      </c>
      <c r="I1159">
        <v>1242</v>
      </c>
      <c r="J1159">
        <v>6150291914</v>
      </c>
      <c r="K1159">
        <v>14091630</v>
      </c>
      <c r="L1159">
        <f>(Table1[[#This Row],[CLOSE_PRICE]] - Table1[[#This Row],[PREV_CL_PR]]) / Table1[[#This Row],[PREV_CL_PR]] * 100</f>
        <v>-5.0059854173468272</v>
      </c>
      <c r="M1159">
        <f>Table1[[#This Row],[HIGH_PRICE]]-Table1[[#This Row],[LOW_PRICE]]</f>
        <v>30.449999999999989</v>
      </c>
      <c r="N1159" t="str">
        <f>IF(Table1[[#This Row],[CLOSE_PRICE]]&gt;Table1[[#This Row],[OPEN_PRICE]],"Gain","Loss")</f>
        <v>Loss</v>
      </c>
      <c r="O1159" t="str">
        <f>IF(Table1[[#This Row],[MARKET_CAP]]&gt;200000000000,"Large Cap",
IF(Table1[[#This Row],[MARKET_CAP]]&gt;50000000000,"Mid Cap","Small Cap"))</f>
        <v>Small Cap</v>
      </c>
      <c r="P1159" t="str">
        <f>IF(Table1[[#This Row],[NET_TRDQTY]]&gt;1000000,"High Volume","Low Volume")</f>
        <v>Low Volume</v>
      </c>
    </row>
    <row r="1160" spans="1:16" x14ac:dyDescent="0.3">
      <c r="A1160" t="s">
        <v>2325</v>
      </c>
      <c r="B1160" t="s">
        <v>2326</v>
      </c>
      <c r="C1160">
        <v>17.260000000000002</v>
      </c>
      <c r="D1160">
        <v>18.739999999999998</v>
      </c>
      <c r="E1160">
        <v>16.399999999999999</v>
      </c>
      <c r="F1160">
        <v>16.73</v>
      </c>
      <c r="G1160">
        <v>18.100000000000001</v>
      </c>
      <c r="H1160">
        <v>112758</v>
      </c>
      <c r="I1160">
        <v>531</v>
      </c>
      <c r="J1160">
        <v>1144521333</v>
      </c>
      <c r="K1160">
        <v>68411317</v>
      </c>
      <c r="L1160">
        <f>(Table1[[#This Row],[CLOSE_PRICE]] - Table1[[#This Row],[PREV_CL_PR]]) / Table1[[#This Row],[PREV_CL_PR]] * 100</f>
        <v>-7.5690607734806683</v>
      </c>
      <c r="M1160">
        <f>Table1[[#This Row],[HIGH_PRICE]]-Table1[[#This Row],[LOW_PRICE]]</f>
        <v>2.34</v>
      </c>
      <c r="N1160" t="str">
        <f>IF(Table1[[#This Row],[CLOSE_PRICE]]&gt;Table1[[#This Row],[OPEN_PRICE]],"Gain","Loss")</f>
        <v>Loss</v>
      </c>
      <c r="O1160" t="str">
        <f>IF(Table1[[#This Row],[MARKET_CAP]]&gt;200000000000,"Large Cap",
IF(Table1[[#This Row],[MARKET_CAP]]&gt;50000000000,"Mid Cap","Small Cap"))</f>
        <v>Small Cap</v>
      </c>
      <c r="P1160" t="str">
        <f>IF(Table1[[#This Row],[NET_TRDQTY]]&gt;1000000,"High Volume","Low Volume")</f>
        <v>Low Volume</v>
      </c>
    </row>
    <row r="1161" spans="1:16" x14ac:dyDescent="0.3">
      <c r="A1161" t="s">
        <v>2327</v>
      </c>
      <c r="B1161" t="s">
        <v>2328</v>
      </c>
      <c r="C1161">
        <v>64.180000000000007</v>
      </c>
      <c r="D1161">
        <v>64.180000000000007</v>
      </c>
      <c r="E1161">
        <v>61.51</v>
      </c>
      <c r="F1161">
        <v>62.32</v>
      </c>
      <c r="G1161">
        <v>65.489999999999995</v>
      </c>
      <c r="H1161">
        <v>21311564</v>
      </c>
      <c r="I1161">
        <v>71995</v>
      </c>
      <c r="J1161">
        <v>479000000000</v>
      </c>
      <c r="K1161">
        <v>7691554950</v>
      </c>
      <c r="L1161">
        <f>(Table1[[#This Row],[CLOSE_PRICE]] - Table1[[#This Row],[PREV_CL_PR]]) / Table1[[#This Row],[PREV_CL_PR]] * 100</f>
        <v>-4.8404336539929682</v>
      </c>
      <c r="M1161">
        <f>Table1[[#This Row],[HIGH_PRICE]]-Table1[[#This Row],[LOW_PRICE]]</f>
        <v>2.6700000000000088</v>
      </c>
      <c r="N1161" t="str">
        <f>IF(Table1[[#This Row],[CLOSE_PRICE]]&gt;Table1[[#This Row],[OPEN_PRICE]],"Gain","Loss")</f>
        <v>Loss</v>
      </c>
      <c r="O1161" t="str">
        <f>IF(Table1[[#This Row],[MARKET_CAP]]&gt;200000000000,"Large Cap",
IF(Table1[[#This Row],[MARKET_CAP]]&gt;50000000000,"Mid Cap","Small Cap"))</f>
        <v>Large Cap</v>
      </c>
      <c r="P1161" t="str">
        <f>IF(Table1[[#This Row],[NET_TRDQTY]]&gt;1000000,"High Volume","Low Volume")</f>
        <v>High Volume</v>
      </c>
    </row>
    <row r="1162" spans="1:16" x14ac:dyDescent="0.3">
      <c r="A1162" t="s">
        <v>2329</v>
      </c>
      <c r="B1162" t="s">
        <v>2330</v>
      </c>
      <c r="C1162">
        <v>57.6</v>
      </c>
      <c r="D1162">
        <v>57.6</v>
      </c>
      <c r="E1162">
        <v>50.52</v>
      </c>
      <c r="F1162">
        <v>51.25</v>
      </c>
      <c r="G1162">
        <v>56.45</v>
      </c>
      <c r="H1162">
        <v>50579</v>
      </c>
      <c r="I1162">
        <v>897</v>
      </c>
      <c r="J1162">
        <v>1450385250</v>
      </c>
      <c r="K1162">
        <v>28300200</v>
      </c>
      <c r="L1162">
        <f>(Table1[[#This Row],[CLOSE_PRICE]] - Table1[[#This Row],[PREV_CL_PR]]) / Table1[[#This Row],[PREV_CL_PR]] * 100</f>
        <v>-9.2116917626217933</v>
      </c>
      <c r="M1162">
        <f>Table1[[#This Row],[HIGH_PRICE]]-Table1[[#This Row],[LOW_PRICE]]</f>
        <v>7.0799999999999983</v>
      </c>
      <c r="N1162" t="str">
        <f>IF(Table1[[#This Row],[CLOSE_PRICE]]&gt;Table1[[#This Row],[OPEN_PRICE]],"Gain","Loss")</f>
        <v>Loss</v>
      </c>
      <c r="O1162" t="str">
        <f>IF(Table1[[#This Row],[MARKET_CAP]]&gt;200000000000,"Large Cap",
IF(Table1[[#This Row],[MARKET_CAP]]&gt;50000000000,"Mid Cap","Small Cap"))</f>
        <v>Small Cap</v>
      </c>
      <c r="P1162" t="str">
        <f>IF(Table1[[#This Row],[NET_TRDQTY]]&gt;1000000,"High Volume","Low Volume")</f>
        <v>Low Volume</v>
      </c>
    </row>
    <row r="1163" spans="1:16" x14ac:dyDescent="0.3">
      <c r="A1163" t="s">
        <v>2331</v>
      </c>
      <c r="B1163" t="s">
        <v>2332</v>
      </c>
      <c r="C1163">
        <v>115</v>
      </c>
      <c r="D1163">
        <v>115</v>
      </c>
      <c r="E1163">
        <v>105</v>
      </c>
      <c r="F1163">
        <v>105.66</v>
      </c>
      <c r="G1163">
        <v>115.58</v>
      </c>
      <c r="H1163">
        <v>70921</v>
      </c>
      <c r="I1163">
        <v>2444</v>
      </c>
      <c r="J1163">
        <v>2952401275</v>
      </c>
      <c r="K1163">
        <v>27942469</v>
      </c>
      <c r="L1163">
        <f>(Table1[[#This Row],[CLOSE_PRICE]] - Table1[[#This Row],[PREV_CL_PR]]) / Table1[[#This Row],[PREV_CL_PR]] * 100</f>
        <v>-8.5827997923516204</v>
      </c>
      <c r="M1163">
        <f>Table1[[#This Row],[HIGH_PRICE]]-Table1[[#This Row],[LOW_PRICE]]</f>
        <v>10</v>
      </c>
      <c r="N1163" t="str">
        <f>IF(Table1[[#This Row],[CLOSE_PRICE]]&gt;Table1[[#This Row],[OPEN_PRICE]],"Gain","Loss")</f>
        <v>Loss</v>
      </c>
      <c r="O1163" t="str">
        <f>IF(Table1[[#This Row],[MARKET_CAP]]&gt;200000000000,"Large Cap",
IF(Table1[[#This Row],[MARKET_CAP]]&gt;50000000000,"Mid Cap","Small Cap"))</f>
        <v>Small Cap</v>
      </c>
      <c r="P1163" t="str">
        <f>IF(Table1[[#This Row],[NET_TRDQTY]]&gt;1000000,"High Volume","Low Volume")</f>
        <v>Low Volume</v>
      </c>
    </row>
    <row r="1164" spans="1:16" x14ac:dyDescent="0.3">
      <c r="A1164" t="s">
        <v>2333</v>
      </c>
      <c r="B1164" t="s">
        <v>2334</v>
      </c>
      <c r="C1164">
        <v>44.35</v>
      </c>
      <c r="D1164">
        <v>44.35</v>
      </c>
      <c r="E1164">
        <v>42.11</v>
      </c>
      <c r="F1164">
        <v>42.68</v>
      </c>
      <c r="G1164">
        <v>44.13</v>
      </c>
      <c r="H1164">
        <v>36197</v>
      </c>
      <c r="I1164">
        <v>183</v>
      </c>
      <c r="J1164">
        <v>1263208496</v>
      </c>
      <c r="K1164">
        <v>29597200</v>
      </c>
      <c r="L1164">
        <f>(Table1[[#This Row],[CLOSE_PRICE]] - Table1[[#This Row],[PREV_CL_PR]]) / Table1[[#This Row],[PREV_CL_PR]] * 100</f>
        <v>-3.2857466576025445</v>
      </c>
      <c r="M1164">
        <f>Table1[[#This Row],[HIGH_PRICE]]-Table1[[#This Row],[LOW_PRICE]]</f>
        <v>2.240000000000002</v>
      </c>
      <c r="N1164" t="str">
        <f>IF(Table1[[#This Row],[CLOSE_PRICE]]&gt;Table1[[#This Row],[OPEN_PRICE]],"Gain","Loss")</f>
        <v>Loss</v>
      </c>
      <c r="O1164" t="str">
        <f>IF(Table1[[#This Row],[MARKET_CAP]]&gt;200000000000,"Large Cap",
IF(Table1[[#This Row],[MARKET_CAP]]&gt;50000000000,"Mid Cap","Small Cap"))</f>
        <v>Small Cap</v>
      </c>
      <c r="P1164" t="str">
        <f>IF(Table1[[#This Row],[NET_TRDQTY]]&gt;1000000,"High Volume","Low Volume")</f>
        <v>Low Volume</v>
      </c>
    </row>
    <row r="1165" spans="1:16" x14ac:dyDescent="0.3">
      <c r="A1165" t="s">
        <v>2335</v>
      </c>
      <c r="B1165" t="s">
        <v>2336</v>
      </c>
      <c r="C1165">
        <v>339</v>
      </c>
      <c r="D1165">
        <v>339</v>
      </c>
      <c r="E1165">
        <v>321.60000000000002</v>
      </c>
      <c r="F1165">
        <v>324.14999999999998</v>
      </c>
      <c r="G1165">
        <v>341.4</v>
      </c>
      <c r="H1165">
        <v>121540</v>
      </c>
      <c r="I1165">
        <v>5118</v>
      </c>
      <c r="J1165">
        <v>69145815110</v>
      </c>
      <c r="K1165">
        <v>213314253</v>
      </c>
      <c r="L1165">
        <f>(Table1[[#This Row],[CLOSE_PRICE]] - Table1[[#This Row],[PREV_CL_PR]]) / Table1[[#This Row],[PREV_CL_PR]] * 100</f>
        <v>-5.052724077328647</v>
      </c>
      <c r="M1165">
        <f>Table1[[#This Row],[HIGH_PRICE]]-Table1[[#This Row],[LOW_PRICE]]</f>
        <v>17.399999999999977</v>
      </c>
      <c r="N1165" t="str">
        <f>IF(Table1[[#This Row],[CLOSE_PRICE]]&gt;Table1[[#This Row],[OPEN_PRICE]],"Gain","Loss")</f>
        <v>Loss</v>
      </c>
      <c r="O1165" t="str">
        <f>IF(Table1[[#This Row],[MARKET_CAP]]&gt;200000000000,"Large Cap",
IF(Table1[[#This Row],[MARKET_CAP]]&gt;50000000000,"Mid Cap","Small Cap"))</f>
        <v>Mid Cap</v>
      </c>
      <c r="P1165" t="str">
        <f>IF(Table1[[#This Row],[NET_TRDQTY]]&gt;1000000,"High Volume","Low Volume")</f>
        <v>Low Volume</v>
      </c>
    </row>
    <row r="1166" spans="1:16" x14ac:dyDescent="0.3">
      <c r="A1166" t="s">
        <v>2337</v>
      </c>
      <c r="B1166" t="s">
        <v>2338</v>
      </c>
      <c r="C1166">
        <v>363.5</v>
      </c>
      <c r="D1166">
        <v>363.5</v>
      </c>
      <c r="E1166">
        <v>346</v>
      </c>
      <c r="F1166">
        <v>349</v>
      </c>
      <c r="G1166">
        <v>365.7</v>
      </c>
      <c r="H1166">
        <v>225232</v>
      </c>
      <c r="I1166">
        <v>8144</v>
      </c>
      <c r="J1166">
        <v>34614089079</v>
      </c>
      <c r="K1166">
        <v>99180771</v>
      </c>
      <c r="L1166">
        <f>(Table1[[#This Row],[CLOSE_PRICE]] - Table1[[#This Row],[PREV_CL_PR]]) / Table1[[#This Row],[PREV_CL_PR]] * 100</f>
        <v>-4.5665846322121926</v>
      </c>
      <c r="M1166">
        <f>Table1[[#This Row],[HIGH_PRICE]]-Table1[[#This Row],[LOW_PRICE]]</f>
        <v>17.5</v>
      </c>
      <c r="N1166" t="str">
        <f>IF(Table1[[#This Row],[CLOSE_PRICE]]&gt;Table1[[#This Row],[OPEN_PRICE]],"Gain","Loss")</f>
        <v>Loss</v>
      </c>
      <c r="O1166" t="str">
        <f>IF(Table1[[#This Row],[MARKET_CAP]]&gt;200000000000,"Large Cap",
IF(Table1[[#This Row],[MARKET_CAP]]&gt;50000000000,"Mid Cap","Small Cap"))</f>
        <v>Small Cap</v>
      </c>
      <c r="P1166" t="str">
        <f>IF(Table1[[#This Row],[NET_TRDQTY]]&gt;1000000,"High Volume","Low Volume")</f>
        <v>Low Volume</v>
      </c>
    </row>
    <row r="1167" spans="1:16" x14ac:dyDescent="0.3">
      <c r="A1167" t="s">
        <v>2339</v>
      </c>
      <c r="B1167" t="s">
        <v>2340</v>
      </c>
      <c r="C1167">
        <v>12489</v>
      </c>
      <c r="D1167">
        <v>12489</v>
      </c>
      <c r="E1167">
        <v>11822</v>
      </c>
      <c r="F1167">
        <v>11891</v>
      </c>
      <c r="G1167">
        <v>12441</v>
      </c>
      <c r="H1167">
        <v>6386</v>
      </c>
      <c r="I1167">
        <v>2107</v>
      </c>
      <c r="J1167">
        <v>136000000000</v>
      </c>
      <c r="K1167">
        <v>11428568</v>
      </c>
      <c r="L1167">
        <f>(Table1[[#This Row],[CLOSE_PRICE]] - Table1[[#This Row],[PREV_CL_PR]]) / Table1[[#This Row],[PREV_CL_PR]] * 100</f>
        <v>-4.4208664898320071</v>
      </c>
      <c r="M1167">
        <f>Table1[[#This Row],[HIGH_PRICE]]-Table1[[#This Row],[LOW_PRICE]]</f>
        <v>667</v>
      </c>
      <c r="N1167" t="str">
        <f>IF(Table1[[#This Row],[CLOSE_PRICE]]&gt;Table1[[#This Row],[OPEN_PRICE]],"Gain","Loss")</f>
        <v>Loss</v>
      </c>
      <c r="O1167" t="str">
        <f>IF(Table1[[#This Row],[MARKET_CAP]]&gt;200000000000,"Large Cap",
IF(Table1[[#This Row],[MARKET_CAP]]&gt;50000000000,"Mid Cap","Small Cap"))</f>
        <v>Mid Cap</v>
      </c>
      <c r="P1167" t="str">
        <f>IF(Table1[[#This Row],[NET_TRDQTY]]&gt;1000000,"High Volume","Low Volume")</f>
        <v>Low Volume</v>
      </c>
    </row>
    <row r="1168" spans="1:16" x14ac:dyDescent="0.3">
      <c r="A1168" t="s">
        <v>2341</v>
      </c>
      <c r="B1168" t="s">
        <v>2342</v>
      </c>
      <c r="C1168">
        <v>559.85</v>
      </c>
      <c r="D1168">
        <v>559.95000000000005</v>
      </c>
      <c r="E1168">
        <v>535.04999999999995</v>
      </c>
      <c r="F1168">
        <v>537.70000000000005</v>
      </c>
      <c r="G1168">
        <v>564.75</v>
      </c>
      <c r="H1168">
        <v>155306</v>
      </c>
      <c r="I1168">
        <v>11259</v>
      </c>
      <c r="J1168">
        <v>72051397800</v>
      </c>
      <c r="K1168">
        <v>133999252</v>
      </c>
      <c r="L1168">
        <f>(Table1[[#This Row],[CLOSE_PRICE]] - Table1[[#This Row],[PREV_CL_PR]]) / Table1[[#This Row],[PREV_CL_PR]] * 100</f>
        <v>-4.7897299690128294</v>
      </c>
      <c r="M1168">
        <f>Table1[[#This Row],[HIGH_PRICE]]-Table1[[#This Row],[LOW_PRICE]]</f>
        <v>24.900000000000091</v>
      </c>
      <c r="N1168" t="str">
        <f>IF(Table1[[#This Row],[CLOSE_PRICE]]&gt;Table1[[#This Row],[OPEN_PRICE]],"Gain","Loss")</f>
        <v>Loss</v>
      </c>
      <c r="O1168" t="str">
        <f>IF(Table1[[#This Row],[MARKET_CAP]]&gt;200000000000,"Large Cap",
IF(Table1[[#This Row],[MARKET_CAP]]&gt;50000000000,"Mid Cap","Small Cap"))</f>
        <v>Mid Cap</v>
      </c>
      <c r="P1168" t="str">
        <f>IF(Table1[[#This Row],[NET_TRDQTY]]&gt;1000000,"High Volume","Low Volume")</f>
        <v>Low Volume</v>
      </c>
    </row>
    <row r="1169" spans="1:16" x14ac:dyDescent="0.3">
      <c r="A1169" t="s">
        <v>2343</v>
      </c>
      <c r="B1169" t="s">
        <v>2344</v>
      </c>
      <c r="C1169">
        <v>914</v>
      </c>
      <c r="D1169">
        <v>918.9</v>
      </c>
      <c r="E1169">
        <v>855</v>
      </c>
      <c r="F1169">
        <v>864.6</v>
      </c>
      <c r="G1169">
        <v>935.3</v>
      </c>
      <c r="H1169">
        <v>63540</v>
      </c>
      <c r="I1169">
        <v>3892</v>
      </c>
      <c r="J1169">
        <v>25169846130</v>
      </c>
      <c r="K1169">
        <v>29111550</v>
      </c>
      <c r="L1169">
        <f>(Table1[[#This Row],[CLOSE_PRICE]] - Table1[[#This Row],[PREV_CL_PR]]) / Table1[[#This Row],[PREV_CL_PR]] * 100</f>
        <v>-7.5590719555222856</v>
      </c>
      <c r="M1169">
        <f>Table1[[#This Row],[HIGH_PRICE]]-Table1[[#This Row],[LOW_PRICE]]</f>
        <v>63.899999999999977</v>
      </c>
      <c r="N1169" t="str">
        <f>IF(Table1[[#This Row],[CLOSE_PRICE]]&gt;Table1[[#This Row],[OPEN_PRICE]],"Gain","Loss")</f>
        <v>Loss</v>
      </c>
      <c r="O1169" t="str">
        <f>IF(Table1[[#This Row],[MARKET_CAP]]&gt;200000000000,"Large Cap",
IF(Table1[[#This Row],[MARKET_CAP]]&gt;50000000000,"Mid Cap","Small Cap"))</f>
        <v>Small Cap</v>
      </c>
      <c r="P1169" t="str">
        <f>IF(Table1[[#This Row],[NET_TRDQTY]]&gt;1000000,"High Volume","Low Volume")</f>
        <v>Low Volume</v>
      </c>
    </row>
    <row r="1170" spans="1:16" x14ac:dyDescent="0.3">
      <c r="A1170" t="s">
        <v>2345</v>
      </c>
      <c r="B1170" t="s">
        <v>2346</v>
      </c>
      <c r="C1170">
        <v>1048.7</v>
      </c>
      <c r="D1170">
        <v>1048.7</v>
      </c>
      <c r="E1170">
        <v>976.6</v>
      </c>
      <c r="F1170">
        <v>1000.7</v>
      </c>
      <c r="G1170">
        <v>1033.2</v>
      </c>
      <c r="H1170">
        <v>7703</v>
      </c>
      <c r="I1170">
        <v>698</v>
      </c>
      <c r="J1170">
        <v>6244368000</v>
      </c>
      <c r="K1170">
        <v>6240000</v>
      </c>
      <c r="L1170">
        <f>(Table1[[#This Row],[CLOSE_PRICE]] - Table1[[#This Row],[PREV_CL_PR]]) / Table1[[#This Row],[PREV_CL_PR]] * 100</f>
        <v>-3.1455671699574141</v>
      </c>
      <c r="M1170">
        <f>Table1[[#This Row],[HIGH_PRICE]]-Table1[[#This Row],[LOW_PRICE]]</f>
        <v>72.100000000000023</v>
      </c>
      <c r="N1170" t="str">
        <f>IF(Table1[[#This Row],[CLOSE_PRICE]]&gt;Table1[[#This Row],[OPEN_PRICE]],"Gain","Loss")</f>
        <v>Loss</v>
      </c>
      <c r="O1170" t="str">
        <f>IF(Table1[[#This Row],[MARKET_CAP]]&gt;200000000000,"Large Cap",
IF(Table1[[#This Row],[MARKET_CAP]]&gt;50000000000,"Mid Cap","Small Cap"))</f>
        <v>Small Cap</v>
      </c>
      <c r="P1170" t="str">
        <f>IF(Table1[[#This Row],[NET_TRDQTY]]&gt;1000000,"High Volume","Low Volume")</f>
        <v>Low Volume</v>
      </c>
    </row>
    <row r="1171" spans="1:16" x14ac:dyDescent="0.3">
      <c r="A1171" t="s">
        <v>2347</v>
      </c>
      <c r="B1171" t="s">
        <v>2348</v>
      </c>
      <c r="C1171">
        <v>31.79</v>
      </c>
      <c r="D1171">
        <v>32.74</v>
      </c>
      <c r="E1171">
        <v>28.76</v>
      </c>
      <c r="F1171">
        <v>29.41</v>
      </c>
      <c r="G1171">
        <v>31.87</v>
      </c>
      <c r="H1171">
        <v>7276</v>
      </c>
      <c r="I1171">
        <v>181</v>
      </c>
      <c r="J1171">
        <v>501712542.5</v>
      </c>
      <c r="K1171">
        <v>17059250</v>
      </c>
      <c r="L1171">
        <f>(Table1[[#This Row],[CLOSE_PRICE]] - Table1[[#This Row],[PREV_CL_PR]]) / Table1[[#This Row],[PREV_CL_PR]] * 100</f>
        <v>-7.718857860056481</v>
      </c>
      <c r="M1171">
        <f>Table1[[#This Row],[HIGH_PRICE]]-Table1[[#This Row],[LOW_PRICE]]</f>
        <v>3.9800000000000004</v>
      </c>
      <c r="N1171" t="str">
        <f>IF(Table1[[#This Row],[CLOSE_PRICE]]&gt;Table1[[#This Row],[OPEN_PRICE]],"Gain","Loss")</f>
        <v>Loss</v>
      </c>
      <c r="O1171" t="str">
        <f>IF(Table1[[#This Row],[MARKET_CAP]]&gt;200000000000,"Large Cap",
IF(Table1[[#This Row],[MARKET_CAP]]&gt;50000000000,"Mid Cap","Small Cap"))</f>
        <v>Small Cap</v>
      </c>
      <c r="P1171" t="str">
        <f>IF(Table1[[#This Row],[NET_TRDQTY]]&gt;1000000,"High Volume","Low Volume")</f>
        <v>Low Volume</v>
      </c>
    </row>
    <row r="1172" spans="1:16" x14ac:dyDescent="0.3">
      <c r="A1172" t="s">
        <v>2349</v>
      </c>
      <c r="B1172" t="s">
        <v>2350</v>
      </c>
      <c r="C1172">
        <v>369</v>
      </c>
      <c r="D1172">
        <v>372.35</v>
      </c>
      <c r="E1172">
        <v>350.05</v>
      </c>
      <c r="F1172">
        <v>352.75</v>
      </c>
      <c r="G1172">
        <v>374</v>
      </c>
      <c r="H1172">
        <v>93243</v>
      </c>
      <c r="I1172">
        <v>3965</v>
      </c>
      <c r="J1172">
        <v>8680401450</v>
      </c>
      <c r="K1172">
        <v>24607800</v>
      </c>
      <c r="L1172">
        <f>(Table1[[#This Row],[CLOSE_PRICE]] - Table1[[#This Row],[PREV_CL_PR]]) / Table1[[#This Row],[PREV_CL_PR]] * 100</f>
        <v>-5.6818181818181817</v>
      </c>
      <c r="M1172">
        <f>Table1[[#This Row],[HIGH_PRICE]]-Table1[[#This Row],[LOW_PRICE]]</f>
        <v>22.300000000000011</v>
      </c>
      <c r="N1172" t="str">
        <f>IF(Table1[[#This Row],[CLOSE_PRICE]]&gt;Table1[[#This Row],[OPEN_PRICE]],"Gain","Loss")</f>
        <v>Loss</v>
      </c>
      <c r="O1172" t="str">
        <f>IF(Table1[[#This Row],[MARKET_CAP]]&gt;200000000000,"Large Cap",
IF(Table1[[#This Row],[MARKET_CAP]]&gt;50000000000,"Mid Cap","Small Cap"))</f>
        <v>Small Cap</v>
      </c>
      <c r="P1172" t="str">
        <f>IF(Table1[[#This Row],[NET_TRDQTY]]&gt;1000000,"High Volume","Low Volume")</f>
        <v>Low Volume</v>
      </c>
    </row>
    <row r="1173" spans="1:16" x14ac:dyDescent="0.3">
      <c r="A1173" t="s">
        <v>2351</v>
      </c>
      <c r="B1173" t="s">
        <v>2352</v>
      </c>
      <c r="C1173">
        <v>106.15</v>
      </c>
      <c r="D1173">
        <v>106.15</v>
      </c>
      <c r="E1173">
        <v>97.1</v>
      </c>
      <c r="F1173">
        <v>100.89</v>
      </c>
      <c r="G1173">
        <v>106.16</v>
      </c>
      <c r="H1173">
        <v>415609</v>
      </c>
      <c r="I1173">
        <v>6344</v>
      </c>
      <c r="J1173">
        <v>10677597305</v>
      </c>
      <c r="K1173">
        <v>105834050</v>
      </c>
      <c r="L1173">
        <f>(Table1[[#This Row],[CLOSE_PRICE]] - Table1[[#This Row],[PREV_CL_PR]]) / Table1[[#This Row],[PREV_CL_PR]] * 100</f>
        <v>-4.9642049736247138</v>
      </c>
      <c r="M1173">
        <f>Table1[[#This Row],[HIGH_PRICE]]-Table1[[#This Row],[LOW_PRICE]]</f>
        <v>9.0500000000000114</v>
      </c>
      <c r="N1173" t="str">
        <f>IF(Table1[[#This Row],[CLOSE_PRICE]]&gt;Table1[[#This Row],[OPEN_PRICE]],"Gain","Loss")</f>
        <v>Loss</v>
      </c>
      <c r="O1173" t="str">
        <f>IF(Table1[[#This Row],[MARKET_CAP]]&gt;200000000000,"Large Cap",
IF(Table1[[#This Row],[MARKET_CAP]]&gt;50000000000,"Mid Cap","Small Cap"))</f>
        <v>Small Cap</v>
      </c>
      <c r="P1173" t="str">
        <f>IF(Table1[[#This Row],[NET_TRDQTY]]&gt;1000000,"High Volume","Low Volume")</f>
        <v>Low Volume</v>
      </c>
    </row>
    <row r="1174" spans="1:16" x14ac:dyDescent="0.3">
      <c r="A1174" t="s">
        <v>2353</v>
      </c>
      <c r="B1174" t="s">
        <v>2354</v>
      </c>
      <c r="C1174">
        <v>50.05</v>
      </c>
      <c r="D1174">
        <v>50.05</v>
      </c>
      <c r="E1174">
        <v>46.9</v>
      </c>
      <c r="F1174">
        <v>47.3</v>
      </c>
      <c r="G1174">
        <v>50.14</v>
      </c>
      <c r="H1174">
        <v>31123</v>
      </c>
      <c r="I1174">
        <v>615</v>
      </c>
      <c r="J1174">
        <v>3099760565</v>
      </c>
      <c r="K1174">
        <v>65534050</v>
      </c>
      <c r="L1174">
        <f>(Table1[[#This Row],[CLOSE_PRICE]] - Table1[[#This Row],[PREV_CL_PR]]) / Table1[[#This Row],[PREV_CL_PR]] * 100</f>
        <v>-5.6641404068607963</v>
      </c>
      <c r="M1174">
        <f>Table1[[#This Row],[HIGH_PRICE]]-Table1[[#This Row],[LOW_PRICE]]</f>
        <v>3.1499999999999986</v>
      </c>
      <c r="N1174" t="str">
        <f>IF(Table1[[#This Row],[CLOSE_PRICE]]&gt;Table1[[#This Row],[OPEN_PRICE]],"Gain","Loss")</f>
        <v>Loss</v>
      </c>
      <c r="O1174" t="str">
        <f>IF(Table1[[#This Row],[MARKET_CAP]]&gt;200000000000,"Large Cap",
IF(Table1[[#This Row],[MARKET_CAP]]&gt;50000000000,"Mid Cap","Small Cap"))</f>
        <v>Small Cap</v>
      </c>
      <c r="P1174" t="str">
        <f>IF(Table1[[#This Row],[NET_TRDQTY]]&gt;1000000,"High Volume","Low Volume")</f>
        <v>Low Volume</v>
      </c>
    </row>
    <row r="1175" spans="1:16" x14ac:dyDescent="0.3">
      <c r="A1175" t="s">
        <v>2355</v>
      </c>
      <c r="B1175" t="s">
        <v>2356</v>
      </c>
      <c r="C1175">
        <v>51.28</v>
      </c>
      <c r="D1175">
        <v>51.56</v>
      </c>
      <c r="E1175">
        <v>48</v>
      </c>
      <c r="F1175">
        <v>48.13</v>
      </c>
      <c r="G1175">
        <v>52.33</v>
      </c>
      <c r="H1175">
        <v>34532</v>
      </c>
      <c r="I1175">
        <v>491</v>
      </c>
      <c r="J1175">
        <v>3154153827</v>
      </c>
      <c r="K1175">
        <v>65534050</v>
      </c>
      <c r="L1175">
        <f>(Table1[[#This Row],[CLOSE_PRICE]] - Table1[[#This Row],[PREV_CL_PR]]) / Table1[[#This Row],[PREV_CL_PR]] * 100</f>
        <v>-8.0259889164914888</v>
      </c>
      <c r="M1175">
        <f>Table1[[#This Row],[HIGH_PRICE]]-Table1[[#This Row],[LOW_PRICE]]</f>
        <v>3.5600000000000023</v>
      </c>
      <c r="N1175" t="str">
        <f>IF(Table1[[#This Row],[CLOSE_PRICE]]&gt;Table1[[#This Row],[OPEN_PRICE]],"Gain","Loss")</f>
        <v>Loss</v>
      </c>
      <c r="O1175" t="str">
        <f>IF(Table1[[#This Row],[MARKET_CAP]]&gt;200000000000,"Large Cap",
IF(Table1[[#This Row],[MARKET_CAP]]&gt;50000000000,"Mid Cap","Small Cap"))</f>
        <v>Small Cap</v>
      </c>
      <c r="P1175" t="str">
        <f>IF(Table1[[#This Row],[NET_TRDQTY]]&gt;1000000,"High Volume","Low Volume")</f>
        <v>Low Volume</v>
      </c>
    </row>
    <row r="1176" spans="1:16" x14ac:dyDescent="0.3">
      <c r="A1176" t="s">
        <v>2357</v>
      </c>
      <c r="B1176" t="s">
        <v>2358</v>
      </c>
      <c r="C1176">
        <v>44.6</v>
      </c>
      <c r="D1176">
        <v>44.72</v>
      </c>
      <c r="E1176">
        <v>42</v>
      </c>
      <c r="F1176">
        <v>42.12</v>
      </c>
      <c r="G1176">
        <v>45.51</v>
      </c>
      <c r="H1176">
        <v>542992</v>
      </c>
      <c r="I1176">
        <v>5203</v>
      </c>
      <c r="J1176">
        <v>7244607526</v>
      </c>
      <c r="K1176">
        <v>171999229</v>
      </c>
      <c r="L1176">
        <f>(Table1[[#This Row],[CLOSE_PRICE]] - Table1[[#This Row],[PREV_CL_PR]]) / Table1[[#This Row],[PREV_CL_PR]] * 100</f>
        <v>-7.4489123269611088</v>
      </c>
      <c r="M1176">
        <f>Table1[[#This Row],[HIGH_PRICE]]-Table1[[#This Row],[LOW_PRICE]]</f>
        <v>2.7199999999999989</v>
      </c>
      <c r="N1176" t="str">
        <f>IF(Table1[[#This Row],[CLOSE_PRICE]]&gt;Table1[[#This Row],[OPEN_PRICE]],"Gain","Loss")</f>
        <v>Loss</v>
      </c>
      <c r="O1176" t="str">
        <f>IF(Table1[[#This Row],[MARKET_CAP]]&gt;200000000000,"Large Cap",
IF(Table1[[#This Row],[MARKET_CAP]]&gt;50000000000,"Mid Cap","Small Cap"))</f>
        <v>Small Cap</v>
      </c>
      <c r="P1176" t="str">
        <f>IF(Table1[[#This Row],[NET_TRDQTY]]&gt;1000000,"High Volume","Low Volume")</f>
        <v>Low Volume</v>
      </c>
    </row>
    <row r="1177" spans="1:16" x14ac:dyDescent="0.3">
      <c r="A1177" t="s">
        <v>2359</v>
      </c>
      <c r="B1177" t="s">
        <v>2360</v>
      </c>
      <c r="C1177">
        <v>252.9</v>
      </c>
      <c r="D1177">
        <v>254.95</v>
      </c>
      <c r="E1177">
        <v>245.15</v>
      </c>
      <c r="F1177">
        <v>252.3</v>
      </c>
      <c r="G1177">
        <v>259.25</v>
      </c>
      <c r="H1177">
        <v>7400338</v>
      </c>
      <c r="I1177">
        <v>42529</v>
      </c>
      <c r="J1177">
        <v>214000000000</v>
      </c>
      <c r="K1177">
        <v>846434729</v>
      </c>
      <c r="L1177">
        <f>(Table1[[#This Row],[CLOSE_PRICE]] - Table1[[#This Row],[PREV_CL_PR]]) / Table1[[#This Row],[PREV_CL_PR]] * 100</f>
        <v>-2.6808100289296002</v>
      </c>
      <c r="M1177">
        <f>Table1[[#This Row],[HIGH_PRICE]]-Table1[[#This Row],[LOW_PRICE]]</f>
        <v>9.7999999999999829</v>
      </c>
      <c r="N1177" t="str">
        <f>IF(Table1[[#This Row],[CLOSE_PRICE]]&gt;Table1[[#This Row],[OPEN_PRICE]],"Gain","Loss")</f>
        <v>Loss</v>
      </c>
      <c r="O1177" t="str">
        <f>IF(Table1[[#This Row],[MARKET_CAP]]&gt;200000000000,"Large Cap",
IF(Table1[[#This Row],[MARKET_CAP]]&gt;50000000000,"Mid Cap","Small Cap"))</f>
        <v>Large Cap</v>
      </c>
      <c r="P1177" t="str">
        <f>IF(Table1[[#This Row],[NET_TRDQTY]]&gt;1000000,"High Volume","Low Volume")</f>
        <v>High Volume</v>
      </c>
    </row>
    <row r="1178" spans="1:16" x14ac:dyDescent="0.3">
      <c r="A1178" t="s">
        <v>2361</v>
      </c>
      <c r="B1178" t="s">
        <v>2362</v>
      </c>
      <c r="C1178">
        <v>112.5</v>
      </c>
      <c r="D1178">
        <v>113.98</v>
      </c>
      <c r="E1178">
        <v>108.1</v>
      </c>
      <c r="F1178">
        <v>109.4</v>
      </c>
      <c r="G1178">
        <v>114.27</v>
      </c>
      <c r="H1178">
        <v>117199</v>
      </c>
      <c r="I1178">
        <v>1241</v>
      </c>
      <c r="J1178">
        <v>5496191454</v>
      </c>
      <c r="K1178">
        <v>50239410</v>
      </c>
      <c r="L1178">
        <f>(Table1[[#This Row],[CLOSE_PRICE]] - Table1[[#This Row],[PREV_CL_PR]]) / Table1[[#This Row],[PREV_CL_PR]] * 100</f>
        <v>-4.2618360024503286</v>
      </c>
      <c r="M1178">
        <f>Table1[[#This Row],[HIGH_PRICE]]-Table1[[#This Row],[LOW_PRICE]]</f>
        <v>5.8800000000000097</v>
      </c>
      <c r="N1178" t="str">
        <f>IF(Table1[[#This Row],[CLOSE_PRICE]]&gt;Table1[[#This Row],[OPEN_PRICE]],"Gain","Loss")</f>
        <v>Loss</v>
      </c>
      <c r="O1178" t="str">
        <f>IF(Table1[[#This Row],[MARKET_CAP]]&gt;200000000000,"Large Cap",
IF(Table1[[#This Row],[MARKET_CAP]]&gt;50000000000,"Mid Cap","Small Cap"))</f>
        <v>Small Cap</v>
      </c>
      <c r="P1178" t="str">
        <f>IF(Table1[[#This Row],[NET_TRDQTY]]&gt;1000000,"High Volume","Low Volume")</f>
        <v>Low Volume</v>
      </c>
    </row>
    <row r="1179" spans="1:16" x14ac:dyDescent="0.3">
      <c r="A1179" t="s">
        <v>2363</v>
      </c>
      <c r="B1179" t="s">
        <v>2364</v>
      </c>
      <c r="C1179">
        <v>173</v>
      </c>
      <c r="D1179">
        <v>173.5</v>
      </c>
      <c r="E1179">
        <v>165</v>
      </c>
      <c r="F1179">
        <v>168.41</v>
      </c>
      <c r="G1179">
        <v>170.39</v>
      </c>
      <c r="H1179">
        <v>48016</v>
      </c>
      <c r="I1179">
        <v>843</v>
      </c>
      <c r="J1179">
        <v>3555806382</v>
      </c>
      <c r="K1179">
        <v>21113986</v>
      </c>
      <c r="L1179">
        <f>(Table1[[#This Row],[CLOSE_PRICE]] - Table1[[#This Row],[PREV_CL_PR]]) / Table1[[#This Row],[PREV_CL_PR]] * 100</f>
        <v>-1.1620400258231058</v>
      </c>
      <c r="M1179">
        <f>Table1[[#This Row],[HIGH_PRICE]]-Table1[[#This Row],[LOW_PRICE]]</f>
        <v>8.5</v>
      </c>
      <c r="N1179" t="str">
        <f>IF(Table1[[#This Row],[CLOSE_PRICE]]&gt;Table1[[#This Row],[OPEN_PRICE]],"Gain","Loss")</f>
        <v>Loss</v>
      </c>
      <c r="O1179" t="str">
        <f>IF(Table1[[#This Row],[MARKET_CAP]]&gt;200000000000,"Large Cap",
IF(Table1[[#This Row],[MARKET_CAP]]&gt;50000000000,"Mid Cap","Small Cap"))</f>
        <v>Small Cap</v>
      </c>
      <c r="P1179" t="str">
        <f>IF(Table1[[#This Row],[NET_TRDQTY]]&gt;1000000,"High Volume","Low Volume")</f>
        <v>Low Volume</v>
      </c>
    </row>
    <row r="1180" spans="1:16" x14ac:dyDescent="0.3">
      <c r="A1180" t="s">
        <v>2365</v>
      </c>
      <c r="B1180" t="s">
        <v>2366</v>
      </c>
      <c r="C1180">
        <v>817.2</v>
      </c>
      <c r="D1180">
        <v>825.65</v>
      </c>
      <c r="E1180">
        <v>800</v>
      </c>
      <c r="F1180">
        <v>807.9</v>
      </c>
      <c r="G1180">
        <v>833.8</v>
      </c>
      <c r="H1180">
        <v>133427</v>
      </c>
      <c r="I1180">
        <v>3748</v>
      </c>
      <c r="J1180">
        <v>22215067054</v>
      </c>
      <c r="K1180">
        <v>27497298</v>
      </c>
      <c r="L1180">
        <f>(Table1[[#This Row],[CLOSE_PRICE]] - Table1[[#This Row],[PREV_CL_PR]]) / Table1[[#This Row],[PREV_CL_PR]] * 100</f>
        <v>-3.1062604941232883</v>
      </c>
      <c r="M1180">
        <f>Table1[[#This Row],[HIGH_PRICE]]-Table1[[#This Row],[LOW_PRICE]]</f>
        <v>25.649999999999977</v>
      </c>
      <c r="N1180" t="str">
        <f>IF(Table1[[#This Row],[CLOSE_PRICE]]&gt;Table1[[#This Row],[OPEN_PRICE]],"Gain","Loss")</f>
        <v>Loss</v>
      </c>
      <c r="O1180" t="str">
        <f>IF(Table1[[#This Row],[MARKET_CAP]]&gt;200000000000,"Large Cap",
IF(Table1[[#This Row],[MARKET_CAP]]&gt;50000000000,"Mid Cap","Small Cap"))</f>
        <v>Small Cap</v>
      </c>
      <c r="P1180" t="str">
        <f>IF(Table1[[#This Row],[NET_TRDQTY]]&gt;1000000,"High Volume","Low Volume")</f>
        <v>Low Volume</v>
      </c>
    </row>
    <row r="1181" spans="1:16" x14ac:dyDescent="0.3">
      <c r="A1181" t="s">
        <v>2367</v>
      </c>
      <c r="B1181" t="s">
        <v>2368</v>
      </c>
      <c r="C1181">
        <v>365</v>
      </c>
      <c r="D1181">
        <v>365.85</v>
      </c>
      <c r="E1181">
        <v>331.1</v>
      </c>
      <c r="F1181">
        <v>337.15</v>
      </c>
      <c r="G1181">
        <v>371.4</v>
      </c>
      <c r="H1181">
        <v>700838</v>
      </c>
      <c r="I1181">
        <v>14867</v>
      </c>
      <c r="J1181">
        <v>25289476863</v>
      </c>
      <c r="K1181">
        <v>75009571</v>
      </c>
      <c r="L1181">
        <f>(Table1[[#This Row],[CLOSE_PRICE]] - Table1[[#This Row],[PREV_CL_PR]]) / Table1[[#This Row],[PREV_CL_PR]] * 100</f>
        <v>-9.2218632202477107</v>
      </c>
      <c r="M1181">
        <f>Table1[[#This Row],[HIGH_PRICE]]-Table1[[#This Row],[LOW_PRICE]]</f>
        <v>34.75</v>
      </c>
      <c r="N1181" t="str">
        <f>IF(Table1[[#This Row],[CLOSE_PRICE]]&gt;Table1[[#This Row],[OPEN_PRICE]],"Gain","Loss")</f>
        <v>Loss</v>
      </c>
      <c r="O1181" t="str">
        <f>IF(Table1[[#This Row],[MARKET_CAP]]&gt;200000000000,"Large Cap",
IF(Table1[[#This Row],[MARKET_CAP]]&gt;50000000000,"Mid Cap","Small Cap"))</f>
        <v>Small Cap</v>
      </c>
      <c r="P1181" t="str">
        <f>IF(Table1[[#This Row],[NET_TRDQTY]]&gt;1000000,"High Volume","Low Volume")</f>
        <v>Low Volume</v>
      </c>
    </row>
    <row r="1182" spans="1:16" x14ac:dyDescent="0.3">
      <c r="A1182" t="s">
        <v>2369</v>
      </c>
      <c r="B1182" t="s">
        <v>2370</v>
      </c>
      <c r="C1182">
        <v>90.01</v>
      </c>
      <c r="D1182">
        <v>90.32</v>
      </c>
      <c r="E1182">
        <v>85.1</v>
      </c>
      <c r="F1182">
        <v>85.8</v>
      </c>
      <c r="G1182">
        <v>91.09</v>
      </c>
      <c r="H1182">
        <v>943413</v>
      </c>
      <c r="I1182">
        <v>5948</v>
      </c>
      <c r="J1182">
        <v>34634586129</v>
      </c>
      <c r="K1182">
        <v>403666505</v>
      </c>
      <c r="L1182">
        <f>(Table1[[#This Row],[CLOSE_PRICE]] - Table1[[#This Row],[PREV_CL_PR]]) / Table1[[#This Row],[PREV_CL_PR]] * 100</f>
        <v>-5.8074431880557755</v>
      </c>
      <c r="M1182">
        <f>Table1[[#This Row],[HIGH_PRICE]]-Table1[[#This Row],[LOW_PRICE]]</f>
        <v>5.2199999999999989</v>
      </c>
      <c r="N1182" t="str">
        <f>IF(Table1[[#This Row],[CLOSE_PRICE]]&gt;Table1[[#This Row],[OPEN_PRICE]],"Gain","Loss")</f>
        <v>Loss</v>
      </c>
      <c r="O1182" t="str">
        <f>IF(Table1[[#This Row],[MARKET_CAP]]&gt;200000000000,"Large Cap",
IF(Table1[[#This Row],[MARKET_CAP]]&gt;50000000000,"Mid Cap","Small Cap"))</f>
        <v>Small Cap</v>
      </c>
      <c r="P1182" t="str">
        <f>IF(Table1[[#This Row],[NET_TRDQTY]]&gt;1000000,"High Volume","Low Volume")</f>
        <v>Low Volume</v>
      </c>
    </row>
    <row r="1183" spans="1:16" x14ac:dyDescent="0.3">
      <c r="A1183" t="s">
        <v>2371</v>
      </c>
      <c r="B1183" t="s">
        <v>2372</v>
      </c>
      <c r="C1183">
        <v>1980</v>
      </c>
      <c r="D1183">
        <v>1984.8</v>
      </c>
      <c r="E1183">
        <v>1909.7</v>
      </c>
      <c r="F1183">
        <v>1927.4</v>
      </c>
      <c r="G1183">
        <v>2000</v>
      </c>
      <c r="H1183">
        <v>654194</v>
      </c>
      <c r="I1183">
        <v>42879</v>
      </c>
      <c r="J1183">
        <v>796000000000</v>
      </c>
      <c r="K1183">
        <v>412805072</v>
      </c>
      <c r="L1183">
        <f>(Table1[[#This Row],[CLOSE_PRICE]] - Table1[[#This Row],[PREV_CL_PR]]) / Table1[[#This Row],[PREV_CL_PR]] * 100</f>
        <v>-3.6299999999999959</v>
      </c>
      <c r="M1183">
        <f>Table1[[#This Row],[HIGH_PRICE]]-Table1[[#This Row],[LOW_PRICE]]</f>
        <v>75.099999999999909</v>
      </c>
      <c r="N1183" t="str">
        <f>IF(Table1[[#This Row],[CLOSE_PRICE]]&gt;Table1[[#This Row],[OPEN_PRICE]],"Gain","Loss")</f>
        <v>Loss</v>
      </c>
      <c r="O1183" t="str">
        <f>IF(Table1[[#This Row],[MARKET_CAP]]&gt;200000000000,"Large Cap",
IF(Table1[[#This Row],[MARKET_CAP]]&gt;50000000000,"Mid Cap","Small Cap"))</f>
        <v>Large Cap</v>
      </c>
      <c r="P1183" t="str">
        <f>IF(Table1[[#This Row],[NET_TRDQTY]]&gt;1000000,"High Volume","Low Volume")</f>
        <v>Low Volume</v>
      </c>
    </row>
    <row r="1184" spans="1:16" x14ac:dyDescent="0.3">
      <c r="A1184" t="s">
        <v>2373</v>
      </c>
      <c r="B1184" t="s">
        <v>2374</v>
      </c>
      <c r="C1184">
        <v>205</v>
      </c>
      <c r="D1184">
        <v>209.4</v>
      </c>
      <c r="E1184">
        <v>198.11</v>
      </c>
      <c r="F1184">
        <v>200.28</v>
      </c>
      <c r="G1184">
        <v>203.47</v>
      </c>
      <c r="H1184">
        <v>77884</v>
      </c>
      <c r="I1184">
        <v>1750</v>
      </c>
      <c r="J1184">
        <v>3614800646</v>
      </c>
      <c r="K1184">
        <v>18048735</v>
      </c>
      <c r="L1184">
        <f>(Table1[[#This Row],[CLOSE_PRICE]] - Table1[[#This Row],[PREV_CL_PR]]) / Table1[[#This Row],[PREV_CL_PR]] * 100</f>
        <v>-1.5677986926819667</v>
      </c>
      <c r="M1184">
        <f>Table1[[#This Row],[HIGH_PRICE]]-Table1[[#This Row],[LOW_PRICE]]</f>
        <v>11.289999999999992</v>
      </c>
      <c r="N1184" t="str">
        <f>IF(Table1[[#This Row],[CLOSE_PRICE]]&gt;Table1[[#This Row],[OPEN_PRICE]],"Gain","Loss")</f>
        <v>Loss</v>
      </c>
      <c r="O1184" t="str">
        <f>IF(Table1[[#This Row],[MARKET_CAP]]&gt;200000000000,"Large Cap",
IF(Table1[[#This Row],[MARKET_CAP]]&gt;50000000000,"Mid Cap","Small Cap"))</f>
        <v>Small Cap</v>
      </c>
      <c r="P1184" t="str">
        <f>IF(Table1[[#This Row],[NET_TRDQTY]]&gt;1000000,"High Volume","Low Volume")</f>
        <v>Low Volume</v>
      </c>
    </row>
    <row r="1185" spans="1:16" x14ac:dyDescent="0.3">
      <c r="A1185" t="s">
        <v>2375</v>
      </c>
      <c r="B1185" t="s">
        <v>2376</v>
      </c>
      <c r="C1185">
        <v>1250</v>
      </c>
      <c r="D1185">
        <v>1250</v>
      </c>
      <c r="E1185">
        <v>1190.5999999999999</v>
      </c>
      <c r="F1185">
        <v>1207.4000000000001</v>
      </c>
      <c r="G1185">
        <v>1271.9000000000001</v>
      </c>
      <c r="H1185">
        <v>149586</v>
      </c>
      <c r="I1185">
        <v>13617</v>
      </c>
      <c r="J1185">
        <v>72092079122</v>
      </c>
      <c r="K1185">
        <v>59708530</v>
      </c>
      <c r="L1185">
        <f>(Table1[[#This Row],[CLOSE_PRICE]] - Table1[[#This Row],[PREV_CL_PR]]) / Table1[[#This Row],[PREV_CL_PR]] * 100</f>
        <v>-5.0711533925623078</v>
      </c>
      <c r="M1185">
        <f>Table1[[#This Row],[HIGH_PRICE]]-Table1[[#This Row],[LOW_PRICE]]</f>
        <v>59.400000000000091</v>
      </c>
      <c r="N1185" t="str">
        <f>IF(Table1[[#This Row],[CLOSE_PRICE]]&gt;Table1[[#This Row],[OPEN_PRICE]],"Gain","Loss")</f>
        <v>Loss</v>
      </c>
      <c r="O1185" t="str">
        <f>IF(Table1[[#This Row],[MARKET_CAP]]&gt;200000000000,"Large Cap",
IF(Table1[[#This Row],[MARKET_CAP]]&gt;50000000000,"Mid Cap","Small Cap"))</f>
        <v>Mid Cap</v>
      </c>
      <c r="P1185" t="str">
        <f>IF(Table1[[#This Row],[NET_TRDQTY]]&gt;1000000,"High Volume","Low Volume")</f>
        <v>Low Volume</v>
      </c>
    </row>
    <row r="1186" spans="1:16" x14ac:dyDescent="0.3">
      <c r="A1186" t="s">
        <v>2377</v>
      </c>
      <c r="B1186" t="s">
        <v>2378</v>
      </c>
      <c r="C1186">
        <v>392.25</v>
      </c>
      <c r="D1186">
        <v>419.35</v>
      </c>
      <c r="E1186">
        <v>383.2</v>
      </c>
      <c r="F1186">
        <v>395.75</v>
      </c>
      <c r="G1186">
        <v>400.25</v>
      </c>
      <c r="H1186">
        <v>5230</v>
      </c>
      <c r="I1186">
        <v>428</v>
      </c>
      <c r="J1186">
        <v>3389377130</v>
      </c>
      <c r="K1186">
        <v>8564440</v>
      </c>
      <c r="L1186">
        <f>(Table1[[#This Row],[CLOSE_PRICE]] - Table1[[#This Row],[PREV_CL_PR]]) / Table1[[#This Row],[PREV_CL_PR]] * 100</f>
        <v>-1.1242973141786383</v>
      </c>
      <c r="M1186">
        <f>Table1[[#This Row],[HIGH_PRICE]]-Table1[[#This Row],[LOW_PRICE]]</f>
        <v>36.150000000000034</v>
      </c>
      <c r="N1186" t="str">
        <f>IF(Table1[[#This Row],[CLOSE_PRICE]]&gt;Table1[[#This Row],[OPEN_PRICE]],"Gain","Loss")</f>
        <v>Gain</v>
      </c>
      <c r="O1186" t="str">
        <f>IF(Table1[[#This Row],[MARKET_CAP]]&gt;200000000000,"Large Cap",
IF(Table1[[#This Row],[MARKET_CAP]]&gt;50000000000,"Mid Cap","Small Cap"))</f>
        <v>Small Cap</v>
      </c>
      <c r="P1186" t="str">
        <f>IF(Table1[[#This Row],[NET_TRDQTY]]&gt;1000000,"High Volume","Low Volume")</f>
        <v>Low Volume</v>
      </c>
    </row>
    <row r="1187" spans="1:16" x14ac:dyDescent="0.3">
      <c r="A1187" t="s">
        <v>2379</v>
      </c>
      <c r="B1187" t="s">
        <v>2380</v>
      </c>
      <c r="C1187">
        <v>12.3</v>
      </c>
      <c r="D1187">
        <v>12.38</v>
      </c>
      <c r="E1187">
        <v>11.55</v>
      </c>
      <c r="F1187">
        <v>11.59</v>
      </c>
      <c r="G1187">
        <v>12.28</v>
      </c>
      <c r="H1187">
        <v>44690</v>
      </c>
      <c r="I1187">
        <v>240</v>
      </c>
      <c r="J1187">
        <v>352510557</v>
      </c>
      <c r="K1187">
        <v>30415061</v>
      </c>
      <c r="L1187">
        <f>(Table1[[#This Row],[CLOSE_PRICE]] - Table1[[#This Row],[PREV_CL_PR]]) / Table1[[#This Row],[PREV_CL_PR]] * 100</f>
        <v>-5.6188925081433183</v>
      </c>
      <c r="M1187">
        <f>Table1[[#This Row],[HIGH_PRICE]]-Table1[[#This Row],[LOW_PRICE]]</f>
        <v>0.83000000000000007</v>
      </c>
      <c r="N1187" t="str">
        <f>IF(Table1[[#This Row],[CLOSE_PRICE]]&gt;Table1[[#This Row],[OPEN_PRICE]],"Gain","Loss")</f>
        <v>Loss</v>
      </c>
      <c r="O1187" t="str">
        <f>IF(Table1[[#This Row],[MARKET_CAP]]&gt;200000000000,"Large Cap",
IF(Table1[[#This Row],[MARKET_CAP]]&gt;50000000000,"Mid Cap","Small Cap"))</f>
        <v>Small Cap</v>
      </c>
      <c r="P1187" t="str">
        <f>IF(Table1[[#This Row],[NET_TRDQTY]]&gt;1000000,"High Volume","Low Volume")</f>
        <v>Low Volume</v>
      </c>
    </row>
    <row r="1188" spans="1:16" x14ac:dyDescent="0.3">
      <c r="A1188" t="s">
        <v>2381</v>
      </c>
      <c r="B1188" t="s">
        <v>2382</v>
      </c>
      <c r="C1188">
        <v>355.15</v>
      </c>
      <c r="D1188">
        <v>355.15</v>
      </c>
      <c r="E1188">
        <v>335.1</v>
      </c>
      <c r="F1188">
        <v>338.3</v>
      </c>
      <c r="G1188">
        <v>355.15</v>
      </c>
      <c r="H1188">
        <v>939109</v>
      </c>
      <c r="I1188">
        <v>42196</v>
      </c>
      <c r="J1188">
        <v>82197800745</v>
      </c>
      <c r="K1188">
        <v>242973103</v>
      </c>
      <c r="L1188">
        <f>(Table1[[#This Row],[CLOSE_PRICE]] - Table1[[#This Row],[PREV_CL_PR]]) / Table1[[#This Row],[PREV_CL_PR]] * 100</f>
        <v>-4.7444741658454079</v>
      </c>
      <c r="M1188">
        <f>Table1[[#This Row],[HIGH_PRICE]]-Table1[[#This Row],[LOW_PRICE]]</f>
        <v>20.049999999999955</v>
      </c>
      <c r="N1188" t="str">
        <f>IF(Table1[[#This Row],[CLOSE_PRICE]]&gt;Table1[[#This Row],[OPEN_PRICE]],"Gain","Loss")</f>
        <v>Loss</v>
      </c>
      <c r="O1188" t="str">
        <f>IF(Table1[[#This Row],[MARKET_CAP]]&gt;200000000000,"Large Cap",
IF(Table1[[#This Row],[MARKET_CAP]]&gt;50000000000,"Mid Cap","Small Cap"))</f>
        <v>Mid Cap</v>
      </c>
      <c r="P1188" t="str">
        <f>IF(Table1[[#This Row],[NET_TRDQTY]]&gt;1000000,"High Volume","Low Volume")</f>
        <v>Low Volume</v>
      </c>
    </row>
    <row r="1189" spans="1:16" x14ac:dyDescent="0.3">
      <c r="A1189" t="s">
        <v>2383</v>
      </c>
      <c r="B1189" t="s">
        <v>2384</v>
      </c>
      <c r="C1189">
        <v>910</v>
      </c>
      <c r="D1189">
        <v>910</v>
      </c>
      <c r="E1189">
        <v>856.2</v>
      </c>
      <c r="F1189">
        <v>861</v>
      </c>
      <c r="G1189">
        <v>915.7</v>
      </c>
      <c r="H1189">
        <v>177804</v>
      </c>
      <c r="I1189">
        <v>19045</v>
      </c>
      <c r="J1189">
        <v>47115353565</v>
      </c>
      <c r="K1189">
        <v>54721665</v>
      </c>
      <c r="L1189">
        <f>(Table1[[#This Row],[CLOSE_PRICE]] - Table1[[#This Row],[PREV_CL_PR]]) / Table1[[#This Row],[PREV_CL_PR]] * 100</f>
        <v>-5.9735721306104672</v>
      </c>
      <c r="M1189">
        <f>Table1[[#This Row],[HIGH_PRICE]]-Table1[[#This Row],[LOW_PRICE]]</f>
        <v>53.799999999999955</v>
      </c>
      <c r="N1189" t="str">
        <f>IF(Table1[[#This Row],[CLOSE_PRICE]]&gt;Table1[[#This Row],[OPEN_PRICE]],"Gain","Loss")</f>
        <v>Loss</v>
      </c>
      <c r="O1189" t="str">
        <f>IF(Table1[[#This Row],[MARKET_CAP]]&gt;200000000000,"Large Cap",
IF(Table1[[#This Row],[MARKET_CAP]]&gt;50000000000,"Mid Cap","Small Cap"))</f>
        <v>Small Cap</v>
      </c>
      <c r="P1189" t="str">
        <f>IF(Table1[[#This Row],[NET_TRDQTY]]&gt;1000000,"High Volume","Low Volume")</f>
        <v>Low Volume</v>
      </c>
    </row>
    <row r="1190" spans="1:16" x14ac:dyDescent="0.3">
      <c r="A1190" t="s">
        <v>2385</v>
      </c>
      <c r="B1190" t="s">
        <v>2386</v>
      </c>
      <c r="C1190">
        <v>39.5</v>
      </c>
      <c r="D1190">
        <v>40.200000000000003</v>
      </c>
      <c r="E1190">
        <v>36.5</v>
      </c>
      <c r="F1190">
        <v>38.869999999999997</v>
      </c>
      <c r="G1190">
        <v>40.200000000000003</v>
      </c>
      <c r="H1190">
        <v>12300</v>
      </c>
      <c r="I1190">
        <v>172</v>
      </c>
      <c r="J1190">
        <v>1613415960</v>
      </c>
      <c r="K1190">
        <v>41508000</v>
      </c>
      <c r="L1190">
        <f>(Table1[[#This Row],[CLOSE_PRICE]] - Table1[[#This Row],[PREV_CL_PR]]) / Table1[[#This Row],[PREV_CL_PR]] * 100</f>
        <v>-3.3084577114427991</v>
      </c>
      <c r="M1190">
        <f>Table1[[#This Row],[HIGH_PRICE]]-Table1[[#This Row],[LOW_PRICE]]</f>
        <v>3.7000000000000028</v>
      </c>
      <c r="N1190" t="str">
        <f>IF(Table1[[#This Row],[CLOSE_PRICE]]&gt;Table1[[#This Row],[OPEN_PRICE]],"Gain","Loss")</f>
        <v>Loss</v>
      </c>
      <c r="O1190" t="str">
        <f>IF(Table1[[#This Row],[MARKET_CAP]]&gt;200000000000,"Large Cap",
IF(Table1[[#This Row],[MARKET_CAP]]&gt;50000000000,"Mid Cap","Small Cap"))</f>
        <v>Small Cap</v>
      </c>
      <c r="P1190" t="str">
        <f>IF(Table1[[#This Row],[NET_TRDQTY]]&gt;1000000,"High Volume","Low Volume")</f>
        <v>Low Volume</v>
      </c>
    </row>
    <row r="1191" spans="1:16" x14ac:dyDescent="0.3">
      <c r="A1191" t="s">
        <v>2387</v>
      </c>
      <c r="B1191" t="s">
        <v>2388</v>
      </c>
      <c r="C1191">
        <v>418.4</v>
      </c>
      <c r="D1191">
        <v>418.4</v>
      </c>
      <c r="E1191">
        <v>394.05</v>
      </c>
      <c r="F1191">
        <v>406.85</v>
      </c>
      <c r="G1191">
        <v>418.95</v>
      </c>
      <c r="H1191">
        <v>181943</v>
      </c>
      <c r="I1191">
        <v>3245</v>
      </c>
      <c r="J1191">
        <v>27430049140</v>
      </c>
      <c r="K1191">
        <v>67420546</v>
      </c>
      <c r="L1191">
        <f>(Table1[[#This Row],[CLOSE_PRICE]] - Table1[[#This Row],[PREV_CL_PR]]) / Table1[[#This Row],[PREV_CL_PR]] * 100</f>
        <v>-2.888172812984835</v>
      </c>
      <c r="M1191">
        <f>Table1[[#This Row],[HIGH_PRICE]]-Table1[[#This Row],[LOW_PRICE]]</f>
        <v>24.349999999999966</v>
      </c>
      <c r="N1191" t="str">
        <f>IF(Table1[[#This Row],[CLOSE_PRICE]]&gt;Table1[[#This Row],[OPEN_PRICE]],"Gain","Loss")</f>
        <v>Loss</v>
      </c>
      <c r="O1191" t="str">
        <f>IF(Table1[[#This Row],[MARKET_CAP]]&gt;200000000000,"Large Cap",
IF(Table1[[#This Row],[MARKET_CAP]]&gt;50000000000,"Mid Cap","Small Cap"))</f>
        <v>Small Cap</v>
      </c>
      <c r="P1191" t="str">
        <f>IF(Table1[[#This Row],[NET_TRDQTY]]&gt;1000000,"High Volume","Low Volume")</f>
        <v>Low Volume</v>
      </c>
    </row>
    <row r="1192" spans="1:16" x14ac:dyDescent="0.3">
      <c r="A1192" t="s">
        <v>2389</v>
      </c>
      <c r="B1192" t="s">
        <v>2390</v>
      </c>
      <c r="C1192">
        <v>734.8</v>
      </c>
      <c r="D1192">
        <v>744.8</v>
      </c>
      <c r="E1192">
        <v>723.55</v>
      </c>
      <c r="F1192">
        <v>725.3</v>
      </c>
      <c r="G1192">
        <v>744.3</v>
      </c>
      <c r="H1192">
        <v>1774602</v>
      </c>
      <c r="I1192">
        <v>54344</v>
      </c>
      <c r="J1192">
        <v>942000000000</v>
      </c>
      <c r="K1192">
        <v>1298087659</v>
      </c>
      <c r="L1192">
        <f>(Table1[[#This Row],[CLOSE_PRICE]] - Table1[[#This Row],[PREV_CL_PR]]) / Table1[[#This Row],[PREV_CL_PR]] * 100</f>
        <v>-2.5527341125890097</v>
      </c>
      <c r="M1192">
        <f>Table1[[#This Row],[HIGH_PRICE]]-Table1[[#This Row],[LOW_PRICE]]</f>
        <v>21.25</v>
      </c>
      <c r="N1192" t="str">
        <f>IF(Table1[[#This Row],[CLOSE_PRICE]]&gt;Table1[[#This Row],[OPEN_PRICE]],"Gain","Loss")</f>
        <v>Loss</v>
      </c>
      <c r="O1192" t="str">
        <f>IF(Table1[[#This Row],[MARKET_CAP]]&gt;200000000000,"Large Cap",
IF(Table1[[#This Row],[MARKET_CAP]]&gt;50000000000,"Mid Cap","Small Cap"))</f>
        <v>Large Cap</v>
      </c>
      <c r="P1192" t="str">
        <f>IF(Table1[[#This Row],[NET_TRDQTY]]&gt;1000000,"High Volume","Low Volume")</f>
        <v>High Volume</v>
      </c>
    </row>
    <row r="1193" spans="1:16" x14ac:dyDescent="0.3">
      <c r="A1193" t="s">
        <v>2391</v>
      </c>
      <c r="B1193" t="s">
        <v>2392</v>
      </c>
      <c r="C1193">
        <v>166.24</v>
      </c>
      <c r="D1193">
        <v>170</v>
      </c>
      <c r="E1193">
        <v>161</v>
      </c>
      <c r="F1193">
        <v>161.66999999999999</v>
      </c>
      <c r="G1193">
        <v>170.73</v>
      </c>
      <c r="H1193">
        <v>362699</v>
      </c>
      <c r="I1193">
        <v>6919</v>
      </c>
      <c r="J1193">
        <v>22301472765</v>
      </c>
      <c r="K1193">
        <v>137944410</v>
      </c>
      <c r="L1193">
        <f>(Table1[[#This Row],[CLOSE_PRICE]] - Table1[[#This Row],[PREV_CL_PR]]) / Table1[[#This Row],[PREV_CL_PR]] * 100</f>
        <v>-5.3066244948163783</v>
      </c>
      <c r="M1193">
        <f>Table1[[#This Row],[HIGH_PRICE]]-Table1[[#This Row],[LOW_PRICE]]</f>
        <v>9</v>
      </c>
      <c r="N1193" t="str">
        <f>IF(Table1[[#This Row],[CLOSE_PRICE]]&gt;Table1[[#This Row],[OPEN_PRICE]],"Gain","Loss")</f>
        <v>Loss</v>
      </c>
      <c r="O1193" t="str">
        <f>IF(Table1[[#This Row],[MARKET_CAP]]&gt;200000000000,"Large Cap",
IF(Table1[[#This Row],[MARKET_CAP]]&gt;50000000000,"Mid Cap","Small Cap"))</f>
        <v>Small Cap</v>
      </c>
      <c r="P1193" t="str">
        <f>IF(Table1[[#This Row],[NET_TRDQTY]]&gt;1000000,"High Volume","Low Volume")</f>
        <v>Low Volume</v>
      </c>
    </row>
    <row r="1194" spans="1:16" x14ac:dyDescent="0.3">
      <c r="A1194" t="s">
        <v>2393</v>
      </c>
      <c r="B1194" t="s">
        <v>2394</v>
      </c>
      <c r="C1194">
        <v>154</v>
      </c>
      <c r="D1194">
        <v>154</v>
      </c>
      <c r="E1194">
        <v>145.19999999999999</v>
      </c>
      <c r="F1194">
        <v>146.9</v>
      </c>
      <c r="G1194">
        <v>151.49</v>
      </c>
      <c r="H1194">
        <v>241990</v>
      </c>
      <c r="I1194">
        <v>1920</v>
      </c>
      <c r="J1194">
        <v>3237811148</v>
      </c>
      <c r="K1194">
        <v>22040920</v>
      </c>
      <c r="L1194">
        <f>(Table1[[#This Row],[CLOSE_PRICE]] - Table1[[#This Row],[PREV_CL_PR]]) / Table1[[#This Row],[PREV_CL_PR]] * 100</f>
        <v>-3.0299029638920083</v>
      </c>
      <c r="M1194">
        <f>Table1[[#This Row],[HIGH_PRICE]]-Table1[[#This Row],[LOW_PRICE]]</f>
        <v>8.8000000000000114</v>
      </c>
      <c r="N1194" t="str">
        <f>IF(Table1[[#This Row],[CLOSE_PRICE]]&gt;Table1[[#This Row],[OPEN_PRICE]],"Gain","Loss")</f>
        <v>Loss</v>
      </c>
      <c r="O1194" t="str">
        <f>IF(Table1[[#This Row],[MARKET_CAP]]&gt;200000000000,"Large Cap",
IF(Table1[[#This Row],[MARKET_CAP]]&gt;50000000000,"Mid Cap","Small Cap"))</f>
        <v>Small Cap</v>
      </c>
      <c r="P1194" t="str">
        <f>IF(Table1[[#This Row],[NET_TRDQTY]]&gt;1000000,"High Volume","Low Volume")</f>
        <v>Low Volume</v>
      </c>
    </row>
    <row r="1195" spans="1:16" x14ac:dyDescent="0.3">
      <c r="A1195" t="s">
        <v>2395</v>
      </c>
      <c r="B1195" t="s">
        <v>2396</v>
      </c>
      <c r="C1195">
        <v>168.21</v>
      </c>
      <c r="D1195">
        <v>168.5</v>
      </c>
      <c r="E1195">
        <v>157.19999999999999</v>
      </c>
      <c r="F1195">
        <v>160.19999999999999</v>
      </c>
      <c r="G1195">
        <v>170.05</v>
      </c>
      <c r="H1195">
        <v>914292</v>
      </c>
      <c r="I1195">
        <v>28294</v>
      </c>
      <c r="J1195">
        <v>72616807768</v>
      </c>
      <c r="K1195">
        <v>453288438</v>
      </c>
      <c r="L1195">
        <f>(Table1[[#This Row],[CLOSE_PRICE]] - Table1[[#This Row],[PREV_CL_PR]]) / Table1[[#This Row],[PREV_CL_PR]] * 100</f>
        <v>-5.7924139958835763</v>
      </c>
      <c r="M1195">
        <f>Table1[[#This Row],[HIGH_PRICE]]-Table1[[#This Row],[LOW_PRICE]]</f>
        <v>11.300000000000011</v>
      </c>
      <c r="N1195" t="str">
        <f>IF(Table1[[#This Row],[CLOSE_PRICE]]&gt;Table1[[#This Row],[OPEN_PRICE]],"Gain","Loss")</f>
        <v>Loss</v>
      </c>
      <c r="O1195" t="str">
        <f>IF(Table1[[#This Row],[MARKET_CAP]]&gt;200000000000,"Large Cap",
IF(Table1[[#This Row],[MARKET_CAP]]&gt;50000000000,"Mid Cap","Small Cap"))</f>
        <v>Mid Cap</v>
      </c>
      <c r="P1195" t="str">
        <f>IF(Table1[[#This Row],[NET_TRDQTY]]&gt;1000000,"High Volume","Low Volume")</f>
        <v>Low Volume</v>
      </c>
    </row>
    <row r="1196" spans="1:16" x14ac:dyDescent="0.3">
      <c r="A1196" t="s">
        <v>2397</v>
      </c>
      <c r="B1196" t="s">
        <v>2398</v>
      </c>
      <c r="C1196">
        <v>133.97</v>
      </c>
      <c r="D1196">
        <v>134.85</v>
      </c>
      <c r="E1196">
        <v>124.02</v>
      </c>
      <c r="F1196">
        <v>125.87</v>
      </c>
      <c r="G1196">
        <v>133.97</v>
      </c>
      <c r="H1196">
        <v>413760</v>
      </c>
      <c r="I1196">
        <v>4465</v>
      </c>
      <c r="J1196">
        <v>21662227000</v>
      </c>
      <c r="K1196">
        <v>172100000</v>
      </c>
      <c r="L1196">
        <f>(Table1[[#This Row],[CLOSE_PRICE]] - Table1[[#This Row],[PREV_CL_PR]]) / Table1[[#This Row],[PREV_CL_PR]] * 100</f>
        <v>-6.0461297305366832</v>
      </c>
      <c r="M1196">
        <f>Table1[[#This Row],[HIGH_PRICE]]-Table1[[#This Row],[LOW_PRICE]]</f>
        <v>10.829999999999998</v>
      </c>
      <c r="N1196" t="str">
        <f>IF(Table1[[#This Row],[CLOSE_PRICE]]&gt;Table1[[#This Row],[OPEN_PRICE]],"Gain","Loss")</f>
        <v>Loss</v>
      </c>
      <c r="O1196" t="str">
        <f>IF(Table1[[#This Row],[MARKET_CAP]]&gt;200000000000,"Large Cap",
IF(Table1[[#This Row],[MARKET_CAP]]&gt;50000000000,"Mid Cap","Small Cap"))</f>
        <v>Small Cap</v>
      </c>
      <c r="P1196" t="str">
        <f>IF(Table1[[#This Row],[NET_TRDQTY]]&gt;1000000,"High Volume","Low Volume")</f>
        <v>Low Volume</v>
      </c>
    </row>
    <row r="1197" spans="1:16" x14ac:dyDescent="0.3">
      <c r="A1197" t="s">
        <v>2399</v>
      </c>
      <c r="B1197" t="s">
        <v>2400</v>
      </c>
      <c r="C1197">
        <v>309.55</v>
      </c>
      <c r="D1197">
        <v>309.55</v>
      </c>
      <c r="E1197">
        <v>286</v>
      </c>
      <c r="F1197">
        <v>293.3</v>
      </c>
      <c r="G1197">
        <v>302.55</v>
      </c>
      <c r="H1197">
        <v>142746</v>
      </c>
      <c r="I1197">
        <v>5836</v>
      </c>
      <c r="J1197">
        <v>53220275474</v>
      </c>
      <c r="K1197">
        <v>181453377</v>
      </c>
      <c r="L1197">
        <f>(Table1[[#This Row],[CLOSE_PRICE]] - Table1[[#This Row],[PREV_CL_PR]]) / Table1[[#This Row],[PREV_CL_PR]] * 100</f>
        <v>-3.0573458932407864</v>
      </c>
      <c r="M1197">
        <f>Table1[[#This Row],[HIGH_PRICE]]-Table1[[#This Row],[LOW_PRICE]]</f>
        <v>23.550000000000011</v>
      </c>
      <c r="N1197" t="str">
        <f>IF(Table1[[#This Row],[CLOSE_PRICE]]&gt;Table1[[#This Row],[OPEN_PRICE]],"Gain","Loss")</f>
        <v>Loss</v>
      </c>
      <c r="O1197" t="str">
        <f>IF(Table1[[#This Row],[MARKET_CAP]]&gt;200000000000,"Large Cap",
IF(Table1[[#This Row],[MARKET_CAP]]&gt;50000000000,"Mid Cap","Small Cap"))</f>
        <v>Mid Cap</v>
      </c>
      <c r="P1197" t="str">
        <f>IF(Table1[[#This Row],[NET_TRDQTY]]&gt;1000000,"High Volume","Low Volume")</f>
        <v>Low Volume</v>
      </c>
    </row>
    <row r="1198" spans="1:16" x14ac:dyDescent="0.3">
      <c r="A1198" t="s">
        <v>2401</v>
      </c>
      <c r="B1198" t="s">
        <v>2402</v>
      </c>
      <c r="C1198">
        <v>117.51</v>
      </c>
      <c r="D1198">
        <v>139.56</v>
      </c>
      <c r="E1198">
        <v>117.51</v>
      </c>
      <c r="F1198">
        <v>139.56</v>
      </c>
      <c r="G1198">
        <v>130.56</v>
      </c>
      <c r="H1198">
        <v>3</v>
      </c>
      <c r="I1198">
        <v>3</v>
      </c>
      <c r="J1198">
        <v>425867340</v>
      </c>
      <c r="K1198">
        <v>3051500</v>
      </c>
      <c r="L1198">
        <f>(Table1[[#This Row],[CLOSE_PRICE]] - Table1[[#This Row],[PREV_CL_PR]]) / Table1[[#This Row],[PREV_CL_PR]] * 100</f>
        <v>6.8933823529411766</v>
      </c>
      <c r="M1198">
        <f>Table1[[#This Row],[HIGH_PRICE]]-Table1[[#This Row],[LOW_PRICE]]</f>
        <v>22.049999999999997</v>
      </c>
      <c r="N1198" t="str">
        <f>IF(Table1[[#This Row],[CLOSE_PRICE]]&gt;Table1[[#This Row],[OPEN_PRICE]],"Gain","Loss")</f>
        <v>Gain</v>
      </c>
      <c r="O1198" t="str">
        <f>IF(Table1[[#This Row],[MARKET_CAP]]&gt;200000000000,"Large Cap",
IF(Table1[[#This Row],[MARKET_CAP]]&gt;50000000000,"Mid Cap","Small Cap"))</f>
        <v>Small Cap</v>
      </c>
      <c r="P1198" t="str">
        <f>IF(Table1[[#This Row],[NET_TRDQTY]]&gt;1000000,"High Volume","Low Volume")</f>
        <v>Low Volume</v>
      </c>
    </row>
    <row r="1199" spans="1:16" x14ac:dyDescent="0.3">
      <c r="A1199" t="s">
        <v>2403</v>
      </c>
      <c r="B1199" t="s">
        <v>2404</v>
      </c>
      <c r="C1199">
        <v>1430.7</v>
      </c>
      <c r="D1199">
        <v>1448.1</v>
      </c>
      <c r="E1199">
        <v>1376</v>
      </c>
      <c r="F1199">
        <v>1382.6</v>
      </c>
      <c r="G1199">
        <v>1449.5</v>
      </c>
      <c r="H1199">
        <v>96727</v>
      </c>
      <c r="I1199">
        <v>10523</v>
      </c>
      <c r="J1199">
        <v>42842127081</v>
      </c>
      <c r="K1199">
        <v>30986639</v>
      </c>
      <c r="L1199">
        <f>(Table1[[#This Row],[CLOSE_PRICE]] - Table1[[#This Row],[PREV_CL_PR]]) / Table1[[#This Row],[PREV_CL_PR]] * 100</f>
        <v>-4.6153846153846221</v>
      </c>
      <c r="M1199">
        <f>Table1[[#This Row],[HIGH_PRICE]]-Table1[[#This Row],[LOW_PRICE]]</f>
        <v>72.099999999999909</v>
      </c>
      <c r="N1199" t="str">
        <f>IF(Table1[[#This Row],[CLOSE_PRICE]]&gt;Table1[[#This Row],[OPEN_PRICE]],"Gain","Loss")</f>
        <v>Loss</v>
      </c>
      <c r="O1199" t="str">
        <f>IF(Table1[[#This Row],[MARKET_CAP]]&gt;200000000000,"Large Cap",
IF(Table1[[#This Row],[MARKET_CAP]]&gt;50000000000,"Mid Cap","Small Cap"))</f>
        <v>Small Cap</v>
      </c>
      <c r="P1199" t="str">
        <f>IF(Table1[[#This Row],[NET_TRDQTY]]&gt;1000000,"High Volume","Low Volume")</f>
        <v>Low Volume</v>
      </c>
    </row>
    <row r="1200" spans="1:16" x14ac:dyDescent="0.3">
      <c r="A1200" t="s">
        <v>2405</v>
      </c>
      <c r="B1200" t="s">
        <v>2406</v>
      </c>
      <c r="C1200">
        <v>68.77</v>
      </c>
      <c r="D1200">
        <v>68.77</v>
      </c>
      <c r="E1200">
        <v>62.05</v>
      </c>
      <c r="F1200">
        <v>62.3</v>
      </c>
      <c r="G1200">
        <v>68.77</v>
      </c>
      <c r="H1200">
        <v>195137</v>
      </c>
      <c r="I1200">
        <v>2073</v>
      </c>
      <c r="J1200">
        <v>7663896800</v>
      </c>
      <c r="K1200">
        <v>123016000</v>
      </c>
      <c r="L1200">
        <f>(Table1[[#This Row],[CLOSE_PRICE]] - Table1[[#This Row],[PREV_CL_PR]]) / Table1[[#This Row],[PREV_CL_PR]] * 100</f>
        <v>-9.4081721680965522</v>
      </c>
      <c r="M1200">
        <f>Table1[[#This Row],[HIGH_PRICE]]-Table1[[#This Row],[LOW_PRICE]]</f>
        <v>6.7199999999999989</v>
      </c>
      <c r="N1200" t="str">
        <f>IF(Table1[[#This Row],[CLOSE_PRICE]]&gt;Table1[[#This Row],[OPEN_PRICE]],"Gain","Loss")</f>
        <v>Loss</v>
      </c>
      <c r="O1200" t="str">
        <f>IF(Table1[[#This Row],[MARKET_CAP]]&gt;200000000000,"Large Cap",
IF(Table1[[#This Row],[MARKET_CAP]]&gt;50000000000,"Mid Cap","Small Cap"))</f>
        <v>Small Cap</v>
      </c>
      <c r="P1200" t="str">
        <f>IF(Table1[[#This Row],[NET_TRDQTY]]&gt;1000000,"High Volume","Low Volume")</f>
        <v>Low Volume</v>
      </c>
    </row>
    <row r="1201" spans="1:16" x14ac:dyDescent="0.3">
      <c r="A1201" t="s">
        <v>2407</v>
      </c>
      <c r="B1201" t="s">
        <v>2408</v>
      </c>
      <c r="C1201">
        <v>416.8</v>
      </c>
      <c r="D1201">
        <v>422.4</v>
      </c>
      <c r="E1201">
        <v>404.1</v>
      </c>
      <c r="F1201">
        <v>409.85</v>
      </c>
      <c r="G1201">
        <v>423.45</v>
      </c>
      <c r="H1201">
        <v>29042</v>
      </c>
      <c r="I1201">
        <v>1472</v>
      </c>
      <c r="J1201">
        <v>8837768507</v>
      </c>
      <c r="K1201">
        <v>21563422</v>
      </c>
      <c r="L1201">
        <f>(Table1[[#This Row],[CLOSE_PRICE]] - Table1[[#This Row],[PREV_CL_PR]]) / Table1[[#This Row],[PREV_CL_PR]] * 100</f>
        <v>-3.2117133073562321</v>
      </c>
      <c r="M1201">
        <f>Table1[[#This Row],[HIGH_PRICE]]-Table1[[#This Row],[LOW_PRICE]]</f>
        <v>18.299999999999955</v>
      </c>
      <c r="N1201" t="str">
        <f>IF(Table1[[#This Row],[CLOSE_PRICE]]&gt;Table1[[#This Row],[OPEN_PRICE]],"Gain","Loss")</f>
        <v>Loss</v>
      </c>
      <c r="O1201" t="str">
        <f>IF(Table1[[#This Row],[MARKET_CAP]]&gt;200000000000,"Large Cap",
IF(Table1[[#This Row],[MARKET_CAP]]&gt;50000000000,"Mid Cap","Small Cap"))</f>
        <v>Small Cap</v>
      </c>
      <c r="P1201" t="str">
        <f>IF(Table1[[#This Row],[NET_TRDQTY]]&gt;1000000,"High Volume","Low Volume")</f>
        <v>Low Volume</v>
      </c>
    </row>
    <row r="1202" spans="1:16" x14ac:dyDescent="0.3">
      <c r="A1202" t="s">
        <v>2409</v>
      </c>
      <c r="B1202" t="s">
        <v>2410</v>
      </c>
      <c r="C1202">
        <v>80.75</v>
      </c>
      <c r="D1202">
        <v>84</v>
      </c>
      <c r="E1202">
        <v>80.150000000000006</v>
      </c>
      <c r="F1202">
        <v>81.78</v>
      </c>
      <c r="G1202">
        <v>82.6</v>
      </c>
      <c r="H1202">
        <v>78665</v>
      </c>
      <c r="I1202">
        <v>1339</v>
      </c>
      <c r="J1202">
        <v>3198977138</v>
      </c>
      <c r="K1202">
        <v>39116864</v>
      </c>
      <c r="L1202">
        <f>(Table1[[#This Row],[CLOSE_PRICE]] - Table1[[#This Row],[PREV_CL_PR]]) / Table1[[#This Row],[PREV_CL_PR]] * 100</f>
        <v>-0.99273607748183201</v>
      </c>
      <c r="M1202">
        <f>Table1[[#This Row],[HIGH_PRICE]]-Table1[[#This Row],[LOW_PRICE]]</f>
        <v>3.8499999999999943</v>
      </c>
      <c r="N1202" t="str">
        <f>IF(Table1[[#This Row],[CLOSE_PRICE]]&gt;Table1[[#This Row],[OPEN_PRICE]],"Gain","Loss")</f>
        <v>Gain</v>
      </c>
      <c r="O1202" t="str">
        <f>IF(Table1[[#This Row],[MARKET_CAP]]&gt;200000000000,"Large Cap",
IF(Table1[[#This Row],[MARKET_CAP]]&gt;50000000000,"Mid Cap","Small Cap"))</f>
        <v>Small Cap</v>
      </c>
      <c r="P1202" t="str">
        <f>IF(Table1[[#This Row],[NET_TRDQTY]]&gt;1000000,"High Volume","Low Volume")</f>
        <v>Low Volume</v>
      </c>
    </row>
    <row r="1203" spans="1:16" x14ac:dyDescent="0.3">
      <c r="A1203" t="s">
        <v>2411</v>
      </c>
      <c r="B1203" t="s">
        <v>2412</v>
      </c>
      <c r="C1203">
        <v>364.9</v>
      </c>
      <c r="D1203">
        <v>364.9</v>
      </c>
      <c r="E1203">
        <v>335.9</v>
      </c>
      <c r="F1203">
        <v>340.25</v>
      </c>
      <c r="G1203">
        <v>368.9</v>
      </c>
      <c r="H1203">
        <v>133774</v>
      </c>
      <c r="I1203">
        <v>5056</v>
      </c>
      <c r="J1203">
        <v>55184465639</v>
      </c>
      <c r="K1203">
        <v>162187996</v>
      </c>
      <c r="L1203">
        <f>(Table1[[#This Row],[CLOSE_PRICE]] - Table1[[#This Row],[PREV_CL_PR]]) / Table1[[#This Row],[PREV_CL_PR]] * 100</f>
        <v>-7.766332339387362</v>
      </c>
      <c r="M1203">
        <f>Table1[[#This Row],[HIGH_PRICE]]-Table1[[#This Row],[LOW_PRICE]]</f>
        <v>29</v>
      </c>
      <c r="N1203" t="str">
        <f>IF(Table1[[#This Row],[CLOSE_PRICE]]&gt;Table1[[#This Row],[OPEN_PRICE]],"Gain","Loss")</f>
        <v>Loss</v>
      </c>
      <c r="O1203" t="str">
        <f>IF(Table1[[#This Row],[MARKET_CAP]]&gt;200000000000,"Large Cap",
IF(Table1[[#This Row],[MARKET_CAP]]&gt;50000000000,"Mid Cap","Small Cap"))</f>
        <v>Mid Cap</v>
      </c>
      <c r="P1203" t="str">
        <f>IF(Table1[[#This Row],[NET_TRDQTY]]&gt;1000000,"High Volume","Low Volume")</f>
        <v>Low Volume</v>
      </c>
    </row>
    <row r="1204" spans="1:16" x14ac:dyDescent="0.3">
      <c r="A1204" t="s">
        <v>2413</v>
      </c>
      <c r="B1204" t="s">
        <v>2414</v>
      </c>
      <c r="C1204">
        <v>144.91</v>
      </c>
      <c r="D1204">
        <v>144.91</v>
      </c>
      <c r="E1204">
        <v>137.06</v>
      </c>
      <c r="F1204">
        <v>138.32</v>
      </c>
      <c r="G1204">
        <v>145.16</v>
      </c>
      <c r="H1204">
        <v>76700</v>
      </c>
      <c r="I1204">
        <v>1649</v>
      </c>
      <c r="J1204">
        <v>7252167672</v>
      </c>
      <c r="K1204">
        <v>52430362</v>
      </c>
      <c r="L1204">
        <f>(Table1[[#This Row],[CLOSE_PRICE]] - Table1[[#This Row],[PREV_CL_PR]]) / Table1[[#This Row],[PREV_CL_PR]] * 100</f>
        <v>-4.712041884816756</v>
      </c>
      <c r="M1204">
        <f>Table1[[#This Row],[HIGH_PRICE]]-Table1[[#This Row],[LOW_PRICE]]</f>
        <v>7.8499999999999943</v>
      </c>
      <c r="N1204" t="str">
        <f>IF(Table1[[#This Row],[CLOSE_PRICE]]&gt;Table1[[#This Row],[OPEN_PRICE]],"Gain","Loss")</f>
        <v>Loss</v>
      </c>
      <c r="O1204" t="str">
        <f>IF(Table1[[#This Row],[MARKET_CAP]]&gt;200000000000,"Large Cap",
IF(Table1[[#This Row],[MARKET_CAP]]&gt;50000000000,"Mid Cap","Small Cap"))</f>
        <v>Small Cap</v>
      </c>
      <c r="P1204" t="str">
        <f>IF(Table1[[#This Row],[NET_TRDQTY]]&gt;1000000,"High Volume","Low Volume")</f>
        <v>Low Volume</v>
      </c>
    </row>
    <row r="1205" spans="1:16" x14ac:dyDescent="0.3">
      <c r="A1205" t="s">
        <v>2415</v>
      </c>
      <c r="B1205" t="s">
        <v>2416</v>
      </c>
      <c r="C1205">
        <v>504.7</v>
      </c>
      <c r="D1205">
        <v>504.7</v>
      </c>
      <c r="E1205">
        <v>488</v>
      </c>
      <c r="F1205">
        <v>493.2</v>
      </c>
      <c r="G1205">
        <v>509.35</v>
      </c>
      <c r="H1205">
        <v>100551</v>
      </c>
      <c r="I1205">
        <v>3732</v>
      </c>
      <c r="J1205">
        <v>21430822320</v>
      </c>
      <c r="K1205">
        <v>43452600</v>
      </c>
      <c r="L1205">
        <f>(Table1[[#This Row],[CLOSE_PRICE]] - Table1[[#This Row],[PREV_CL_PR]]) / Table1[[#This Row],[PREV_CL_PR]] * 100</f>
        <v>-3.1707077647982786</v>
      </c>
      <c r="M1205">
        <f>Table1[[#This Row],[HIGH_PRICE]]-Table1[[#This Row],[LOW_PRICE]]</f>
        <v>16.699999999999989</v>
      </c>
      <c r="N1205" t="str">
        <f>IF(Table1[[#This Row],[CLOSE_PRICE]]&gt;Table1[[#This Row],[OPEN_PRICE]],"Gain","Loss")</f>
        <v>Loss</v>
      </c>
      <c r="O1205" t="str">
        <f>IF(Table1[[#This Row],[MARKET_CAP]]&gt;200000000000,"Large Cap",
IF(Table1[[#This Row],[MARKET_CAP]]&gt;50000000000,"Mid Cap","Small Cap"))</f>
        <v>Small Cap</v>
      </c>
      <c r="P1205" t="str">
        <f>IF(Table1[[#This Row],[NET_TRDQTY]]&gt;1000000,"High Volume","Low Volume")</f>
        <v>Low Volume</v>
      </c>
    </row>
    <row r="1206" spans="1:16" x14ac:dyDescent="0.3">
      <c r="A1206" t="s">
        <v>2417</v>
      </c>
      <c r="B1206" t="s">
        <v>2418</v>
      </c>
      <c r="C1206">
        <v>171.5</v>
      </c>
      <c r="D1206">
        <v>192.9</v>
      </c>
      <c r="E1206">
        <v>168.87</v>
      </c>
      <c r="F1206">
        <v>171.78</v>
      </c>
      <c r="G1206">
        <v>171.31</v>
      </c>
      <c r="H1206">
        <v>87100</v>
      </c>
      <c r="I1206">
        <v>2729</v>
      </c>
      <c r="J1206">
        <v>3439894500</v>
      </c>
      <c r="K1206">
        <v>20025000</v>
      </c>
      <c r="L1206">
        <f>(Table1[[#This Row],[CLOSE_PRICE]] - Table1[[#This Row],[PREV_CL_PR]]) / Table1[[#This Row],[PREV_CL_PR]] * 100</f>
        <v>0.27435642986398856</v>
      </c>
      <c r="M1206">
        <f>Table1[[#This Row],[HIGH_PRICE]]-Table1[[#This Row],[LOW_PRICE]]</f>
        <v>24.03</v>
      </c>
      <c r="N1206" t="str">
        <f>IF(Table1[[#This Row],[CLOSE_PRICE]]&gt;Table1[[#This Row],[OPEN_PRICE]],"Gain","Loss")</f>
        <v>Gain</v>
      </c>
      <c r="O1206" t="str">
        <f>IF(Table1[[#This Row],[MARKET_CAP]]&gt;200000000000,"Large Cap",
IF(Table1[[#This Row],[MARKET_CAP]]&gt;50000000000,"Mid Cap","Small Cap"))</f>
        <v>Small Cap</v>
      </c>
      <c r="P1206" t="str">
        <f>IF(Table1[[#This Row],[NET_TRDQTY]]&gt;1000000,"High Volume","Low Volume")</f>
        <v>Low Volume</v>
      </c>
    </row>
    <row r="1207" spans="1:16" x14ac:dyDescent="0.3">
      <c r="A1207" t="s">
        <v>2419</v>
      </c>
      <c r="B1207" t="s">
        <v>2420</v>
      </c>
      <c r="C1207">
        <v>447</v>
      </c>
      <c r="D1207">
        <v>448.65</v>
      </c>
      <c r="E1207">
        <v>437.25</v>
      </c>
      <c r="F1207">
        <v>441.5</v>
      </c>
      <c r="G1207">
        <v>453.05</v>
      </c>
      <c r="H1207">
        <v>330607</v>
      </c>
      <c r="I1207">
        <v>4369</v>
      </c>
      <c r="J1207">
        <v>38687294010</v>
      </c>
      <c r="K1207">
        <v>87626940</v>
      </c>
      <c r="L1207">
        <f>(Table1[[#This Row],[CLOSE_PRICE]] - Table1[[#This Row],[PREV_CL_PR]]) / Table1[[#This Row],[PREV_CL_PR]] * 100</f>
        <v>-2.5493874848250768</v>
      </c>
      <c r="M1207">
        <f>Table1[[#This Row],[HIGH_PRICE]]-Table1[[#This Row],[LOW_PRICE]]</f>
        <v>11.399999999999977</v>
      </c>
      <c r="N1207" t="str">
        <f>IF(Table1[[#This Row],[CLOSE_PRICE]]&gt;Table1[[#This Row],[OPEN_PRICE]],"Gain","Loss")</f>
        <v>Loss</v>
      </c>
      <c r="O1207" t="str">
        <f>IF(Table1[[#This Row],[MARKET_CAP]]&gt;200000000000,"Large Cap",
IF(Table1[[#This Row],[MARKET_CAP]]&gt;50000000000,"Mid Cap","Small Cap"))</f>
        <v>Small Cap</v>
      </c>
      <c r="P1207" t="str">
        <f>IF(Table1[[#This Row],[NET_TRDQTY]]&gt;1000000,"High Volume","Low Volume")</f>
        <v>Low Volume</v>
      </c>
    </row>
    <row r="1208" spans="1:16" x14ac:dyDescent="0.3">
      <c r="A1208" t="s">
        <v>2421</v>
      </c>
      <c r="B1208" t="s">
        <v>2422</v>
      </c>
      <c r="C1208">
        <v>262.5</v>
      </c>
      <c r="D1208">
        <v>264.60000000000002</v>
      </c>
      <c r="E1208">
        <v>246</v>
      </c>
      <c r="F1208">
        <v>248</v>
      </c>
      <c r="G1208">
        <v>271.05</v>
      </c>
      <c r="H1208">
        <v>257606</v>
      </c>
      <c r="I1208">
        <v>7412</v>
      </c>
      <c r="J1208">
        <v>14172757320</v>
      </c>
      <c r="K1208">
        <v>57148215</v>
      </c>
      <c r="L1208">
        <f>(Table1[[#This Row],[CLOSE_PRICE]] - Table1[[#This Row],[PREV_CL_PR]]) / Table1[[#This Row],[PREV_CL_PR]] * 100</f>
        <v>-8.5039660579228951</v>
      </c>
      <c r="M1208">
        <f>Table1[[#This Row],[HIGH_PRICE]]-Table1[[#This Row],[LOW_PRICE]]</f>
        <v>18.600000000000023</v>
      </c>
      <c r="N1208" t="str">
        <f>IF(Table1[[#This Row],[CLOSE_PRICE]]&gt;Table1[[#This Row],[OPEN_PRICE]],"Gain","Loss")</f>
        <v>Loss</v>
      </c>
      <c r="O1208" t="str">
        <f>IF(Table1[[#This Row],[MARKET_CAP]]&gt;200000000000,"Large Cap",
IF(Table1[[#This Row],[MARKET_CAP]]&gt;50000000000,"Mid Cap","Small Cap"))</f>
        <v>Small Cap</v>
      </c>
      <c r="P1208" t="str">
        <f>IF(Table1[[#This Row],[NET_TRDQTY]]&gt;1000000,"High Volume","Low Volume")</f>
        <v>Low Volume</v>
      </c>
    </row>
    <row r="1209" spans="1:16" x14ac:dyDescent="0.3">
      <c r="A1209" t="s">
        <v>2423</v>
      </c>
      <c r="B1209" t="s">
        <v>2424</v>
      </c>
      <c r="C1209">
        <v>21.9</v>
      </c>
      <c r="D1209">
        <v>21.9</v>
      </c>
      <c r="E1209">
        <v>20.05</v>
      </c>
      <c r="F1209">
        <v>20.309999999999999</v>
      </c>
      <c r="G1209">
        <v>22.08</v>
      </c>
      <c r="H1209">
        <v>551831</v>
      </c>
      <c r="I1209">
        <v>1143</v>
      </c>
      <c r="J1209">
        <v>3097869189</v>
      </c>
      <c r="K1209">
        <v>152529256</v>
      </c>
      <c r="L1209">
        <f>(Table1[[#This Row],[CLOSE_PRICE]] - Table1[[#This Row],[PREV_CL_PR]]) / Table1[[#This Row],[PREV_CL_PR]] * 100</f>
        <v>-8.0163043478260843</v>
      </c>
      <c r="M1209">
        <f>Table1[[#This Row],[HIGH_PRICE]]-Table1[[#This Row],[LOW_PRICE]]</f>
        <v>1.8499999999999979</v>
      </c>
      <c r="N1209" t="str">
        <f>IF(Table1[[#This Row],[CLOSE_PRICE]]&gt;Table1[[#This Row],[OPEN_PRICE]],"Gain","Loss")</f>
        <v>Loss</v>
      </c>
      <c r="O1209" t="str">
        <f>IF(Table1[[#This Row],[MARKET_CAP]]&gt;200000000000,"Large Cap",
IF(Table1[[#This Row],[MARKET_CAP]]&gt;50000000000,"Mid Cap","Small Cap"))</f>
        <v>Small Cap</v>
      </c>
      <c r="P1209" t="str">
        <f>IF(Table1[[#This Row],[NET_TRDQTY]]&gt;1000000,"High Volume","Low Volume")</f>
        <v>Low Volume</v>
      </c>
    </row>
    <row r="1210" spans="1:16" x14ac:dyDescent="0.3">
      <c r="A1210" t="s">
        <v>2425</v>
      </c>
      <c r="B1210" t="s">
        <v>2426</v>
      </c>
      <c r="C1210">
        <v>34.200000000000003</v>
      </c>
      <c r="D1210">
        <v>34.47</v>
      </c>
      <c r="E1210">
        <v>32.11</v>
      </c>
      <c r="F1210">
        <v>32.31</v>
      </c>
      <c r="G1210">
        <v>34.74</v>
      </c>
      <c r="H1210">
        <v>839697</v>
      </c>
      <c r="I1210">
        <v>2377</v>
      </c>
      <c r="J1210">
        <v>3374964798</v>
      </c>
      <c r="K1210">
        <v>104455735</v>
      </c>
      <c r="L1210">
        <f>(Table1[[#This Row],[CLOSE_PRICE]] - Table1[[#This Row],[PREV_CL_PR]]) / Table1[[#This Row],[PREV_CL_PR]] * 100</f>
        <v>-6.9948186528497391</v>
      </c>
      <c r="M1210">
        <f>Table1[[#This Row],[HIGH_PRICE]]-Table1[[#This Row],[LOW_PRICE]]</f>
        <v>2.3599999999999994</v>
      </c>
      <c r="N1210" t="str">
        <f>IF(Table1[[#This Row],[CLOSE_PRICE]]&gt;Table1[[#This Row],[OPEN_PRICE]],"Gain","Loss")</f>
        <v>Loss</v>
      </c>
      <c r="O1210" t="str">
        <f>IF(Table1[[#This Row],[MARKET_CAP]]&gt;200000000000,"Large Cap",
IF(Table1[[#This Row],[MARKET_CAP]]&gt;50000000000,"Mid Cap","Small Cap"))</f>
        <v>Small Cap</v>
      </c>
      <c r="P1210" t="str">
        <f>IF(Table1[[#This Row],[NET_TRDQTY]]&gt;1000000,"High Volume","Low Volume")</f>
        <v>Low Volume</v>
      </c>
    </row>
    <row r="1211" spans="1:16" x14ac:dyDescent="0.3">
      <c r="A1211" t="s">
        <v>2427</v>
      </c>
      <c r="B1211" t="s">
        <v>2428</v>
      </c>
      <c r="C1211">
        <v>21.73</v>
      </c>
      <c r="D1211">
        <v>21.73</v>
      </c>
      <c r="E1211">
        <v>20.67</v>
      </c>
      <c r="F1211">
        <v>20.75</v>
      </c>
      <c r="G1211">
        <v>21.75</v>
      </c>
      <c r="H1211">
        <v>1436483</v>
      </c>
      <c r="I1211">
        <v>3987</v>
      </c>
      <c r="J1211">
        <v>12126198740</v>
      </c>
      <c r="K1211">
        <v>584395120</v>
      </c>
      <c r="L1211">
        <f>(Table1[[#This Row],[CLOSE_PRICE]] - Table1[[#This Row],[PREV_CL_PR]]) / Table1[[#This Row],[PREV_CL_PR]] * 100</f>
        <v>-4.5977011494252871</v>
      </c>
      <c r="M1211">
        <f>Table1[[#This Row],[HIGH_PRICE]]-Table1[[#This Row],[LOW_PRICE]]</f>
        <v>1.0599999999999987</v>
      </c>
      <c r="N1211" t="str">
        <f>IF(Table1[[#This Row],[CLOSE_PRICE]]&gt;Table1[[#This Row],[OPEN_PRICE]],"Gain","Loss")</f>
        <v>Loss</v>
      </c>
      <c r="O1211" t="str">
        <f>IF(Table1[[#This Row],[MARKET_CAP]]&gt;200000000000,"Large Cap",
IF(Table1[[#This Row],[MARKET_CAP]]&gt;50000000000,"Mid Cap","Small Cap"))</f>
        <v>Small Cap</v>
      </c>
      <c r="P1211" t="str">
        <f>IF(Table1[[#This Row],[NET_TRDQTY]]&gt;1000000,"High Volume","Low Volume")</f>
        <v>High Volume</v>
      </c>
    </row>
    <row r="1212" spans="1:16" x14ac:dyDescent="0.3">
      <c r="A1212" t="s">
        <v>2429</v>
      </c>
      <c r="B1212" t="s">
        <v>2430</v>
      </c>
      <c r="C1212">
        <v>2400</v>
      </c>
      <c r="D1212">
        <v>2402.5</v>
      </c>
      <c r="E1212">
        <v>2260</v>
      </c>
      <c r="F1212">
        <v>2314.4</v>
      </c>
      <c r="G1212">
        <v>2414.5</v>
      </c>
      <c r="H1212">
        <v>6653727</v>
      </c>
      <c r="I1212">
        <v>218750</v>
      </c>
      <c r="J1212">
        <v>590000000000</v>
      </c>
      <c r="K1212">
        <v>254991845</v>
      </c>
      <c r="L1212">
        <f>(Table1[[#This Row],[CLOSE_PRICE]] - Table1[[#This Row],[PREV_CL_PR]]) / Table1[[#This Row],[PREV_CL_PR]] * 100</f>
        <v>-4.1457858769931626</v>
      </c>
      <c r="M1212">
        <f>Table1[[#This Row],[HIGH_PRICE]]-Table1[[#This Row],[LOW_PRICE]]</f>
        <v>142.5</v>
      </c>
      <c r="N1212" t="str">
        <f>IF(Table1[[#This Row],[CLOSE_PRICE]]&gt;Table1[[#This Row],[OPEN_PRICE]],"Gain","Loss")</f>
        <v>Loss</v>
      </c>
      <c r="O1212" t="str">
        <f>IF(Table1[[#This Row],[MARKET_CAP]]&gt;200000000000,"Large Cap",
IF(Table1[[#This Row],[MARKET_CAP]]&gt;50000000000,"Mid Cap","Small Cap"))</f>
        <v>Large Cap</v>
      </c>
      <c r="P1212" t="str">
        <f>IF(Table1[[#This Row],[NET_TRDQTY]]&gt;1000000,"High Volume","Low Volume")</f>
        <v>High Volume</v>
      </c>
    </row>
    <row r="1213" spans="1:16" x14ac:dyDescent="0.3">
      <c r="A1213" t="s">
        <v>2431</v>
      </c>
      <c r="B1213" t="s">
        <v>2432</v>
      </c>
      <c r="C1213">
        <v>997.8</v>
      </c>
      <c r="D1213">
        <v>1008</v>
      </c>
      <c r="E1213">
        <v>965</v>
      </c>
      <c r="F1213">
        <v>969.6</v>
      </c>
      <c r="G1213">
        <v>1005.7</v>
      </c>
      <c r="H1213">
        <v>210705</v>
      </c>
      <c r="I1213">
        <v>26944</v>
      </c>
      <c r="J1213">
        <v>261000000000</v>
      </c>
      <c r="K1213">
        <v>268790382</v>
      </c>
      <c r="L1213">
        <f>(Table1[[#This Row],[CLOSE_PRICE]] - Table1[[#This Row],[PREV_CL_PR]]) / Table1[[#This Row],[PREV_CL_PR]] * 100</f>
        <v>-3.5895396241423905</v>
      </c>
      <c r="M1213">
        <f>Table1[[#This Row],[HIGH_PRICE]]-Table1[[#This Row],[LOW_PRICE]]</f>
        <v>43</v>
      </c>
      <c r="N1213" t="str">
        <f>IF(Table1[[#This Row],[CLOSE_PRICE]]&gt;Table1[[#This Row],[OPEN_PRICE]],"Gain","Loss")</f>
        <v>Loss</v>
      </c>
      <c r="O1213" t="str">
        <f>IF(Table1[[#This Row],[MARKET_CAP]]&gt;200000000000,"Large Cap",
IF(Table1[[#This Row],[MARKET_CAP]]&gt;50000000000,"Mid Cap","Small Cap"))</f>
        <v>Large Cap</v>
      </c>
      <c r="P1213" t="str">
        <f>IF(Table1[[#This Row],[NET_TRDQTY]]&gt;1000000,"High Volume","Low Volume")</f>
        <v>Low Volume</v>
      </c>
    </row>
    <row r="1214" spans="1:16" x14ac:dyDescent="0.3">
      <c r="A1214" t="s">
        <v>2433</v>
      </c>
      <c r="B1214" t="s">
        <v>2434</v>
      </c>
      <c r="C1214">
        <v>325.05</v>
      </c>
      <c r="D1214">
        <v>325.05</v>
      </c>
      <c r="E1214">
        <v>302.10000000000002</v>
      </c>
      <c r="F1214">
        <v>304.55</v>
      </c>
      <c r="G1214">
        <v>325.14999999999998</v>
      </c>
      <c r="H1214">
        <v>165584</v>
      </c>
      <c r="I1214">
        <v>8713</v>
      </c>
      <c r="J1214">
        <v>22676105326</v>
      </c>
      <c r="K1214">
        <v>74457742</v>
      </c>
      <c r="L1214">
        <f>(Table1[[#This Row],[CLOSE_PRICE]] - Table1[[#This Row],[PREV_CL_PR]]) / Table1[[#This Row],[PREV_CL_PR]] * 100</f>
        <v>-6.3355374442564862</v>
      </c>
      <c r="M1214">
        <f>Table1[[#This Row],[HIGH_PRICE]]-Table1[[#This Row],[LOW_PRICE]]</f>
        <v>22.949999999999989</v>
      </c>
      <c r="N1214" t="str">
        <f>IF(Table1[[#This Row],[CLOSE_PRICE]]&gt;Table1[[#This Row],[OPEN_PRICE]],"Gain","Loss")</f>
        <v>Loss</v>
      </c>
      <c r="O1214" t="str">
        <f>IF(Table1[[#This Row],[MARKET_CAP]]&gt;200000000000,"Large Cap",
IF(Table1[[#This Row],[MARKET_CAP]]&gt;50000000000,"Mid Cap","Small Cap"))</f>
        <v>Small Cap</v>
      </c>
      <c r="P1214" t="str">
        <f>IF(Table1[[#This Row],[NET_TRDQTY]]&gt;1000000,"High Volume","Low Volume")</f>
        <v>Low Volume</v>
      </c>
    </row>
    <row r="1215" spans="1:16" x14ac:dyDescent="0.3">
      <c r="A1215" t="s">
        <v>2435</v>
      </c>
      <c r="B1215" t="s">
        <v>2436</v>
      </c>
      <c r="C1215">
        <v>250</v>
      </c>
      <c r="D1215">
        <v>252.35</v>
      </c>
      <c r="E1215">
        <v>237</v>
      </c>
      <c r="F1215">
        <v>240.15</v>
      </c>
      <c r="G1215">
        <v>253.6</v>
      </c>
      <c r="H1215">
        <v>64951</v>
      </c>
      <c r="I1215">
        <v>2168</v>
      </c>
      <c r="J1215">
        <v>3257110022</v>
      </c>
      <c r="K1215">
        <v>13562815</v>
      </c>
      <c r="L1215">
        <f>(Table1[[#This Row],[CLOSE_PRICE]] - Table1[[#This Row],[PREV_CL_PR]]) / Table1[[#This Row],[PREV_CL_PR]] * 100</f>
        <v>-5.3036277602523612</v>
      </c>
      <c r="M1215">
        <f>Table1[[#This Row],[HIGH_PRICE]]-Table1[[#This Row],[LOW_PRICE]]</f>
        <v>15.349999999999994</v>
      </c>
      <c r="N1215" t="str">
        <f>IF(Table1[[#This Row],[CLOSE_PRICE]]&gt;Table1[[#This Row],[OPEN_PRICE]],"Gain","Loss")</f>
        <v>Loss</v>
      </c>
      <c r="O1215" t="str">
        <f>IF(Table1[[#This Row],[MARKET_CAP]]&gt;200000000000,"Large Cap",
IF(Table1[[#This Row],[MARKET_CAP]]&gt;50000000000,"Mid Cap","Small Cap"))</f>
        <v>Small Cap</v>
      </c>
      <c r="P1215" t="str">
        <f>IF(Table1[[#This Row],[NET_TRDQTY]]&gt;1000000,"High Volume","Low Volume")</f>
        <v>Low Volume</v>
      </c>
    </row>
    <row r="1216" spans="1:16" x14ac:dyDescent="0.3">
      <c r="A1216" t="s">
        <v>2437</v>
      </c>
      <c r="B1216" t="s">
        <v>2438</v>
      </c>
      <c r="C1216">
        <v>38.15</v>
      </c>
      <c r="D1216">
        <v>38.18</v>
      </c>
      <c r="E1216">
        <v>33.299999999999997</v>
      </c>
      <c r="F1216">
        <v>34.950000000000003</v>
      </c>
      <c r="G1216">
        <v>38.15</v>
      </c>
      <c r="H1216">
        <v>165410</v>
      </c>
      <c r="I1216">
        <v>1967</v>
      </c>
      <c r="J1216">
        <v>2900290800</v>
      </c>
      <c r="K1216">
        <v>82984000</v>
      </c>
      <c r="L1216">
        <f>(Table1[[#This Row],[CLOSE_PRICE]] - Table1[[#This Row],[PREV_CL_PR]]) / Table1[[#This Row],[PREV_CL_PR]] * 100</f>
        <v>-8.3879423328964506</v>
      </c>
      <c r="M1216">
        <f>Table1[[#This Row],[HIGH_PRICE]]-Table1[[#This Row],[LOW_PRICE]]</f>
        <v>4.8800000000000026</v>
      </c>
      <c r="N1216" t="str">
        <f>IF(Table1[[#This Row],[CLOSE_PRICE]]&gt;Table1[[#This Row],[OPEN_PRICE]],"Gain","Loss")</f>
        <v>Loss</v>
      </c>
      <c r="O1216" t="str">
        <f>IF(Table1[[#This Row],[MARKET_CAP]]&gt;200000000000,"Large Cap",
IF(Table1[[#This Row],[MARKET_CAP]]&gt;50000000000,"Mid Cap","Small Cap"))</f>
        <v>Small Cap</v>
      </c>
      <c r="P1216" t="str">
        <f>IF(Table1[[#This Row],[NET_TRDQTY]]&gt;1000000,"High Volume","Low Volume")</f>
        <v>Low Volume</v>
      </c>
    </row>
    <row r="1217" spans="1:16" x14ac:dyDescent="0.3">
      <c r="A1217" t="s">
        <v>2439</v>
      </c>
      <c r="B1217" t="s">
        <v>2440</v>
      </c>
      <c r="C1217">
        <v>819.9</v>
      </c>
      <c r="D1217">
        <v>819.9</v>
      </c>
      <c r="E1217">
        <v>793.4</v>
      </c>
      <c r="F1217">
        <v>797.75</v>
      </c>
      <c r="G1217">
        <v>820.65</v>
      </c>
      <c r="H1217">
        <v>73165</v>
      </c>
      <c r="I1217">
        <v>5350</v>
      </c>
      <c r="J1217">
        <v>95588463993</v>
      </c>
      <c r="K1217">
        <v>119822581</v>
      </c>
      <c r="L1217">
        <f>(Table1[[#This Row],[CLOSE_PRICE]] - Table1[[#This Row],[PREV_CL_PR]]) / Table1[[#This Row],[PREV_CL_PR]] * 100</f>
        <v>-2.7904709681350122</v>
      </c>
      <c r="M1217">
        <f>Table1[[#This Row],[HIGH_PRICE]]-Table1[[#This Row],[LOW_PRICE]]</f>
        <v>26.5</v>
      </c>
      <c r="N1217" t="str">
        <f>IF(Table1[[#This Row],[CLOSE_PRICE]]&gt;Table1[[#This Row],[OPEN_PRICE]],"Gain","Loss")</f>
        <v>Loss</v>
      </c>
      <c r="O1217" t="str">
        <f>IF(Table1[[#This Row],[MARKET_CAP]]&gt;200000000000,"Large Cap",
IF(Table1[[#This Row],[MARKET_CAP]]&gt;50000000000,"Mid Cap","Small Cap"))</f>
        <v>Mid Cap</v>
      </c>
      <c r="P1217" t="str">
        <f>IF(Table1[[#This Row],[NET_TRDQTY]]&gt;1000000,"High Volume","Low Volume")</f>
        <v>Low Volume</v>
      </c>
    </row>
    <row r="1218" spans="1:16" x14ac:dyDescent="0.3">
      <c r="A1218" t="s">
        <v>2441</v>
      </c>
      <c r="B1218" t="s">
        <v>2442</v>
      </c>
      <c r="C1218">
        <v>143.9</v>
      </c>
      <c r="D1218">
        <v>144.5</v>
      </c>
      <c r="E1218">
        <v>139.11000000000001</v>
      </c>
      <c r="F1218">
        <v>141.87</v>
      </c>
      <c r="G1218">
        <v>144.6</v>
      </c>
      <c r="H1218">
        <v>6338685</v>
      </c>
      <c r="I1218">
        <v>63025</v>
      </c>
      <c r="J1218">
        <v>640000000000</v>
      </c>
      <c r="K1218">
        <v>4513131000</v>
      </c>
      <c r="L1218">
        <f>(Table1[[#This Row],[CLOSE_PRICE]] - Table1[[#This Row],[PREV_CL_PR]]) / Table1[[#This Row],[PREV_CL_PR]] * 100</f>
        <v>-1.887966804979246</v>
      </c>
      <c r="M1218">
        <f>Table1[[#This Row],[HIGH_PRICE]]-Table1[[#This Row],[LOW_PRICE]]</f>
        <v>5.3899999999999864</v>
      </c>
      <c r="N1218" t="str">
        <f>IF(Table1[[#This Row],[CLOSE_PRICE]]&gt;Table1[[#This Row],[OPEN_PRICE]],"Gain","Loss")</f>
        <v>Loss</v>
      </c>
      <c r="O1218" t="str">
        <f>IF(Table1[[#This Row],[MARKET_CAP]]&gt;200000000000,"Large Cap",
IF(Table1[[#This Row],[MARKET_CAP]]&gt;50000000000,"Mid Cap","Small Cap"))</f>
        <v>Large Cap</v>
      </c>
      <c r="P1218" t="str">
        <f>IF(Table1[[#This Row],[NET_TRDQTY]]&gt;1000000,"High Volume","Low Volume")</f>
        <v>High Volume</v>
      </c>
    </row>
    <row r="1219" spans="1:16" x14ac:dyDescent="0.3">
      <c r="A1219" t="s">
        <v>2443</v>
      </c>
      <c r="B1219" t="s">
        <v>2444</v>
      </c>
      <c r="C1219">
        <v>250</v>
      </c>
      <c r="D1219">
        <v>250.15</v>
      </c>
      <c r="E1219">
        <v>246.5</v>
      </c>
      <c r="F1219">
        <v>247.42</v>
      </c>
      <c r="G1219">
        <v>250.13</v>
      </c>
      <c r="H1219">
        <v>5996</v>
      </c>
      <c r="I1219">
        <v>110</v>
      </c>
      <c r="J1219">
        <v>2794287254</v>
      </c>
      <c r="K1219">
        <v>11293700</v>
      </c>
      <c r="L1219">
        <f>(Table1[[#This Row],[CLOSE_PRICE]] - Table1[[#This Row],[PREV_CL_PR]]) / Table1[[#This Row],[PREV_CL_PR]] * 100</f>
        <v>-1.0834366129612634</v>
      </c>
      <c r="M1219">
        <f>Table1[[#This Row],[HIGH_PRICE]]-Table1[[#This Row],[LOW_PRICE]]</f>
        <v>3.6500000000000057</v>
      </c>
      <c r="N1219" t="str">
        <f>IF(Table1[[#This Row],[CLOSE_PRICE]]&gt;Table1[[#This Row],[OPEN_PRICE]],"Gain","Loss")</f>
        <v>Loss</v>
      </c>
      <c r="O1219" t="str">
        <f>IF(Table1[[#This Row],[MARKET_CAP]]&gt;200000000000,"Large Cap",
IF(Table1[[#This Row],[MARKET_CAP]]&gt;50000000000,"Mid Cap","Small Cap"))</f>
        <v>Small Cap</v>
      </c>
      <c r="P1219" t="str">
        <f>IF(Table1[[#This Row],[NET_TRDQTY]]&gt;1000000,"High Volume","Low Volume")</f>
        <v>Low Volume</v>
      </c>
    </row>
    <row r="1220" spans="1:16" x14ac:dyDescent="0.3">
      <c r="A1220" t="s">
        <v>2445</v>
      </c>
      <c r="B1220" t="s">
        <v>2446</v>
      </c>
      <c r="C1220">
        <v>229.06</v>
      </c>
      <c r="D1220">
        <v>229.06</v>
      </c>
      <c r="E1220">
        <v>212.8</v>
      </c>
      <c r="F1220">
        <v>218.33</v>
      </c>
      <c r="G1220">
        <v>231.46</v>
      </c>
      <c r="H1220">
        <v>81000</v>
      </c>
      <c r="I1220">
        <v>2606</v>
      </c>
      <c r="J1220">
        <v>6032484973</v>
      </c>
      <c r="K1220">
        <v>27630124</v>
      </c>
      <c r="L1220">
        <f>(Table1[[#This Row],[CLOSE_PRICE]] - Table1[[#This Row],[PREV_CL_PR]]) / Table1[[#This Row],[PREV_CL_PR]] * 100</f>
        <v>-5.6726864253002658</v>
      </c>
      <c r="M1220">
        <f>Table1[[#This Row],[HIGH_PRICE]]-Table1[[#This Row],[LOW_PRICE]]</f>
        <v>16.259999999999991</v>
      </c>
      <c r="N1220" t="str">
        <f>IF(Table1[[#This Row],[CLOSE_PRICE]]&gt;Table1[[#This Row],[OPEN_PRICE]],"Gain","Loss")</f>
        <v>Loss</v>
      </c>
      <c r="O1220" t="str">
        <f>IF(Table1[[#This Row],[MARKET_CAP]]&gt;200000000000,"Large Cap",
IF(Table1[[#This Row],[MARKET_CAP]]&gt;50000000000,"Mid Cap","Small Cap"))</f>
        <v>Small Cap</v>
      </c>
      <c r="P1220" t="str">
        <f>IF(Table1[[#This Row],[NET_TRDQTY]]&gt;1000000,"High Volume","Low Volume")</f>
        <v>Low Volume</v>
      </c>
    </row>
    <row r="1221" spans="1:16" x14ac:dyDescent="0.3">
      <c r="A1221" t="s">
        <v>2447</v>
      </c>
      <c r="B1221" t="s">
        <v>2448</v>
      </c>
      <c r="C1221">
        <v>118.11</v>
      </c>
      <c r="D1221">
        <v>119.37</v>
      </c>
      <c r="E1221">
        <v>111.6</v>
      </c>
      <c r="F1221">
        <v>112.57</v>
      </c>
      <c r="G1221">
        <v>118.11</v>
      </c>
      <c r="H1221">
        <v>133733</v>
      </c>
      <c r="I1221">
        <v>3548</v>
      </c>
      <c r="J1221">
        <v>6308422800</v>
      </c>
      <c r="K1221">
        <v>56040000</v>
      </c>
      <c r="L1221">
        <f>(Table1[[#This Row],[CLOSE_PRICE]] - Table1[[#This Row],[PREV_CL_PR]]) / Table1[[#This Row],[PREV_CL_PR]] * 100</f>
        <v>-4.6905427144187675</v>
      </c>
      <c r="M1221">
        <f>Table1[[#This Row],[HIGH_PRICE]]-Table1[[#This Row],[LOW_PRICE]]</f>
        <v>7.7700000000000102</v>
      </c>
      <c r="N1221" t="str">
        <f>IF(Table1[[#This Row],[CLOSE_PRICE]]&gt;Table1[[#This Row],[OPEN_PRICE]],"Gain","Loss")</f>
        <v>Loss</v>
      </c>
      <c r="O1221" t="str">
        <f>IF(Table1[[#This Row],[MARKET_CAP]]&gt;200000000000,"Large Cap",
IF(Table1[[#This Row],[MARKET_CAP]]&gt;50000000000,"Mid Cap","Small Cap"))</f>
        <v>Small Cap</v>
      </c>
      <c r="P1221" t="str">
        <f>IF(Table1[[#This Row],[NET_TRDQTY]]&gt;1000000,"High Volume","Low Volume")</f>
        <v>Low Volume</v>
      </c>
    </row>
    <row r="1222" spans="1:16" x14ac:dyDescent="0.3">
      <c r="A1222" t="s">
        <v>2449</v>
      </c>
      <c r="B1222" t="s">
        <v>2450</v>
      </c>
      <c r="C1222">
        <v>925</v>
      </c>
      <c r="D1222">
        <v>930.5</v>
      </c>
      <c r="E1222">
        <v>894.4</v>
      </c>
      <c r="F1222">
        <v>902.6</v>
      </c>
      <c r="G1222">
        <v>930.7</v>
      </c>
      <c r="H1222">
        <v>53358</v>
      </c>
      <c r="I1222">
        <v>13929</v>
      </c>
      <c r="J1222">
        <v>246000000000</v>
      </c>
      <c r="K1222">
        <v>272433991</v>
      </c>
      <c r="L1222">
        <f>(Table1[[#This Row],[CLOSE_PRICE]] - Table1[[#This Row],[PREV_CL_PR]]) / Table1[[#This Row],[PREV_CL_PR]] * 100</f>
        <v>-3.0192328355001634</v>
      </c>
      <c r="M1222">
        <f>Table1[[#This Row],[HIGH_PRICE]]-Table1[[#This Row],[LOW_PRICE]]</f>
        <v>36.100000000000023</v>
      </c>
      <c r="N1222" t="str">
        <f>IF(Table1[[#This Row],[CLOSE_PRICE]]&gt;Table1[[#This Row],[OPEN_PRICE]],"Gain","Loss")</f>
        <v>Loss</v>
      </c>
      <c r="O1222" t="str">
        <f>IF(Table1[[#This Row],[MARKET_CAP]]&gt;200000000000,"Large Cap",
IF(Table1[[#This Row],[MARKET_CAP]]&gt;50000000000,"Mid Cap","Small Cap"))</f>
        <v>Large Cap</v>
      </c>
      <c r="P1222" t="str">
        <f>IF(Table1[[#This Row],[NET_TRDQTY]]&gt;1000000,"High Volume","Low Volume")</f>
        <v>Low Volume</v>
      </c>
    </row>
    <row r="1223" spans="1:16" x14ac:dyDescent="0.3">
      <c r="A1223" t="s">
        <v>2451</v>
      </c>
      <c r="B1223" t="s">
        <v>2452</v>
      </c>
      <c r="C1223">
        <v>434.5</v>
      </c>
      <c r="D1223">
        <v>475</v>
      </c>
      <c r="E1223">
        <v>421.2</v>
      </c>
      <c r="F1223">
        <v>450.2</v>
      </c>
      <c r="G1223">
        <v>441.1</v>
      </c>
      <c r="H1223">
        <v>193686</v>
      </c>
      <c r="I1223">
        <v>11706</v>
      </c>
      <c r="J1223">
        <v>93321025186</v>
      </c>
      <c r="K1223">
        <v>207287928</v>
      </c>
      <c r="L1223">
        <f>(Table1[[#This Row],[CLOSE_PRICE]] - Table1[[#This Row],[PREV_CL_PR]]) / Table1[[#This Row],[PREV_CL_PR]] * 100</f>
        <v>2.0630242575379656</v>
      </c>
      <c r="M1223">
        <f>Table1[[#This Row],[HIGH_PRICE]]-Table1[[#This Row],[LOW_PRICE]]</f>
        <v>53.800000000000011</v>
      </c>
      <c r="N1223" t="str">
        <f>IF(Table1[[#This Row],[CLOSE_PRICE]]&gt;Table1[[#This Row],[OPEN_PRICE]],"Gain","Loss")</f>
        <v>Gain</v>
      </c>
      <c r="O1223" t="str">
        <f>IF(Table1[[#This Row],[MARKET_CAP]]&gt;200000000000,"Large Cap",
IF(Table1[[#This Row],[MARKET_CAP]]&gt;50000000000,"Mid Cap","Small Cap"))</f>
        <v>Mid Cap</v>
      </c>
      <c r="P1223" t="str">
        <f>IF(Table1[[#This Row],[NET_TRDQTY]]&gt;1000000,"High Volume","Low Volume")</f>
        <v>Low Volume</v>
      </c>
    </row>
    <row r="1224" spans="1:16" x14ac:dyDescent="0.3">
      <c r="A1224" t="s">
        <v>2453</v>
      </c>
      <c r="B1224" t="s">
        <v>2454</v>
      </c>
      <c r="C1224">
        <v>22.54</v>
      </c>
      <c r="D1224">
        <v>23</v>
      </c>
      <c r="E1224">
        <v>21.63</v>
      </c>
      <c r="F1224">
        <v>22.04</v>
      </c>
      <c r="G1224">
        <v>23</v>
      </c>
      <c r="H1224">
        <v>541</v>
      </c>
      <c r="I1224">
        <v>62</v>
      </c>
      <c r="J1224">
        <v>234070861</v>
      </c>
      <c r="K1224">
        <v>10620275</v>
      </c>
      <c r="L1224">
        <f>(Table1[[#This Row],[CLOSE_PRICE]] - Table1[[#This Row],[PREV_CL_PR]]) / Table1[[#This Row],[PREV_CL_PR]] * 100</f>
        <v>-4.1739130434782643</v>
      </c>
      <c r="M1224">
        <f>Table1[[#This Row],[HIGH_PRICE]]-Table1[[#This Row],[LOW_PRICE]]</f>
        <v>1.370000000000001</v>
      </c>
      <c r="N1224" t="str">
        <f>IF(Table1[[#This Row],[CLOSE_PRICE]]&gt;Table1[[#This Row],[OPEN_PRICE]],"Gain","Loss")</f>
        <v>Loss</v>
      </c>
      <c r="O1224" t="str">
        <f>IF(Table1[[#This Row],[MARKET_CAP]]&gt;200000000000,"Large Cap",
IF(Table1[[#This Row],[MARKET_CAP]]&gt;50000000000,"Mid Cap","Small Cap"))</f>
        <v>Small Cap</v>
      </c>
      <c r="P1224" t="str">
        <f>IF(Table1[[#This Row],[NET_TRDQTY]]&gt;1000000,"High Volume","Low Volume")</f>
        <v>Low Volume</v>
      </c>
    </row>
    <row r="1225" spans="1:16" x14ac:dyDescent="0.3">
      <c r="A1225" t="s">
        <v>2455</v>
      </c>
      <c r="B1225" t="s">
        <v>2456</v>
      </c>
      <c r="C1225">
        <v>1630.5</v>
      </c>
      <c r="D1225">
        <v>1630.5</v>
      </c>
      <c r="E1225">
        <v>1553.5</v>
      </c>
      <c r="F1225">
        <v>1567.5</v>
      </c>
      <c r="G1225">
        <v>1639.3</v>
      </c>
      <c r="H1225">
        <v>1451852</v>
      </c>
      <c r="I1225">
        <v>85018</v>
      </c>
      <c r="J1225">
        <v>541000000000</v>
      </c>
      <c r="K1225">
        <v>345114771</v>
      </c>
      <c r="L1225">
        <f>(Table1[[#This Row],[CLOSE_PRICE]] - Table1[[#This Row],[PREV_CL_PR]]) / Table1[[#This Row],[PREV_CL_PR]] * 100</f>
        <v>-4.3799182577929576</v>
      </c>
      <c r="M1225">
        <f>Table1[[#This Row],[HIGH_PRICE]]-Table1[[#This Row],[LOW_PRICE]]</f>
        <v>77</v>
      </c>
      <c r="N1225" t="str">
        <f>IF(Table1[[#This Row],[CLOSE_PRICE]]&gt;Table1[[#This Row],[OPEN_PRICE]],"Gain","Loss")</f>
        <v>Loss</v>
      </c>
      <c r="O1225" t="str">
        <f>IF(Table1[[#This Row],[MARKET_CAP]]&gt;200000000000,"Large Cap",
IF(Table1[[#This Row],[MARKET_CAP]]&gt;50000000000,"Mid Cap","Small Cap"))</f>
        <v>Large Cap</v>
      </c>
      <c r="P1225" t="str">
        <f>IF(Table1[[#This Row],[NET_TRDQTY]]&gt;1000000,"High Volume","Low Volume")</f>
        <v>High Volume</v>
      </c>
    </row>
    <row r="1226" spans="1:16" x14ac:dyDescent="0.3">
      <c r="A1226" t="s">
        <v>2457</v>
      </c>
      <c r="B1226" t="s">
        <v>2458</v>
      </c>
      <c r="C1226">
        <v>10.35</v>
      </c>
      <c r="D1226">
        <v>12.3</v>
      </c>
      <c r="E1226">
        <v>10.19</v>
      </c>
      <c r="F1226">
        <v>11.71</v>
      </c>
      <c r="G1226">
        <v>10.49</v>
      </c>
      <c r="H1226">
        <v>6145487</v>
      </c>
      <c r="I1226">
        <v>5249</v>
      </c>
      <c r="J1226">
        <v>3859096076</v>
      </c>
      <c r="K1226">
        <v>329555600</v>
      </c>
      <c r="L1226">
        <f>(Table1[[#This Row],[CLOSE_PRICE]] - Table1[[#This Row],[PREV_CL_PR]]) / Table1[[#This Row],[PREV_CL_PR]] * 100</f>
        <v>11.630123927550054</v>
      </c>
      <c r="M1226">
        <f>Table1[[#This Row],[HIGH_PRICE]]-Table1[[#This Row],[LOW_PRICE]]</f>
        <v>2.1100000000000012</v>
      </c>
      <c r="N1226" t="str">
        <f>IF(Table1[[#This Row],[CLOSE_PRICE]]&gt;Table1[[#This Row],[OPEN_PRICE]],"Gain","Loss")</f>
        <v>Gain</v>
      </c>
      <c r="O1226" t="str">
        <f>IF(Table1[[#This Row],[MARKET_CAP]]&gt;200000000000,"Large Cap",
IF(Table1[[#This Row],[MARKET_CAP]]&gt;50000000000,"Mid Cap","Small Cap"))</f>
        <v>Small Cap</v>
      </c>
      <c r="P1226" t="str">
        <f>IF(Table1[[#This Row],[NET_TRDQTY]]&gt;1000000,"High Volume","Low Volume")</f>
        <v>High Volume</v>
      </c>
    </row>
    <row r="1227" spans="1:16" x14ac:dyDescent="0.3">
      <c r="A1227" t="s">
        <v>2459</v>
      </c>
      <c r="B1227" t="s">
        <v>2460</v>
      </c>
      <c r="C1227">
        <v>960</v>
      </c>
      <c r="D1227">
        <v>960.5</v>
      </c>
      <c r="E1227">
        <v>900</v>
      </c>
      <c r="F1227">
        <v>908.4</v>
      </c>
      <c r="G1227">
        <v>967.1</v>
      </c>
      <c r="H1227">
        <v>476869</v>
      </c>
      <c r="I1227">
        <v>25687</v>
      </c>
      <c r="J1227">
        <v>89729733535</v>
      </c>
      <c r="K1227">
        <v>98777778</v>
      </c>
      <c r="L1227">
        <f>(Table1[[#This Row],[CLOSE_PRICE]] - Table1[[#This Row],[PREV_CL_PR]]) / Table1[[#This Row],[PREV_CL_PR]] * 100</f>
        <v>-6.0696928962878749</v>
      </c>
      <c r="M1227">
        <f>Table1[[#This Row],[HIGH_PRICE]]-Table1[[#This Row],[LOW_PRICE]]</f>
        <v>60.5</v>
      </c>
      <c r="N1227" t="str">
        <f>IF(Table1[[#This Row],[CLOSE_PRICE]]&gt;Table1[[#This Row],[OPEN_PRICE]],"Gain","Loss")</f>
        <v>Loss</v>
      </c>
      <c r="O1227" t="str">
        <f>IF(Table1[[#This Row],[MARKET_CAP]]&gt;200000000000,"Large Cap",
IF(Table1[[#This Row],[MARKET_CAP]]&gt;50000000000,"Mid Cap","Small Cap"))</f>
        <v>Mid Cap</v>
      </c>
      <c r="P1227" t="str">
        <f>IF(Table1[[#This Row],[NET_TRDQTY]]&gt;1000000,"High Volume","Low Volume")</f>
        <v>Low Volume</v>
      </c>
    </row>
    <row r="1228" spans="1:16" x14ac:dyDescent="0.3">
      <c r="A1228" t="s">
        <v>2461</v>
      </c>
      <c r="B1228" t="s">
        <v>2462</v>
      </c>
      <c r="C1228">
        <v>166.99</v>
      </c>
      <c r="D1228">
        <v>166.99</v>
      </c>
      <c r="E1228">
        <v>157</v>
      </c>
      <c r="F1228">
        <v>161.91999999999999</v>
      </c>
      <c r="G1228">
        <v>167.04</v>
      </c>
      <c r="H1228">
        <v>1834</v>
      </c>
      <c r="I1228">
        <v>56</v>
      </c>
      <c r="J1228">
        <v>1719634928</v>
      </c>
      <c r="K1228">
        <v>10620275</v>
      </c>
      <c r="L1228">
        <f>(Table1[[#This Row],[CLOSE_PRICE]] - Table1[[#This Row],[PREV_CL_PR]]) / Table1[[#This Row],[PREV_CL_PR]] * 100</f>
        <v>-3.065134099616861</v>
      </c>
      <c r="M1228">
        <f>Table1[[#This Row],[HIGH_PRICE]]-Table1[[#This Row],[LOW_PRICE]]</f>
        <v>9.9900000000000091</v>
      </c>
      <c r="N1228" t="str">
        <f>IF(Table1[[#This Row],[CLOSE_PRICE]]&gt;Table1[[#This Row],[OPEN_PRICE]],"Gain","Loss")</f>
        <v>Loss</v>
      </c>
      <c r="O1228" t="str">
        <f>IF(Table1[[#This Row],[MARKET_CAP]]&gt;200000000000,"Large Cap",
IF(Table1[[#This Row],[MARKET_CAP]]&gt;50000000000,"Mid Cap","Small Cap"))</f>
        <v>Small Cap</v>
      </c>
      <c r="P1228" t="str">
        <f>IF(Table1[[#This Row],[NET_TRDQTY]]&gt;1000000,"High Volume","Low Volume")</f>
        <v>Low Volume</v>
      </c>
    </row>
    <row r="1229" spans="1:16" x14ac:dyDescent="0.3">
      <c r="A1229" t="s">
        <v>2463</v>
      </c>
      <c r="B1229" t="s">
        <v>2464</v>
      </c>
      <c r="C1229">
        <v>256</v>
      </c>
      <c r="D1229">
        <v>256</v>
      </c>
      <c r="E1229">
        <v>246.05</v>
      </c>
      <c r="F1229">
        <v>248</v>
      </c>
      <c r="G1229">
        <v>256.75</v>
      </c>
      <c r="H1229">
        <v>106753</v>
      </c>
      <c r="I1229">
        <v>6484</v>
      </c>
      <c r="J1229">
        <v>50105751608</v>
      </c>
      <c r="K1229">
        <v>202039321</v>
      </c>
      <c r="L1229">
        <f>(Table1[[#This Row],[CLOSE_PRICE]] - Table1[[#This Row],[PREV_CL_PR]]) / Table1[[#This Row],[PREV_CL_PR]] * 100</f>
        <v>-3.4079844206426486</v>
      </c>
      <c r="M1229">
        <f>Table1[[#This Row],[HIGH_PRICE]]-Table1[[#This Row],[LOW_PRICE]]</f>
        <v>9.9499999999999886</v>
      </c>
      <c r="N1229" t="str">
        <f>IF(Table1[[#This Row],[CLOSE_PRICE]]&gt;Table1[[#This Row],[OPEN_PRICE]],"Gain","Loss")</f>
        <v>Loss</v>
      </c>
      <c r="O1229" t="str">
        <f>IF(Table1[[#This Row],[MARKET_CAP]]&gt;200000000000,"Large Cap",
IF(Table1[[#This Row],[MARKET_CAP]]&gt;50000000000,"Mid Cap","Small Cap"))</f>
        <v>Mid Cap</v>
      </c>
      <c r="P1229" t="str">
        <f>IF(Table1[[#This Row],[NET_TRDQTY]]&gt;1000000,"High Volume","Low Volume")</f>
        <v>Low Volume</v>
      </c>
    </row>
    <row r="1230" spans="1:16" x14ac:dyDescent="0.3">
      <c r="A1230" t="s">
        <v>2465</v>
      </c>
      <c r="B1230" t="s">
        <v>2466</v>
      </c>
      <c r="C1230">
        <v>32.81</v>
      </c>
      <c r="D1230">
        <v>32.81</v>
      </c>
      <c r="E1230">
        <v>31.17</v>
      </c>
      <c r="F1230">
        <v>31.31</v>
      </c>
      <c r="G1230">
        <v>32.81</v>
      </c>
      <c r="H1230">
        <v>878727</v>
      </c>
      <c r="I1230">
        <v>3871</v>
      </c>
      <c r="J1230">
        <v>7546071944</v>
      </c>
      <c r="K1230">
        <v>241011560</v>
      </c>
      <c r="L1230">
        <f>(Table1[[#This Row],[CLOSE_PRICE]] - Table1[[#This Row],[PREV_CL_PR]]) / Table1[[#This Row],[PREV_CL_PR]] * 100</f>
        <v>-4.5717768972874229</v>
      </c>
      <c r="M1230">
        <f>Table1[[#This Row],[HIGH_PRICE]]-Table1[[#This Row],[LOW_PRICE]]</f>
        <v>1.6400000000000006</v>
      </c>
      <c r="N1230" t="str">
        <f>IF(Table1[[#This Row],[CLOSE_PRICE]]&gt;Table1[[#This Row],[OPEN_PRICE]],"Gain","Loss")</f>
        <v>Loss</v>
      </c>
      <c r="O1230" t="str">
        <f>IF(Table1[[#This Row],[MARKET_CAP]]&gt;200000000000,"Large Cap",
IF(Table1[[#This Row],[MARKET_CAP]]&gt;50000000000,"Mid Cap","Small Cap"))</f>
        <v>Small Cap</v>
      </c>
      <c r="P1230" t="str">
        <f>IF(Table1[[#This Row],[NET_TRDQTY]]&gt;1000000,"High Volume","Low Volume")</f>
        <v>Low Volume</v>
      </c>
    </row>
    <row r="1231" spans="1:16" x14ac:dyDescent="0.3">
      <c r="A1231" t="s">
        <v>2467</v>
      </c>
      <c r="B1231" t="s">
        <v>2468</v>
      </c>
      <c r="C1231">
        <v>313</v>
      </c>
      <c r="D1231">
        <v>313</v>
      </c>
      <c r="E1231">
        <v>292</v>
      </c>
      <c r="F1231">
        <v>293.85000000000002</v>
      </c>
      <c r="G1231">
        <v>315.3</v>
      </c>
      <c r="H1231">
        <v>639700</v>
      </c>
      <c r="I1231">
        <v>21293</v>
      </c>
      <c r="J1231">
        <v>55049859000</v>
      </c>
      <c r="K1231">
        <v>187340000</v>
      </c>
      <c r="L1231">
        <f>(Table1[[#This Row],[CLOSE_PRICE]] - Table1[[#This Row],[PREV_CL_PR]]) / Table1[[#This Row],[PREV_CL_PR]] * 100</f>
        <v>-6.8030447193149337</v>
      </c>
      <c r="M1231">
        <f>Table1[[#This Row],[HIGH_PRICE]]-Table1[[#This Row],[LOW_PRICE]]</f>
        <v>21</v>
      </c>
      <c r="N1231" t="str">
        <f>IF(Table1[[#This Row],[CLOSE_PRICE]]&gt;Table1[[#This Row],[OPEN_PRICE]],"Gain","Loss")</f>
        <v>Loss</v>
      </c>
      <c r="O1231" t="str">
        <f>IF(Table1[[#This Row],[MARKET_CAP]]&gt;200000000000,"Large Cap",
IF(Table1[[#This Row],[MARKET_CAP]]&gt;50000000000,"Mid Cap","Small Cap"))</f>
        <v>Mid Cap</v>
      </c>
      <c r="P1231" t="str">
        <f>IF(Table1[[#This Row],[NET_TRDQTY]]&gt;1000000,"High Volume","Low Volume")</f>
        <v>Low Volume</v>
      </c>
    </row>
    <row r="1232" spans="1:16" x14ac:dyDescent="0.3">
      <c r="A1232" t="s">
        <v>2469</v>
      </c>
      <c r="B1232" t="s">
        <v>2470</v>
      </c>
      <c r="C1232">
        <v>1250</v>
      </c>
      <c r="D1232">
        <v>1259</v>
      </c>
      <c r="E1232">
        <v>1172.2</v>
      </c>
      <c r="F1232">
        <v>1187.2</v>
      </c>
      <c r="G1232">
        <v>1239.0999999999999</v>
      </c>
      <c r="H1232">
        <v>43523</v>
      </c>
      <c r="I1232">
        <v>4124</v>
      </c>
      <c r="J1232">
        <v>42930120755</v>
      </c>
      <c r="K1232">
        <v>36160816</v>
      </c>
      <c r="L1232">
        <f>(Table1[[#This Row],[CLOSE_PRICE]] - Table1[[#This Row],[PREV_CL_PR]]) / Table1[[#This Row],[PREV_CL_PR]] * 100</f>
        <v>-4.1885239286578866</v>
      </c>
      <c r="M1232">
        <f>Table1[[#This Row],[HIGH_PRICE]]-Table1[[#This Row],[LOW_PRICE]]</f>
        <v>86.799999999999955</v>
      </c>
      <c r="N1232" t="str">
        <f>IF(Table1[[#This Row],[CLOSE_PRICE]]&gt;Table1[[#This Row],[OPEN_PRICE]],"Gain","Loss")</f>
        <v>Loss</v>
      </c>
      <c r="O1232" t="str">
        <f>IF(Table1[[#This Row],[MARKET_CAP]]&gt;200000000000,"Large Cap",
IF(Table1[[#This Row],[MARKET_CAP]]&gt;50000000000,"Mid Cap","Small Cap"))</f>
        <v>Small Cap</v>
      </c>
      <c r="P1232" t="str">
        <f>IF(Table1[[#This Row],[NET_TRDQTY]]&gt;1000000,"High Volume","Low Volume")</f>
        <v>Low Volume</v>
      </c>
    </row>
    <row r="1233" spans="1:16" x14ac:dyDescent="0.3">
      <c r="A1233" t="s">
        <v>2471</v>
      </c>
      <c r="B1233" t="s">
        <v>2472</v>
      </c>
      <c r="C1233">
        <v>492.5</v>
      </c>
      <c r="D1233">
        <v>494.85</v>
      </c>
      <c r="E1233">
        <v>484.15</v>
      </c>
      <c r="F1233">
        <v>490.85</v>
      </c>
      <c r="G1233">
        <v>502.5</v>
      </c>
      <c r="H1233">
        <v>145054</v>
      </c>
      <c r="I1233">
        <v>8720</v>
      </c>
      <c r="J1233">
        <v>117000000000</v>
      </c>
      <c r="K1233">
        <v>239079428</v>
      </c>
      <c r="L1233">
        <f>(Table1[[#This Row],[CLOSE_PRICE]] - Table1[[#This Row],[PREV_CL_PR]]) / Table1[[#This Row],[PREV_CL_PR]] * 100</f>
        <v>-2.3184079601990004</v>
      </c>
      <c r="M1233">
        <f>Table1[[#This Row],[HIGH_PRICE]]-Table1[[#This Row],[LOW_PRICE]]</f>
        <v>10.700000000000045</v>
      </c>
      <c r="N1233" t="str">
        <f>IF(Table1[[#This Row],[CLOSE_PRICE]]&gt;Table1[[#This Row],[OPEN_PRICE]],"Gain","Loss")</f>
        <v>Loss</v>
      </c>
      <c r="O1233" t="str">
        <f>IF(Table1[[#This Row],[MARKET_CAP]]&gt;200000000000,"Large Cap",
IF(Table1[[#This Row],[MARKET_CAP]]&gt;50000000000,"Mid Cap","Small Cap"))</f>
        <v>Mid Cap</v>
      </c>
      <c r="P1233" t="str">
        <f>IF(Table1[[#This Row],[NET_TRDQTY]]&gt;1000000,"High Volume","Low Volume")</f>
        <v>Low Volume</v>
      </c>
    </row>
    <row r="1234" spans="1:16" x14ac:dyDescent="0.3">
      <c r="A1234" t="s">
        <v>2473</v>
      </c>
      <c r="B1234" t="s">
        <v>2474</v>
      </c>
      <c r="C1234">
        <v>169.02</v>
      </c>
      <c r="D1234">
        <v>169.04</v>
      </c>
      <c r="E1234">
        <v>158.5</v>
      </c>
      <c r="F1234">
        <v>160.97</v>
      </c>
      <c r="G1234">
        <v>170</v>
      </c>
      <c r="H1234">
        <v>62493</v>
      </c>
      <c r="I1234">
        <v>2208</v>
      </c>
      <c r="J1234">
        <v>5143670954</v>
      </c>
      <c r="K1234">
        <v>31954221</v>
      </c>
      <c r="L1234">
        <f>(Table1[[#This Row],[CLOSE_PRICE]] - Table1[[#This Row],[PREV_CL_PR]]) / Table1[[#This Row],[PREV_CL_PR]] * 100</f>
        <v>-5.3117647058823536</v>
      </c>
      <c r="M1234">
        <f>Table1[[#This Row],[HIGH_PRICE]]-Table1[[#This Row],[LOW_PRICE]]</f>
        <v>10.539999999999992</v>
      </c>
      <c r="N1234" t="str">
        <f>IF(Table1[[#This Row],[CLOSE_PRICE]]&gt;Table1[[#This Row],[OPEN_PRICE]],"Gain","Loss")</f>
        <v>Loss</v>
      </c>
      <c r="O1234" t="str">
        <f>IF(Table1[[#This Row],[MARKET_CAP]]&gt;200000000000,"Large Cap",
IF(Table1[[#This Row],[MARKET_CAP]]&gt;50000000000,"Mid Cap","Small Cap"))</f>
        <v>Small Cap</v>
      </c>
      <c r="P1234" t="str">
        <f>IF(Table1[[#This Row],[NET_TRDQTY]]&gt;1000000,"High Volume","Low Volume")</f>
        <v>Low Volume</v>
      </c>
    </row>
    <row r="1235" spans="1:16" x14ac:dyDescent="0.3">
      <c r="A1235" t="s">
        <v>2475</v>
      </c>
      <c r="B1235" t="s">
        <v>2476</v>
      </c>
      <c r="C1235">
        <v>24.9</v>
      </c>
      <c r="D1235">
        <v>24.9</v>
      </c>
      <c r="E1235">
        <v>23.1</v>
      </c>
      <c r="F1235">
        <v>23.38</v>
      </c>
      <c r="G1235">
        <v>25.49</v>
      </c>
      <c r="H1235">
        <v>1027661</v>
      </c>
      <c r="I1235">
        <v>2228</v>
      </c>
      <c r="J1235">
        <v>8636393470</v>
      </c>
      <c r="K1235">
        <v>369392364</v>
      </c>
      <c r="L1235">
        <f>(Table1[[#This Row],[CLOSE_PRICE]] - Table1[[#This Row],[PREV_CL_PR]]) / Table1[[#This Row],[PREV_CL_PR]] * 100</f>
        <v>-8.2777559827383271</v>
      </c>
      <c r="M1235">
        <f>Table1[[#This Row],[HIGH_PRICE]]-Table1[[#This Row],[LOW_PRICE]]</f>
        <v>1.7999999999999972</v>
      </c>
      <c r="N1235" t="str">
        <f>IF(Table1[[#This Row],[CLOSE_PRICE]]&gt;Table1[[#This Row],[OPEN_PRICE]],"Gain","Loss")</f>
        <v>Loss</v>
      </c>
      <c r="O1235" t="str">
        <f>IF(Table1[[#This Row],[MARKET_CAP]]&gt;200000000000,"Large Cap",
IF(Table1[[#This Row],[MARKET_CAP]]&gt;50000000000,"Mid Cap","Small Cap"))</f>
        <v>Small Cap</v>
      </c>
      <c r="P1235" t="str">
        <f>IF(Table1[[#This Row],[NET_TRDQTY]]&gt;1000000,"High Volume","Low Volume")</f>
        <v>High Volume</v>
      </c>
    </row>
    <row r="1236" spans="1:16" x14ac:dyDescent="0.3">
      <c r="A1236" t="s">
        <v>2477</v>
      </c>
      <c r="B1236" t="s">
        <v>2478</v>
      </c>
      <c r="C1236">
        <v>29.03</v>
      </c>
      <c r="D1236">
        <v>29.32</v>
      </c>
      <c r="E1236">
        <v>27.12</v>
      </c>
      <c r="F1236">
        <v>27.59</v>
      </c>
      <c r="G1236">
        <v>29.35</v>
      </c>
      <c r="H1236">
        <v>159001</v>
      </c>
      <c r="I1236">
        <v>1846</v>
      </c>
      <c r="J1236">
        <v>3812990421</v>
      </c>
      <c r="K1236">
        <v>138201900</v>
      </c>
      <c r="L1236">
        <f>(Table1[[#This Row],[CLOSE_PRICE]] - Table1[[#This Row],[PREV_CL_PR]]) / Table1[[#This Row],[PREV_CL_PR]] * 100</f>
        <v>-5.996592844974451</v>
      </c>
      <c r="M1236">
        <f>Table1[[#This Row],[HIGH_PRICE]]-Table1[[#This Row],[LOW_PRICE]]</f>
        <v>2.1999999999999993</v>
      </c>
      <c r="N1236" t="str">
        <f>IF(Table1[[#This Row],[CLOSE_PRICE]]&gt;Table1[[#This Row],[OPEN_PRICE]],"Gain","Loss")</f>
        <v>Loss</v>
      </c>
      <c r="O1236" t="str">
        <f>IF(Table1[[#This Row],[MARKET_CAP]]&gt;200000000000,"Large Cap",
IF(Table1[[#This Row],[MARKET_CAP]]&gt;50000000000,"Mid Cap","Small Cap"))</f>
        <v>Small Cap</v>
      </c>
      <c r="P1236" t="str">
        <f>IF(Table1[[#This Row],[NET_TRDQTY]]&gt;1000000,"High Volume","Low Volume")</f>
        <v>Low Volume</v>
      </c>
    </row>
    <row r="1237" spans="1:16" x14ac:dyDescent="0.3">
      <c r="A1237" t="s">
        <v>2479</v>
      </c>
      <c r="B1237" t="s">
        <v>2480</v>
      </c>
      <c r="C1237">
        <v>51.3</v>
      </c>
      <c r="D1237">
        <v>54.4</v>
      </c>
      <c r="E1237">
        <v>51.3</v>
      </c>
      <c r="F1237">
        <v>52.46</v>
      </c>
      <c r="G1237">
        <v>53.27</v>
      </c>
      <c r="H1237">
        <v>11245</v>
      </c>
      <c r="I1237">
        <v>160</v>
      </c>
      <c r="J1237">
        <v>913770208.29999995</v>
      </c>
      <c r="K1237">
        <v>17418418</v>
      </c>
      <c r="L1237">
        <f>(Table1[[#This Row],[CLOSE_PRICE]] - Table1[[#This Row],[PREV_CL_PR]]) / Table1[[#This Row],[PREV_CL_PR]] * 100</f>
        <v>-1.5205556598460714</v>
      </c>
      <c r="M1237">
        <f>Table1[[#This Row],[HIGH_PRICE]]-Table1[[#This Row],[LOW_PRICE]]</f>
        <v>3.1000000000000014</v>
      </c>
      <c r="N1237" t="str">
        <f>IF(Table1[[#This Row],[CLOSE_PRICE]]&gt;Table1[[#This Row],[OPEN_PRICE]],"Gain","Loss")</f>
        <v>Gain</v>
      </c>
      <c r="O1237" t="str">
        <f>IF(Table1[[#This Row],[MARKET_CAP]]&gt;200000000000,"Large Cap",
IF(Table1[[#This Row],[MARKET_CAP]]&gt;50000000000,"Mid Cap","Small Cap"))</f>
        <v>Small Cap</v>
      </c>
      <c r="P1237" t="str">
        <f>IF(Table1[[#This Row],[NET_TRDQTY]]&gt;1000000,"High Volume","Low Volume")</f>
        <v>Low Volume</v>
      </c>
    </row>
    <row r="1238" spans="1:16" x14ac:dyDescent="0.3">
      <c r="A1238" t="s">
        <v>2481</v>
      </c>
      <c r="B1238" t="s">
        <v>2482</v>
      </c>
      <c r="C1238">
        <v>0.95</v>
      </c>
      <c r="D1238">
        <v>1.03</v>
      </c>
      <c r="E1238">
        <v>0.92</v>
      </c>
      <c r="F1238">
        <v>0.97</v>
      </c>
      <c r="G1238">
        <v>0.97</v>
      </c>
      <c r="H1238">
        <v>740374</v>
      </c>
      <c r="I1238">
        <v>527</v>
      </c>
      <c r="J1238">
        <v>217296218.40000001</v>
      </c>
      <c r="K1238">
        <v>224016720</v>
      </c>
      <c r="L1238">
        <f>(Table1[[#This Row],[CLOSE_PRICE]] - Table1[[#This Row],[PREV_CL_PR]]) / Table1[[#This Row],[PREV_CL_PR]] * 100</f>
        <v>0</v>
      </c>
      <c r="M1238">
        <f>Table1[[#This Row],[HIGH_PRICE]]-Table1[[#This Row],[LOW_PRICE]]</f>
        <v>0.10999999999999999</v>
      </c>
      <c r="N1238" t="str">
        <f>IF(Table1[[#This Row],[CLOSE_PRICE]]&gt;Table1[[#This Row],[OPEN_PRICE]],"Gain","Loss")</f>
        <v>Gain</v>
      </c>
      <c r="O1238" t="str">
        <f>IF(Table1[[#This Row],[MARKET_CAP]]&gt;200000000000,"Large Cap",
IF(Table1[[#This Row],[MARKET_CAP]]&gt;50000000000,"Mid Cap","Small Cap"))</f>
        <v>Small Cap</v>
      </c>
      <c r="P1238" t="str">
        <f>IF(Table1[[#This Row],[NET_TRDQTY]]&gt;1000000,"High Volume","Low Volume")</f>
        <v>Low Volume</v>
      </c>
    </row>
    <row r="1239" spans="1:16" x14ac:dyDescent="0.3">
      <c r="A1239" t="s">
        <v>2483</v>
      </c>
      <c r="B1239" t="s">
        <v>2484</v>
      </c>
      <c r="C1239">
        <v>4.92</v>
      </c>
      <c r="D1239">
        <v>4.93</v>
      </c>
      <c r="E1239">
        <v>4.6500000000000004</v>
      </c>
      <c r="F1239">
        <v>4.67</v>
      </c>
      <c r="G1239">
        <v>4.92</v>
      </c>
      <c r="H1239">
        <v>262881</v>
      </c>
      <c r="I1239">
        <v>739</v>
      </c>
      <c r="J1239">
        <v>1752987240</v>
      </c>
      <c r="K1239">
        <v>375372000</v>
      </c>
      <c r="L1239">
        <f>(Table1[[#This Row],[CLOSE_PRICE]] - Table1[[#This Row],[PREV_CL_PR]]) / Table1[[#This Row],[PREV_CL_PR]] * 100</f>
        <v>-5.0813008130081299</v>
      </c>
      <c r="M1239">
        <f>Table1[[#This Row],[HIGH_PRICE]]-Table1[[#This Row],[LOW_PRICE]]</f>
        <v>0.27999999999999936</v>
      </c>
      <c r="N1239" t="str">
        <f>IF(Table1[[#This Row],[CLOSE_PRICE]]&gt;Table1[[#This Row],[OPEN_PRICE]],"Gain","Loss")</f>
        <v>Loss</v>
      </c>
      <c r="O1239" t="str">
        <f>IF(Table1[[#This Row],[MARKET_CAP]]&gt;200000000000,"Large Cap",
IF(Table1[[#This Row],[MARKET_CAP]]&gt;50000000000,"Mid Cap","Small Cap"))</f>
        <v>Small Cap</v>
      </c>
      <c r="P1239" t="str">
        <f>IF(Table1[[#This Row],[NET_TRDQTY]]&gt;1000000,"High Volume","Low Volume")</f>
        <v>Low Volume</v>
      </c>
    </row>
    <row r="1240" spans="1:16" x14ac:dyDescent="0.3">
      <c r="A1240" t="s">
        <v>2485</v>
      </c>
      <c r="B1240" t="s">
        <v>2486</v>
      </c>
      <c r="C1240">
        <v>427.4</v>
      </c>
      <c r="D1240">
        <v>431</v>
      </c>
      <c r="E1240">
        <v>406.8</v>
      </c>
      <c r="F1240">
        <v>413.2</v>
      </c>
      <c r="G1240">
        <v>428.25</v>
      </c>
      <c r="H1240">
        <v>118128</v>
      </c>
      <c r="I1240">
        <v>6512</v>
      </c>
      <c r="J1240">
        <v>19949957120</v>
      </c>
      <c r="K1240">
        <v>48281600</v>
      </c>
      <c r="L1240">
        <f>(Table1[[#This Row],[CLOSE_PRICE]] - Table1[[#This Row],[PREV_CL_PR]]) / Table1[[#This Row],[PREV_CL_PR]] * 100</f>
        <v>-3.5143023934617657</v>
      </c>
      <c r="M1240">
        <f>Table1[[#This Row],[HIGH_PRICE]]-Table1[[#This Row],[LOW_PRICE]]</f>
        <v>24.199999999999989</v>
      </c>
      <c r="N1240" t="str">
        <f>IF(Table1[[#This Row],[CLOSE_PRICE]]&gt;Table1[[#This Row],[OPEN_PRICE]],"Gain","Loss")</f>
        <v>Loss</v>
      </c>
      <c r="O1240" t="str">
        <f>IF(Table1[[#This Row],[MARKET_CAP]]&gt;200000000000,"Large Cap",
IF(Table1[[#This Row],[MARKET_CAP]]&gt;50000000000,"Mid Cap","Small Cap"))</f>
        <v>Small Cap</v>
      </c>
      <c r="P1240" t="str">
        <f>IF(Table1[[#This Row],[NET_TRDQTY]]&gt;1000000,"High Volume","Low Volume")</f>
        <v>Low Volume</v>
      </c>
    </row>
    <row r="1241" spans="1:16" x14ac:dyDescent="0.3">
      <c r="A1241" t="s">
        <v>2487</v>
      </c>
      <c r="B1241" t="s">
        <v>2488</v>
      </c>
      <c r="C1241">
        <v>214.5</v>
      </c>
      <c r="D1241">
        <v>215.98</v>
      </c>
      <c r="E1241">
        <v>205.55</v>
      </c>
      <c r="F1241">
        <v>206.68</v>
      </c>
      <c r="G1241">
        <v>217.67</v>
      </c>
      <c r="H1241">
        <v>21493</v>
      </c>
      <c r="I1241">
        <v>652</v>
      </c>
      <c r="J1241">
        <v>5250212055</v>
      </c>
      <c r="K1241">
        <v>25402613</v>
      </c>
      <c r="L1241">
        <f>(Table1[[#This Row],[CLOSE_PRICE]] - Table1[[#This Row],[PREV_CL_PR]]) / Table1[[#This Row],[PREV_CL_PR]] * 100</f>
        <v>-5.0489272752331429</v>
      </c>
      <c r="M1241">
        <f>Table1[[#This Row],[HIGH_PRICE]]-Table1[[#This Row],[LOW_PRICE]]</f>
        <v>10.429999999999978</v>
      </c>
      <c r="N1241" t="str">
        <f>IF(Table1[[#This Row],[CLOSE_PRICE]]&gt;Table1[[#This Row],[OPEN_PRICE]],"Gain","Loss")</f>
        <v>Loss</v>
      </c>
      <c r="O1241" t="str">
        <f>IF(Table1[[#This Row],[MARKET_CAP]]&gt;200000000000,"Large Cap",
IF(Table1[[#This Row],[MARKET_CAP]]&gt;50000000000,"Mid Cap","Small Cap"))</f>
        <v>Small Cap</v>
      </c>
      <c r="P1241" t="str">
        <f>IF(Table1[[#This Row],[NET_TRDQTY]]&gt;1000000,"High Volume","Low Volume")</f>
        <v>Low Volume</v>
      </c>
    </row>
    <row r="1242" spans="1:16" x14ac:dyDescent="0.3">
      <c r="A1242" t="s">
        <v>2489</v>
      </c>
      <c r="B1242" t="s">
        <v>2490</v>
      </c>
      <c r="C1242">
        <v>58</v>
      </c>
      <c r="D1242">
        <v>58.3</v>
      </c>
      <c r="E1242">
        <v>55.34</v>
      </c>
      <c r="F1242">
        <v>55.72</v>
      </c>
      <c r="G1242">
        <v>60.04</v>
      </c>
      <c r="H1242">
        <v>4706995</v>
      </c>
      <c r="I1242">
        <v>24344</v>
      </c>
      <c r="J1242">
        <v>83580000000</v>
      </c>
      <c r="K1242">
        <v>1500000000</v>
      </c>
      <c r="L1242">
        <f>(Table1[[#This Row],[CLOSE_PRICE]] - Table1[[#This Row],[PREV_CL_PR]]) / Table1[[#This Row],[PREV_CL_PR]] * 100</f>
        <v>-7.1952031978680884</v>
      </c>
      <c r="M1242">
        <f>Table1[[#This Row],[HIGH_PRICE]]-Table1[[#This Row],[LOW_PRICE]]</f>
        <v>2.9599999999999937</v>
      </c>
      <c r="N1242" t="str">
        <f>IF(Table1[[#This Row],[CLOSE_PRICE]]&gt;Table1[[#This Row],[OPEN_PRICE]],"Gain","Loss")</f>
        <v>Loss</v>
      </c>
      <c r="O1242" t="str">
        <f>IF(Table1[[#This Row],[MARKET_CAP]]&gt;200000000000,"Large Cap",
IF(Table1[[#This Row],[MARKET_CAP]]&gt;50000000000,"Mid Cap","Small Cap"))</f>
        <v>Mid Cap</v>
      </c>
      <c r="P1242" t="str">
        <f>IF(Table1[[#This Row],[NET_TRDQTY]]&gt;1000000,"High Volume","Low Volume")</f>
        <v>High Volume</v>
      </c>
    </row>
    <row r="1243" spans="1:16" x14ac:dyDescent="0.3">
      <c r="A1243" t="s">
        <v>2491</v>
      </c>
      <c r="B1243" t="s">
        <v>2492</v>
      </c>
      <c r="C1243">
        <v>179.92</v>
      </c>
      <c r="D1243">
        <v>180.45</v>
      </c>
      <c r="E1243">
        <v>171.31</v>
      </c>
      <c r="F1243">
        <v>173.9</v>
      </c>
      <c r="G1243">
        <v>181.82</v>
      </c>
      <c r="H1243">
        <v>837919</v>
      </c>
      <c r="I1243">
        <v>11957</v>
      </c>
      <c r="J1243">
        <v>13678705846</v>
      </c>
      <c r="K1243">
        <v>78658458</v>
      </c>
      <c r="L1243">
        <f>(Table1[[#This Row],[CLOSE_PRICE]] - Table1[[#This Row],[PREV_CL_PR]]) / Table1[[#This Row],[PREV_CL_PR]] * 100</f>
        <v>-4.3559564404355893</v>
      </c>
      <c r="M1243">
        <f>Table1[[#This Row],[HIGH_PRICE]]-Table1[[#This Row],[LOW_PRICE]]</f>
        <v>9.1399999999999864</v>
      </c>
      <c r="N1243" t="str">
        <f>IF(Table1[[#This Row],[CLOSE_PRICE]]&gt;Table1[[#This Row],[OPEN_PRICE]],"Gain","Loss")</f>
        <v>Loss</v>
      </c>
      <c r="O1243" t="str">
        <f>IF(Table1[[#This Row],[MARKET_CAP]]&gt;200000000000,"Large Cap",
IF(Table1[[#This Row],[MARKET_CAP]]&gt;50000000000,"Mid Cap","Small Cap"))</f>
        <v>Small Cap</v>
      </c>
      <c r="P1243" t="str">
        <f>IF(Table1[[#This Row],[NET_TRDQTY]]&gt;1000000,"High Volume","Low Volume")</f>
        <v>Low Volume</v>
      </c>
    </row>
    <row r="1244" spans="1:16" x14ac:dyDescent="0.3">
      <c r="A1244" t="s">
        <v>2493</v>
      </c>
      <c r="B1244" t="s">
        <v>2494</v>
      </c>
      <c r="C1244">
        <v>284.95</v>
      </c>
      <c r="D1244">
        <v>298</v>
      </c>
      <c r="E1244">
        <v>280.10000000000002</v>
      </c>
      <c r="F1244">
        <v>289.95</v>
      </c>
      <c r="G1244">
        <v>299.64999999999998</v>
      </c>
      <c r="H1244">
        <v>7353</v>
      </c>
      <c r="I1244">
        <v>305</v>
      </c>
      <c r="J1244">
        <v>3858189810</v>
      </c>
      <c r="K1244">
        <v>13306397</v>
      </c>
      <c r="L1244">
        <f>(Table1[[#This Row],[CLOSE_PRICE]] - Table1[[#This Row],[PREV_CL_PR]]) / Table1[[#This Row],[PREV_CL_PR]] * 100</f>
        <v>-3.237109961621889</v>
      </c>
      <c r="M1244">
        <f>Table1[[#This Row],[HIGH_PRICE]]-Table1[[#This Row],[LOW_PRICE]]</f>
        <v>17.899999999999977</v>
      </c>
      <c r="N1244" t="str">
        <f>IF(Table1[[#This Row],[CLOSE_PRICE]]&gt;Table1[[#This Row],[OPEN_PRICE]],"Gain","Loss")</f>
        <v>Gain</v>
      </c>
      <c r="O1244" t="str">
        <f>IF(Table1[[#This Row],[MARKET_CAP]]&gt;200000000000,"Large Cap",
IF(Table1[[#This Row],[MARKET_CAP]]&gt;50000000000,"Mid Cap","Small Cap"))</f>
        <v>Small Cap</v>
      </c>
      <c r="P1244" t="str">
        <f>IF(Table1[[#This Row],[NET_TRDQTY]]&gt;1000000,"High Volume","Low Volume")</f>
        <v>Low Volume</v>
      </c>
    </row>
    <row r="1245" spans="1:16" x14ac:dyDescent="0.3">
      <c r="A1245" t="s">
        <v>2495</v>
      </c>
      <c r="B1245" t="s">
        <v>2496</v>
      </c>
      <c r="C1245">
        <v>112</v>
      </c>
      <c r="D1245">
        <v>114</v>
      </c>
      <c r="E1245">
        <v>109.59</v>
      </c>
      <c r="F1245">
        <v>112.88</v>
      </c>
      <c r="G1245">
        <v>109.81</v>
      </c>
      <c r="H1245">
        <v>7945</v>
      </c>
      <c r="I1245">
        <v>132</v>
      </c>
      <c r="J1245">
        <v>2826575252</v>
      </c>
      <c r="K1245">
        <v>25040532</v>
      </c>
      <c r="L1245">
        <f>(Table1[[#This Row],[CLOSE_PRICE]] - Table1[[#This Row],[PREV_CL_PR]]) / Table1[[#This Row],[PREV_CL_PR]] * 100</f>
        <v>2.7957380930698417</v>
      </c>
      <c r="M1245">
        <f>Table1[[#This Row],[HIGH_PRICE]]-Table1[[#This Row],[LOW_PRICE]]</f>
        <v>4.4099999999999966</v>
      </c>
      <c r="N1245" t="str">
        <f>IF(Table1[[#This Row],[CLOSE_PRICE]]&gt;Table1[[#This Row],[OPEN_PRICE]],"Gain","Loss")</f>
        <v>Gain</v>
      </c>
      <c r="O1245" t="str">
        <f>IF(Table1[[#This Row],[MARKET_CAP]]&gt;200000000000,"Large Cap",
IF(Table1[[#This Row],[MARKET_CAP]]&gt;50000000000,"Mid Cap","Small Cap"))</f>
        <v>Small Cap</v>
      </c>
      <c r="P1245" t="str">
        <f>IF(Table1[[#This Row],[NET_TRDQTY]]&gt;1000000,"High Volume","Low Volume")</f>
        <v>Low Volume</v>
      </c>
    </row>
    <row r="1246" spans="1:16" x14ac:dyDescent="0.3">
      <c r="A1246" t="s">
        <v>2497</v>
      </c>
      <c r="B1246" t="s">
        <v>2498</v>
      </c>
      <c r="C1246">
        <v>320</v>
      </c>
      <c r="D1246">
        <v>320</v>
      </c>
      <c r="E1246">
        <v>295</v>
      </c>
      <c r="F1246">
        <v>302.8</v>
      </c>
      <c r="G1246">
        <v>316.60000000000002</v>
      </c>
      <c r="H1246">
        <v>13765</v>
      </c>
      <c r="I1246">
        <v>540</v>
      </c>
      <c r="J1246">
        <v>5932215360</v>
      </c>
      <c r="K1246">
        <v>19591200</v>
      </c>
      <c r="L1246">
        <f>(Table1[[#This Row],[CLOSE_PRICE]] - Table1[[#This Row],[PREV_CL_PR]]) / Table1[[#This Row],[PREV_CL_PR]] * 100</f>
        <v>-4.3588123815540145</v>
      </c>
      <c r="M1246">
        <f>Table1[[#This Row],[HIGH_PRICE]]-Table1[[#This Row],[LOW_PRICE]]</f>
        <v>25</v>
      </c>
      <c r="N1246" t="str">
        <f>IF(Table1[[#This Row],[CLOSE_PRICE]]&gt;Table1[[#This Row],[OPEN_PRICE]],"Gain","Loss")</f>
        <v>Loss</v>
      </c>
      <c r="O1246" t="str">
        <f>IF(Table1[[#This Row],[MARKET_CAP]]&gt;200000000000,"Large Cap",
IF(Table1[[#This Row],[MARKET_CAP]]&gt;50000000000,"Mid Cap","Small Cap"))</f>
        <v>Small Cap</v>
      </c>
      <c r="P1246" t="str">
        <f>IF(Table1[[#This Row],[NET_TRDQTY]]&gt;1000000,"High Volume","Low Volume")</f>
        <v>Low Volume</v>
      </c>
    </row>
    <row r="1247" spans="1:16" x14ac:dyDescent="0.3">
      <c r="A1247" t="s">
        <v>2499</v>
      </c>
      <c r="B1247" t="s">
        <v>2500</v>
      </c>
      <c r="C1247">
        <v>125.01</v>
      </c>
      <c r="D1247">
        <v>125.01</v>
      </c>
      <c r="E1247">
        <v>114</v>
      </c>
      <c r="F1247">
        <v>114.59</v>
      </c>
      <c r="G1247">
        <v>125.96</v>
      </c>
      <c r="H1247">
        <v>58136</v>
      </c>
      <c r="I1247">
        <v>1441</v>
      </c>
      <c r="J1247">
        <v>3718445500</v>
      </c>
      <c r="K1247">
        <v>32450000</v>
      </c>
      <c r="L1247">
        <f>(Table1[[#This Row],[CLOSE_PRICE]] - Table1[[#This Row],[PREV_CL_PR]]) / Table1[[#This Row],[PREV_CL_PR]] * 100</f>
        <v>-9.0266751349634724</v>
      </c>
      <c r="M1247">
        <f>Table1[[#This Row],[HIGH_PRICE]]-Table1[[#This Row],[LOW_PRICE]]</f>
        <v>11.010000000000005</v>
      </c>
      <c r="N1247" t="str">
        <f>IF(Table1[[#This Row],[CLOSE_PRICE]]&gt;Table1[[#This Row],[OPEN_PRICE]],"Gain","Loss")</f>
        <v>Loss</v>
      </c>
      <c r="O1247" t="str">
        <f>IF(Table1[[#This Row],[MARKET_CAP]]&gt;200000000000,"Large Cap",
IF(Table1[[#This Row],[MARKET_CAP]]&gt;50000000000,"Mid Cap","Small Cap"))</f>
        <v>Small Cap</v>
      </c>
      <c r="P1247" t="str">
        <f>IF(Table1[[#This Row],[NET_TRDQTY]]&gt;1000000,"High Volume","Low Volume")</f>
        <v>Low Volume</v>
      </c>
    </row>
    <row r="1248" spans="1:16" x14ac:dyDescent="0.3">
      <c r="A1248" t="s">
        <v>2501</v>
      </c>
      <c r="B1248" t="s">
        <v>2502</v>
      </c>
      <c r="C1248">
        <v>43</v>
      </c>
      <c r="D1248">
        <v>44.96</v>
      </c>
      <c r="E1248">
        <v>42.72</v>
      </c>
      <c r="F1248">
        <v>44.96</v>
      </c>
      <c r="G1248">
        <v>44.96</v>
      </c>
      <c r="H1248">
        <v>5</v>
      </c>
      <c r="I1248">
        <v>5</v>
      </c>
      <c r="J1248">
        <v>1563491194</v>
      </c>
      <c r="K1248">
        <v>34775160</v>
      </c>
      <c r="L1248">
        <f>(Table1[[#This Row],[CLOSE_PRICE]] - Table1[[#This Row],[PREV_CL_PR]]) / Table1[[#This Row],[PREV_CL_PR]] * 100</f>
        <v>0</v>
      </c>
      <c r="M1248">
        <f>Table1[[#This Row],[HIGH_PRICE]]-Table1[[#This Row],[LOW_PRICE]]</f>
        <v>2.240000000000002</v>
      </c>
      <c r="N1248" t="str">
        <f>IF(Table1[[#This Row],[CLOSE_PRICE]]&gt;Table1[[#This Row],[OPEN_PRICE]],"Gain","Loss")</f>
        <v>Gain</v>
      </c>
      <c r="O1248" t="str">
        <f>IF(Table1[[#This Row],[MARKET_CAP]]&gt;200000000000,"Large Cap",
IF(Table1[[#This Row],[MARKET_CAP]]&gt;50000000000,"Mid Cap","Small Cap"))</f>
        <v>Small Cap</v>
      </c>
      <c r="P1248" t="str">
        <f>IF(Table1[[#This Row],[NET_TRDQTY]]&gt;1000000,"High Volume","Low Volume")</f>
        <v>Low Volume</v>
      </c>
    </row>
    <row r="1249" spans="1:16" x14ac:dyDescent="0.3">
      <c r="A1249" t="s">
        <v>2503</v>
      </c>
      <c r="B1249" t="s">
        <v>2504</v>
      </c>
      <c r="C1249">
        <v>22.9</v>
      </c>
      <c r="D1249">
        <v>22.94</v>
      </c>
      <c r="E1249">
        <v>20.66</v>
      </c>
      <c r="F1249">
        <v>20.97</v>
      </c>
      <c r="G1249">
        <v>22.89</v>
      </c>
      <c r="H1249">
        <v>13928</v>
      </c>
      <c r="I1249">
        <v>196</v>
      </c>
      <c r="J1249">
        <v>296884347.80000001</v>
      </c>
      <c r="K1249">
        <v>14157575</v>
      </c>
      <c r="L1249">
        <f>(Table1[[#This Row],[CLOSE_PRICE]] - Table1[[#This Row],[PREV_CL_PR]]) / Table1[[#This Row],[PREV_CL_PR]] * 100</f>
        <v>-8.3879423328964684</v>
      </c>
      <c r="M1249">
        <f>Table1[[#This Row],[HIGH_PRICE]]-Table1[[#This Row],[LOW_PRICE]]</f>
        <v>2.2800000000000011</v>
      </c>
      <c r="N1249" t="str">
        <f>IF(Table1[[#This Row],[CLOSE_PRICE]]&gt;Table1[[#This Row],[OPEN_PRICE]],"Gain","Loss")</f>
        <v>Loss</v>
      </c>
      <c r="O1249" t="str">
        <f>IF(Table1[[#This Row],[MARKET_CAP]]&gt;200000000000,"Large Cap",
IF(Table1[[#This Row],[MARKET_CAP]]&gt;50000000000,"Mid Cap","Small Cap"))</f>
        <v>Small Cap</v>
      </c>
      <c r="P1249" t="str">
        <f>IF(Table1[[#This Row],[NET_TRDQTY]]&gt;1000000,"High Volume","Low Volume")</f>
        <v>Low Volume</v>
      </c>
    </row>
    <row r="1250" spans="1:16" x14ac:dyDescent="0.3">
      <c r="A1250" t="s">
        <v>2505</v>
      </c>
      <c r="B1250" t="s">
        <v>2506</v>
      </c>
      <c r="C1250">
        <v>286</v>
      </c>
      <c r="D1250">
        <v>291</v>
      </c>
      <c r="E1250">
        <v>276</v>
      </c>
      <c r="F1250">
        <v>285.25</v>
      </c>
      <c r="G1250">
        <v>291.60000000000002</v>
      </c>
      <c r="H1250">
        <v>1499590</v>
      </c>
      <c r="I1250">
        <v>34596</v>
      </c>
      <c r="J1250">
        <v>58044156438</v>
      </c>
      <c r="K1250">
        <v>203485211</v>
      </c>
      <c r="L1250">
        <f>(Table1[[#This Row],[CLOSE_PRICE]] - Table1[[#This Row],[PREV_CL_PR]]) / Table1[[#This Row],[PREV_CL_PR]] * 100</f>
        <v>-2.177640603566537</v>
      </c>
      <c r="M1250">
        <f>Table1[[#This Row],[HIGH_PRICE]]-Table1[[#This Row],[LOW_PRICE]]</f>
        <v>15</v>
      </c>
      <c r="N1250" t="str">
        <f>IF(Table1[[#This Row],[CLOSE_PRICE]]&gt;Table1[[#This Row],[OPEN_PRICE]],"Gain","Loss")</f>
        <v>Loss</v>
      </c>
      <c r="O1250" t="str">
        <f>IF(Table1[[#This Row],[MARKET_CAP]]&gt;200000000000,"Large Cap",
IF(Table1[[#This Row],[MARKET_CAP]]&gt;50000000000,"Mid Cap","Small Cap"))</f>
        <v>Mid Cap</v>
      </c>
      <c r="P1250" t="str">
        <f>IF(Table1[[#This Row],[NET_TRDQTY]]&gt;1000000,"High Volume","Low Volume")</f>
        <v>High Volume</v>
      </c>
    </row>
    <row r="1251" spans="1:16" x14ac:dyDescent="0.3">
      <c r="A1251" t="s">
        <v>2507</v>
      </c>
      <c r="B1251" t="s">
        <v>2508</v>
      </c>
      <c r="C1251">
        <v>10.11</v>
      </c>
      <c r="D1251">
        <v>10.3</v>
      </c>
      <c r="E1251">
        <v>9.61</v>
      </c>
      <c r="F1251">
        <v>9.84</v>
      </c>
      <c r="G1251">
        <v>10.38</v>
      </c>
      <c r="H1251">
        <v>130108</v>
      </c>
      <c r="I1251">
        <v>542</v>
      </c>
      <c r="J1251">
        <v>868369835.29999995</v>
      </c>
      <c r="K1251">
        <v>88248967</v>
      </c>
      <c r="L1251">
        <f>(Table1[[#This Row],[CLOSE_PRICE]] - Table1[[#This Row],[PREV_CL_PR]]) / Table1[[#This Row],[PREV_CL_PR]] * 100</f>
        <v>-5.202312138728332</v>
      </c>
      <c r="M1251">
        <f>Table1[[#This Row],[HIGH_PRICE]]-Table1[[#This Row],[LOW_PRICE]]</f>
        <v>0.69000000000000128</v>
      </c>
      <c r="N1251" t="str">
        <f>IF(Table1[[#This Row],[CLOSE_PRICE]]&gt;Table1[[#This Row],[OPEN_PRICE]],"Gain","Loss")</f>
        <v>Loss</v>
      </c>
      <c r="O1251" t="str">
        <f>IF(Table1[[#This Row],[MARKET_CAP]]&gt;200000000000,"Large Cap",
IF(Table1[[#This Row],[MARKET_CAP]]&gt;50000000000,"Mid Cap","Small Cap"))</f>
        <v>Small Cap</v>
      </c>
      <c r="P1251" t="str">
        <f>IF(Table1[[#This Row],[NET_TRDQTY]]&gt;1000000,"High Volume","Low Volume")</f>
        <v>Low Volume</v>
      </c>
    </row>
    <row r="1252" spans="1:16" x14ac:dyDescent="0.3">
      <c r="A1252" t="s">
        <v>2509</v>
      </c>
      <c r="B1252" t="s">
        <v>2510</v>
      </c>
      <c r="C1252">
        <v>41.85</v>
      </c>
      <c r="D1252">
        <v>42.1</v>
      </c>
      <c r="E1252">
        <v>40.049999999999997</v>
      </c>
      <c r="F1252">
        <v>40.369999999999997</v>
      </c>
      <c r="G1252">
        <v>42.62</v>
      </c>
      <c r="H1252">
        <v>1458900</v>
      </c>
      <c r="I1252">
        <v>5091</v>
      </c>
      <c r="J1252">
        <v>10266664698</v>
      </c>
      <c r="K1252">
        <v>254314211</v>
      </c>
      <c r="L1252">
        <f>(Table1[[#This Row],[CLOSE_PRICE]] - Table1[[#This Row],[PREV_CL_PR]]) / Table1[[#This Row],[PREV_CL_PR]] * 100</f>
        <v>-5.2792116377287659</v>
      </c>
      <c r="M1252">
        <f>Table1[[#This Row],[HIGH_PRICE]]-Table1[[#This Row],[LOW_PRICE]]</f>
        <v>2.0500000000000043</v>
      </c>
      <c r="N1252" t="str">
        <f>IF(Table1[[#This Row],[CLOSE_PRICE]]&gt;Table1[[#This Row],[OPEN_PRICE]],"Gain","Loss")</f>
        <v>Loss</v>
      </c>
      <c r="O1252" t="str">
        <f>IF(Table1[[#This Row],[MARKET_CAP]]&gt;200000000000,"Large Cap",
IF(Table1[[#This Row],[MARKET_CAP]]&gt;50000000000,"Mid Cap","Small Cap"))</f>
        <v>Small Cap</v>
      </c>
      <c r="P1252" t="str">
        <f>IF(Table1[[#This Row],[NET_TRDQTY]]&gt;1000000,"High Volume","Low Volume")</f>
        <v>High Volume</v>
      </c>
    </row>
    <row r="1253" spans="1:16" x14ac:dyDescent="0.3">
      <c r="A1253" t="s">
        <v>2511</v>
      </c>
      <c r="B1253" t="s">
        <v>2512</v>
      </c>
      <c r="C1253">
        <v>120</v>
      </c>
      <c r="D1253">
        <v>122.99</v>
      </c>
      <c r="E1253">
        <v>114.45</v>
      </c>
      <c r="F1253">
        <v>115.59</v>
      </c>
      <c r="G1253">
        <v>123.22</v>
      </c>
      <c r="H1253">
        <v>51119</v>
      </c>
      <c r="I1253">
        <v>1097</v>
      </c>
      <c r="J1253">
        <v>3329583590</v>
      </c>
      <c r="K1253">
        <v>28805118</v>
      </c>
      <c r="L1253">
        <f>(Table1[[#This Row],[CLOSE_PRICE]] - Table1[[#This Row],[PREV_CL_PR]]) / Table1[[#This Row],[PREV_CL_PR]] * 100</f>
        <v>-6.1921765947086476</v>
      </c>
      <c r="M1253">
        <f>Table1[[#This Row],[HIGH_PRICE]]-Table1[[#This Row],[LOW_PRICE]]</f>
        <v>8.539999999999992</v>
      </c>
      <c r="N1253" t="str">
        <f>IF(Table1[[#This Row],[CLOSE_PRICE]]&gt;Table1[[#This Row],[OPEN_PRICE]],"Gain","Loss")</f>
        <v>Loss</v>
      </c>
      <c r="O1253" t="str">
        <f>IF(Table1[[#This Row],[MARKET_CAP]]&gt;200000000000,"Large Cap",
IF(Table1[[#This Row],[MARKET_CAP]]&gt;50000000000,"Mid Cap","Small Cap"))</f>
        <v>Small Cap</v>
      </c>
      <c r="P1253" t="str">
        <f>IF(Table1[[#This Row],[NET_TRDQTY]]&gt;1000000,"High Volume","Low Volume")</f>
        <v>Low Volume</v>
      </c>
    </row>
    <row r="1254" spans="1:16" x14ac:dyDescent="0.3">
      <c r="A1254" t="s">
        <v>2513</v>
      </c>
      <c r="B1254" t="s">
        <v>2514</v>
      </c>
      <c r="C1254">
        <v>509.15</v>
      </c>
      <c r="D1254">
        <v>509.15</v>
      </c>
      <c r="E1254">
        <v>475</v>
      </c>
      <c r="F1254">
        <v>477.75</v>
      </c>
      <c r="G1254">
        <v>512.15</v>
      </c>
      <c r="H1254">
        <v>110819</v>
      </c>
      <c r="I1254">
        <v>5541</v>
      </c>
      <c r="J1254">
        <v>15823385282</v>
      </c>
      <c r="K1254">
        <v>33120639</v>
      </c>
      <c r="L1254">
        <f>(Table1[[#This Row],[CLOSE_PRICE]] - Table1[[#This Row],[PREV_CL_PR]]) / Table1[[#This Row],[PREV_CL_PR]] * 100</f>
        <v>-6.7167821927169733</v>
      </c>
      <c r="M1254">
        <f>Table1[[#This Row],[HIGH_PRICE]]-Table1[[#This Row],[LOW_PRICE]]</f>
        <v>34.149999999999977</v>
      </c>
      <c r="N1254" t="str">
        <f>IF(Table1[[#This Row],[CLOSE_PRICE]]&gt;Table1[[#This Row],[OPEN_PRICE]],"Gain","Loss")</f>
        <v>Loss</v>
      </c>
      <c r="O1254" t="str">
        <f>IF(Table1[[#This Row],[MARKET_CAP]]&gt;200000000000,"Large Cap",
IF(Table1[[#This Row],[MARKET_CAP]]&gt;50000000000,"Mid Cap","Small Cap"))</f>
        <v>Small Cap</v>
      </c>
      <c r="P1254" t="str">
        <f>IF(Table1[[#This Row],[NET_TRDQTY]]&gt;1000000,"High Volume","Low Volume")</f>
        <v>Low Volume</v>
      </c>
    </row>
    <row r="1255" spans="1:16" x14ac:dyDescent="0.3">
      <c r="A1255" t="s">
        <v>2515</v>
      </c>
      <c r="B1255" t="s">
        <v>2516</v>
      </c>
      <c r="C1255">
        <v>269.35000000000002</v>
      </c>
      <c r="D1255">
        <v>269.35000000000002</v>
      </c>
      <c r="E1255">
        <v>243.2</v>
      </c>
      <c r="F1255">
        <v>245.55</v>
      </c>
      <c r="G1255">
        <v>268</v>
      </c>
      <c r="H1255">
        <v>136561</v>
      </c>
      <c r="I1255">
        <v>2551</v>
      </c>
      <c r="J1255">
        <v>18147958878</v>
      </c>
      <c r="K1255">
        <v>73907387</v>
      </c>
      <c r="L1255">
        <f>(Table1[[#This Row],[CLOSE_PRICE]] - Table1[[#This Row],[PREV_CL_PR]]) / Table1[[#This Row],[PREV_CL_PR]] * 100</f>
        <v>-8.3768656716417862</v>
      </c>
      <c r="M1255">
        <f>Table1[[#This Row],[HIGH_PRICE]]-Table1[[#This Row],[LOW_PRICE]]</f>
        <v>26.150000000000034</v>
      </c>
      <c r="N1255" t="str">
        <f>IF(Table1[[#This Row],[CLOSE_PRICE]]&gt;Table1[[#This Row],[OPEN_PRICE]],"Gain","Loss")</f>
        <v>Loss</v>
      </c>
      <c r="O1255" t="str">
        <f>IF(Table1[[#This Row],[MARKET_CAP]]&gt;200000000000,"Large Cap",
IF(Table1[[#This Row],[MARKET_CAP]]&gt;50000000000,"Mid Cap","Small Cap"))</f>
        <v>Small Cap</v>
      </c>
      <c r="P1255" t="str">
        <f>IF(Table1[[#This Row],[NET_TRDQTY]]&gt;1000000,"High Volume","Low Volume")</f>
        <v>Low Volume</v>
      </c>
    </row>
    <row r="1256" spans="1:16" x14ac:dyDescent="0.3">
      <c r="A1256" t="s">
        <v>2517</v>
      </c>
      <c r="B1256" t="s">
        <v>2518</v>
      </c>
      <c r="C1256">
        <v>57.6</v>
      </c>
      <c r="D1256">
        <v>62.03</v>
      </c>
      <c r="E1256">
        <v>55.61</v>
      </c>
      <c r="F1256">
        <v>58.44</v>
      </c>
      <c r="G1256">
        <v>62.25</v>
      </c>
      <c r="H1256">
        <v>62720</v>
      </c>
      <c r="I1256">
        <v>652</v>
      </c>
      <c r="J1256">
        <v>3822513648</v>
      </c>
      <c r="K1256">
        <v>65409200</v>
      </c>
      <c r="L1256">
        <f>(Table1[[#This Row],[CLOSE_PRICE]] - Table1[[#This Row],[PREV_CL_PR]]) / Table1[[#This Row],[PREV_CL_PR]] * 100</f>
        <v>-6.1204819277108466</v>
      </c>
      <c r="M1256">
        <f>Table1[[#This Row],[HIGH_PRICE]]-Table1[[#This Row],[LOW_PRICE]]</f>
        <v>6.4200000000000017</v>
      </c>
      <c r="N1256" t="str">
        <f>IF(Table1[[#This Row],[CLOSE_PRICE]]&gt;Table1[[#This Row],[OPEN_PRICE]],"Gain","Loss")</f>
        <v>Gain</v>
      </c>
      <c r="O1256" t="str">
        <f>IF(Table1[[#This Row],[MARKET_CAP]]&gt;200000000000,"Large Cap",
IF(Table1[[#This Row],[MARKET_CAP]]&gt;50000000000,"Mid Cap","Small Cap"))</f>
        <v>Small Cap</v>
      </c>
      <c r="P1256" t="str">
        <f>IF(Table1[[#This Row],[NET_TRDQTY]]&gt;1000000,"High Volume","Low Volume")</f>
        <v>Low Volume</v>
      </c>
    </row>
    <row r="1257" spans="1:16" x14ac:dyDescent="0.3">
      <c r="A1257" t="s">
        <v>2519</v>
      </c>
      <c r="B1257" t="s">
        <v>2520</v>
      </c>
      <c r="C1257">
        <v>514.9</v>
      </c>
      <c r="D1257">
        <v>514.9</v>
      </c>
      <c r="E1257">
        <v>496</v>
      </c>
      <c r="F1257">
        <v>497.85</v>
      </c>
      <c r="G1257">
        <v>525.35</v>
      </c>
      <c r="H1257">
        <v>20796</v>
      </c>
      <c r="I1257">
        <v>2042</v>
      </c>
      <c r="J1257">
        <v>10321458062</v>
      </c>
      <c r="K1257">
        <v>20732064</v>
      </c>
      <c r="L1257">
        <f>(Table1[[#This Row],[CLOSE_PRICE]] - Table1[[#This Row],[PREV_CL_PR]]) / Table1[[#This Row],[PREV_CL_PR]] * 100</f>
        <v>-5.2346055010945083</v>
      </c>
      <c r="M1257">
        <f>Table1[[#This Row],[HIGH_PRICE]]-Table1[[#This Row],[LOW_PRICE]]</f>
        <v>18.899999999999977</v>
      </c>
      <c r="N1257" t="str">
        <f>IF(Table1[[#This Row],[CLOSE_PRICE]]&gt;Table1[[#This Row],[OPEN_PRICE]],"Gain","Loss")</f>
        <v>Loss</v>
      </c>
      <c r="O1257" t="str">
        <f>IF(Table1[[#This Row],[MARKET_CAP]]&gt;200000000000,"Large Cap",
IF(Table1[[#This Row],[MARKET_CAP]]&gt;50000000000,"Mid Cap","Small Cap"))</f>
        <v>Small Cap</v>
      </c>
      <c r="P1257" t="str">
        <f>IF(Table1[[#This Row],[NET_TRDQTY]]&gt;1000000,"High Volume","Low Volume")</f>
        <v>Low Volume</v>
      </c>
    </row>
    <row r="1258" spans="1:16" x14ac:dyDescent="0.3">
      <c r="A1258" t="s">
        <v>2521</v>
      </c>
      <c r="B1258" t="s">
        <v>2522</v>
      </c>
      <c r="C1258">
        <v>36.590000000000003</v>
      </c>
      <c r="D1258">
        <v>36.75</v>
      </c>
      <c r="E1258">
        <v>35.1</v>
      </c>
      <c r="F1258">
        <v>35.33</v>
      </c>
      <c r="G1258">
        <v>36.99</v>
      </c>
      <c r="H1258">
        <v>3329979</v>
      </c>
      <c r="I1258">
        <v>12319</v>
      </c>
      <c r="J1258">
        <v>19359204186</v>
      </c>
      <c r="K1258">
        <v>547953699</v>
      </c>
      <c r="L1258">
        <f>(Table1[[#This Row],[CLOSE_PRICE]] - Table1[[#This Row],[PREV_CL_PR]]) / Table1[[#This Row],[PREV_CL_PR]] * 100</f>
        <v>-4.4876993782103369</v>
      </c>
      <c r="M1258">
        <f>Table1[[#This Row],[HIGH_PRICE]]-Table1[[#This Row],[LOW_PRICE]]</f>
        <v>1.6499999999999986</v>
      </c>
      <c r="N1258" t="str">
        <f>IF(Table1[[#This Row],[CLOSE_PRICE]]&gt;Table1[[#This Row],[OPEN_PRICE]],"Gain","Loss")</f>
        <v>Loss</v>
      </c>
      <c r="O1258" t="str">
        <f>IF(Table1[[#This Row],[MARKET_CAP]]&gt;200000000000,"Large Cap",
IF(Table1[[#This Row],[MARKET_CAP]]&gt;50000000000,"Mid Cap","Small Cap"))</f>
        <v>Small Cap</v>
      </c>
      <c r="P1258" t="str">
        <f>IF(Table1[[#This Row],[NET_TRDQTY]]&gt;1000000,"High Volume","Low Volume")</f>
        <v>High Volume</v>
      </c>
    </row>
    <row r="1259" spans="1:16" x14ac:dyDescent="0.3">
      <c r="A1259" t="s">
        <v>2523</v>
      </c>
      <c r="B1259" t="s">
        <v>2524</v>
      </c>
      <c r="C1259">
        <v>163.5</v>
      </c>
      <c r="D1259">
        <v>163.6</v>
      </c>
      <c r="E1259">
        <v>156.43</v>
      </c>
      <c r="F1259">
        <v>157.06</v>
      </c>
      <c r="G1259">
        <v>165.72</v>
      </c>
      <c r="H1259">
        <v>1380857</v>
      </c>
      <c r="I1259">
        <v>19971</v>
      </c>
      <c r="J1259">
        <v>30264338550</v>
      </c>
      <c r="K1259">
        <v>192692847</v>
      </c>
      <c r="L1259">
        <f>(Table1[[#This Row],[CLOSE_PRICE]] - Table1[[#This Row],[PREV_CL_PR]]) / Table1[[#This Row],[PREV_CL_PR]] * 100</f>
        <v>-5.2256818730388588</v>
      </c>
      <c r="M1259">
        <f>Table1[[#This Row],[HIGH_PRICE]]-Table1[[#This Row],[LOW_PRICE]]</f>
        <v>7.1699999999999875</v>
      </c>
      <c r="N1259" t="str">
        <f>IF(Table1[[#This Row],[CLOSE_PRICE]]&gt;Table1[[#This Row],[OPEN_PRICE]],"Gain","Loss")</f>
        <v>Loss</v>
      </c>
      <c r="O1259" t="str">
        <f>IF(Table1[[#This Row],[MARKET_CAP]]&gt;200000000000,"Large Cap",
IF(Table1[[#This Row],[MARKET_CAP]]&gt;50000000000,"Mid Cap","Small Cap"))</f>
        <v>Small Cap</v>
      </c>
      <c r="P1259" t="str">
        <f>IF(Table1[[#This Row],[NET_TRDQTY]]&gt;1000000,"High Volume","Low Volume")</f>
        <v>High Volume</v>
      </c>
    </row>
    <row r="1260" spans="1:16" x14ac:dyDescent="0.3">
      <c r="A1260" t="s">
        <v>2525</v>
      </c>
      <c r="B1260" t="s">
        <v>2526</v>
      </c>
      <c r="C1260">
        <v>653</v>
      </c>
      <c r="D1260">
        <v>654.79999999999995</v>
      </c>
      <c r="E1260">
        <v>614.9</v>
      </c>
      <c r="F1260">
        <v>628.20000000000005</v>
      </c>
      <c r="G1260">
        <v>662.6</v>
      </c>
      <c r="H1260">
        <v>1147202</v>
      </c>
      <c r="I1260">
        <v>53016</v>
      </c>
      <c r="J1260">
        <v>377000000000</v>
      </c>
      <c r="K1260">
        <v>600781611</v>
      </c>
      <c r="L1260">
        <f>(Table1[[#This Row],[CLOSE_PRICE]] - Table1[[#This Row],[PREV_CL_PR]]) / Table1[[#This Row],[PREV_CL_PR]] * 100</f>
        <v>-5.1916691820102594</v>
      </c>
      <c r="M1260">
        <f>Table1[[#This Row],[HIGH_PRICE]]-Table1[[#This Row],[LOW_PRICE]]</f>
        <v>39.899999999999977</v>
      </c>
      <c r="N1260" t="str">
        <f>IF(Table1[[#This Row],[CLOSE_PRICE]]&gt;Table1[[#This Row],[OPEN_PRICE]],"Gain","Loss")</f>
        <v>Loss</v>
      </c>
      <c r="O1260" t="str">
        <f>IF(Table1[[#This Row],[MARKET_CAP]]&gt;200000000000,"Large Cap",
IF(Table1[[#This Row],[MARKET_CAP]]&gt;50000000000,"Mid Cap","Small Cap"))</f>
        <v>Large Cap</v>
      </c>
      <c r="P1260" t="str">
        <f>IF(Table1[[#This Row],[NET_TRDQTY]]&gt;1000000,"High Volume","Low Volume")</f>
        <v>High Volume</v>
      </c>
    </row>
    <row r="1261" spans="1:16" x14ac:dyDescent="0.3">
      <c r="A1261" t="s">
        <v>2527</v>
      </c>
      <c r="B1261" t="s">
        <v>2528</v>
      </c>
      <c r="C1261">
        <v>13.05</v>
      </c>
      <c r="D1261">
        <v>13.05</v>
      </c>
      <c r="E1261">
        <v>12.01</v>
      </c>
      <c r="F1261">
        <v>12.14</v>
      </c>
      <c r="G1261">
        <v>13.05</v>
      </c>
      <c r="H1261">
        <v>2386348</v>
      </c>
      <c r="I1261">
        <v>3626</v>
      </c>
      <c r="J1261">
        <v>11951344400</v>
      </c>
      <c r="K1261">
        <v>984460000</v>
      </c>
      <c r="L1261">
        <f>(Table1[[#This Row],[CLOSE_PRICE]] - Table1[[#This Row],[PREV_CL_PR]]) / Table1[[#This Row],[PREV_CL_PR]] * 100</f>
        <v>-6.9731800766283536</v>
      </c>
      <c r="M1261">
        <f>Table1[[#This Row],[HIGH_PRICE]]-Table1[[#This Row],[LOW_PRICE]]</f>
        <v>1.0400000000000009</v>
      </c>
      <c r="N1261" t="str">
        <f>IF(Table1[[#This Row],[CLOSE_PRICE]]&gt;Table1[[#This Row],[OPEN_PRICE]],"Gain","Loss")</f>
        <v>Loss</v>
      </c>
      <c r="O1261" t="str">
        <f>IF(Table1[[#This Row],[MARKET_CAP]]&gt;200000000000,"Large Cap",
IF(Table1[[#This Row],[MARKET_CAP]]&gt;50000000000,"Mid Cap","Small Cap"))</f>
        <v>Small Cap</v>
      </c>
      <c r="P1261" t="str">
        <f>IF(Table1[[#This Row],[NET_TRDQTY]]&gt;1000000,"High Volume","Low Volume")</f>
        <v>High Volume</v>
      </c>
    </row>
    <row r="1262" spans="1:16" x14ac:dyDescent="0.3">
      <c r="A1262" t="s">
        <v>2529</v>
      </c>
      <c r="B1262" t="s">
        <v>2530</v>
      </c>
      <c r="C1262">
        <v>20.77</v>
      </c>
      <c r="D1262">
        <v>20.77</v>
      </c>
      <c r="E1262">
        <v>19.32</v>
      </c>
      <c r="F1262">
        <v>19.75</v>
      </c>
      <c r="G1262">
        <v>20.09</v>
      </c>
      <c r="H1262">
        <v>16820</v>
      </c>
      <c r="I1262">
        <v>105</v>
      </c>
      <c r="J1262">
        <v>764862002.5</v>
      </c>
      <c r="K1262">
        <v>38727190</v>
      </c>
      <c r="L1262">
        <f>(Table1[[#This Row],[CLOSE_PRICE]] - Table1[[#This Row],[PREV_CL_PR]]) / Table1[[#This Row],[PREV_CL_PR]] * 100</f>
        <v>-1.6923842707814825</v>
      </c>
      <c r="M1262">
        <f>Table1[[#This Row],[HIGH_PRICE]]-Table1[[#This Row],[LOW_PRICE]]</f>
        <v>1.4499999999999993</v>
      </c>
      <c r="N1262" t="str">
        <f>IF(Table1[[#This Row],[CLOSE_PRICE]]&gt;Table1[[#This Row],[OPEN_PRICE]],"Gain","Loss")</f>
        <v>Loss</v>
      </c>
      <c r="O1262" t="str">
        <f>IF(Table1[[#This Row],[MARKET_CAP]]&gt;200000000000,"Large Cap",
IF(Table1[[#This Row],[MARKET_CAP]]&gt;50000000000,"Mid Cap","Small Cap"))</f>
        <v>Small Cap</v>
      </c>
      <c r="P1262" t="str">
        <f>IF(Table1[[#This Row],[NET_TRDQTY]]&gt;1000000,"High Volume","Low Volume")</f>
        <v>Low Volume</v>
      </c>
    </row>
    <row r="1263" spans="1:16" x14ac:dyDescent="0.3">
      <c r="A1263" t="s">
        <v>2531</v>
      </c>
      <c r="B1263" t="s">
        <v>2532</v>
      </c>
      <c r="C1263">
        <v>2079.9</v>
      </c>
      <c r="D1263">
        <v>2090.4</v>
      </c>
      <c r="E1263">
        <v>2039</v>
      </c>
      <c r="F1263">
        <v>2063.6</v>
      </c>
      <c r="G1263">
        <v>2091.1</v>
      </c>
      <c r="H1263">
        <v>471389</v>
      </c>
      <c r="I1263">
        <v>27786</v>
      </c>
      <c r="J1263">
        <v>393000000000</v>
      </c>
      <c r="K1263">
        <v>190557873</v>
      </c>
      <c r="L1263">
        <f>(Table1[[#This Row],[CLOSE_PRICE]] - Table1[[#This Row],[PREV_CL_PR]]) / Table1[[#This Row],[PREV_CL_PR]] * 100</f>
        <v>-1.315097317201473</v>
      </c>
      <c r="M1263">
        <f>Table1[[#This Row],[HIGH_PRICE]]-Table1[[#This Row],[LOW_PRICE]]</f>
        <v>51.400000000000091</v>
      </c>
      <c r="N1263" t="str">
        <f>IF(Table1[[#This Row],[CLOSE_PRICE]]&gt;Table1[[#This Row],[OPEN_PRICE]],"Gain","Loss")</f>
        <v>Loss</v>
      </c>
      <c r="O1263" t="str">
        <f>IF(Table1[[#This Row],[MARKET_CAP]]&gt;200000000000,"Large Cap",
IF(Table1[[#This Row],[MARKET_CAP]]&gt;50000000000,"Mid Cap","Small Cap"))</f>
        <v>Large Cap</v>
      </c>
      <c r="P1263" t="str">
        <f>IF(Table1[[#This Row],[NET_TRDQTY]]&gt;1000000,"High Volume","Low Volume")</f>
        <v>Low Volume</v>
      </c>
    </row>
    <row r="1264" spans="1:16" x14ac:dyDescent="0.3">
      <c r="A1264" t="s">
        <v>2533</v>
      </c>
      <c r="B1264" t="s">
        <v>2534</v>
      </c>
      <c r="C1264">
        <v>1480.6</v>
      </c>
      <c r="D1264">
        <v>1496</v>
      </c>
      <c r="E1264">
        <v>1432.7</v>
      </c>
      <c r="F1264">
        <v>1445.4</v>
      </c>
      <c r="G1264">
        <v>1506</v>
      </c>
      <c r="H1264">
        <v>38358</v>
      </c>
      <c r="I1264">
        <v>4625</v>
      </c>
      <c r="J1264">
        <v>24724746446</v>
      </c>
      <c r="K1264">
        <v>17105816</v>
      </c>
      <c r="L1264">
        <f>(Table1[[#This Row],[CLOSE_PRICE]] - Table1[[#This Row],[PREV_CL_PR]]) / Table1[[#This Row],[PREV_CL_PR]] * 100</f>
        <v>-4.0239043824701133</v>
      </c>
      <c r="M1264">
        <f>Table1[[#This Row],[HIGH_PRICE]]-Table1[[#This Row],[LOW_PRICE]]</f>
        <v>63.299999999999955</v>
      </c>
      <c r="N1264" t="str">
        <f>IF(Table1[[#This Row],[CLOSE_PRICE]]&gt;Table1[[#This Row],[OPEN_PRICE]],"Gain","Loss")</f>
        <v>Loss</v>
      </c>
      <c r="O1264" t="str">
        <f>IF(Table1[[#This Row],[MARKET_CAP]]&gt;200000000000,"Large Cap",
IF(Table1[[#This Row],[MARKET_CAP]]&gt;50000000000,"Mid Cap","Small Cap"))</f>
        <v>Small Cap</v>
      </c>
      <c r="P1264" t="str">
        <f>IF(Table1[[#This Row],[NET_TRDQTY]]&gt;1000000,"High Volume","Low Volume")</f>
        <v>Low Volume</v>
      </c>
    </row>
    <row r="1265" spans="1:16" x14ac:dyDescent="0.3">
      <c r="A1265" t="s">
        <v>2535</v>
      </c>
      <c r="B1265" t="s">
        <v>2536</v>
      </c>
      <c r="C1265">
        <v>127515</v>
      </c>
      <c r="D1265">
        <v>127515</v>
      </c>
      <c r="E1265">
        <v>123455</v>
      </c>
      <c r="F1265">
        <v>124975</v>
      </c>
      <c r="G1265">
        <v>127535</v>
      </c>
      <c r="H1265">
        <v>7960</v>
      </c>
      <c r="I1265">
        <v>6605</v>
      </c>
      <c r="J1265">
        <v>530000000000</v>
      </c>
      <c r="K1265">
        <v>4241143</v>
      </c>
      <c r="L1265">
        <f>(Table1[[#This Row],[CLOSE_PRICE]] - Table1[[#This Row],[PREV_CL_PR]]) / Table1[[#This Row],[PREV_CL_PR]] * 100</f>
        <v>-2.0072921158897561</v>
      </c>
      <c r="M1265">
        <f>Table1[[#This Row],[HIGH_PRICE]]-Table1[[#This Row],[LOW_PRICE]]</f>
        <v>4060</v>
      </c>
      <c r="N1265" t="str">
        <f>IF(Table1[[#This Row],[CLOSE_PRICE]]&gt;Table1[[#This Row],[OPEN_PRICE]],"Gain","Loss")</f>
        <v>Loss</v>
      </c>
      <c r="O1265" t="str">
        <f>IF(Table1[[#This Row],[MARKET_CAP]]&gt;200000000000,"Large Cap",
IF(Table1[[#This Row],[MARKET_CAP]]&gt;50000000000,"Mid Cap","Small Cap"))</f>
        <v>Large Cap</v>
      </c>
      <c r="P1265" t="str">
        <f>IF(Table1[[#This Row],[NET_TRDQTY]]&gt;1000000,"High Volume","Low Volume")</f>
        <v>Low Volume</v>
      </c>
    </row>
    <row r="1266" spans="1:16" x14ac:dyDescent="0.3">
      <c r="A1266" t="s">
        <v>2537</v>
      </c>
      <c r="B1266" t="s">
        <v>2537</v>
      </c>
      <c r="C1266">
        <v>191.14</v>
      </c>
      <c r="D1266">
        <v>195.64</v>
      </c>
      <c r="E1266">
        <v>181.15</v>
      </c>
      <c r="F1266">
        <v>183.15</v>
      </c>
      <c r="G1266">
        <v>191.19</v>
      </c>
      <c r="H1266">
        <v>19049656</v>
      </c>
      <c r="I1266">
        <v>110371</v>
      </c>
      <c r="J1266">
        <v>321000000000</v>
      </c>
      <c r="K1266">
        <v>1752598777</v>
      </c>
      <c r="L1266">
        <f>(Table1[[#This Row],[CLOSE_PRICE]] - Table1[[#This Row],[PREV_CL_PR]]) / Table1[[#This Row],[PREV_CL_PR]] * 100</f>
        <v>-4.2052408598776045</v>
      </c>
      <c r="M1266">
        <f>Table1[[#This Row],[HIGH_PRICE]]-Table1[[#This Row],[LOW_PRICE]]</f>
        <v>14.489999999999981</v>
      </c>
      <c r="N1266" t="str">
        <f>IF(Table1[[#This Row],[CLOSE_PRICE]]&gt;Table1[[#This Row],[OPEN_PRICE]],"Gain","Loss")</f>
        <v>Loss</v>
      </c>
      <c r="O1266" t="str">
        <f>IF(Table1[[#This Row],[MARKET_CAP]]&gt;200000000000,"Large Cap",
IF(Table1[[#This Row],[MARKET_CAP]]&gt;50000000000,"Mid Cap","Small Cap"))</f>
        <v>Large Cap</v>
      </c>
      <c r="P1266" t="str">
        <f>IF(Table1[[#This Row],[NET_TRDQTY]]&gt;1000000,"High Volume","Low Volume")</f>
        <v>High Volume</v>
      </c>
    </row>
    <row r="1267" spans="1:16" x14ac:dyDescent="0.3">
      <c r="A1267" t="s">
        <v>2538</v>
      </c>
      <c r="B1267" t="s">
        <v>2539</v>
      </c>
      <c r="C1267">
        <v>29.99</v>
      </c>
      <c r="D1267">
        <v>29.99</v>
      </c>
      <c r="E1267">
        <v>27.22</v>
      </c>
      <c r="F1267">
        <v>28.05</v>
      </c>
      <c r="G1267">
        <v>30.04</v>
      </c>
      <c r="H1267">
        <v>1139801</v>
      </c>
      <c r="I1267">
        <v>2873</v>
      </c>
      <c r="J1267">
        <v>15898645892</v>
      </c>
      <c r="K1267">
        <v>566796645</v>
      </c>
      <c r="L1267">
        <f>(Table1[[#This Row],[CLOSE_PRICE]] - Table1[[#This Row],[PREV_CL_PR]]) / Table1[[#This Row],[PREV_CL_PR]] * 100</f>
        <v>-6.6245006657789567</v>
      </c>
      <c r="M1267">
        <f>Table1[[#This Row],[HIGH_PRICE]]-Table1[[#This Row],[LOW_PRICE]]</f>
        <v>2.7699999999999996</v>
      </c>
      <c r="N1267" t="str">
        <f>IF(Table1[[#This Row],[CLOSE_PRICE]]&gt;Table1[[#This Row],[OPEN_PRICE]],"Gain","Loss")</f>
        <v>Loss</v>
      </c>
      <c r="O1267" t="str">
        <f>IF(Table1[[#This Row],[MARKET_CAP]]&gt;200000000000,"Large Cap",
IF(Table1[[#This Row],[MARKET_CAP]]&gt;50000000000,"Mid Cap","Small Cap"))</f>
        <v>Small Cap</v>
      </c>
      <c r="P1267" t="str">
        <f>IF(Table1[[#This Row],[NET_TRDQTY]]&gt;1000000,"High Volume","Low Volume")</f>
        <v>High Volume</v>
      </c>
    </row>
    <row r="1268" spans="1:16" x14ac:dyDescent="0.3">
      <c r="A1268" t="s">
        <v>2540</v>
      </c>
      <c r="B1268" t="s">
        <v>2541</v>
      </c>
      <c r="C1268">
        <v>415</v>
      </c>
      <c r="D1268">
        <v>415</v>
      </c>
      <c r="E1268">
        <v>382.25</v>
      </c>
      <c r="F1268">
        <v>391.45</v>
      </c>
      <c r="G1268">
        <v>415.65</v>
      </c>
      <c r="H1268">
        <v>239779</v>
      </c>
      <c r="I1268">
        <v>9269</v>
      </c>
      <c r="J1268">
        <v>27558080000</v>
      </c>
      <c r="K1268">
        <v>70400000</v>
      </c>
      <c r="L1268">
        <f>(Table1[[#This Row],[CLOSE_PRICE]] - Table1[[#This Row],[PREV_CL_PR]]) / Table1[[#This Row],[PREV_CL_PR]] * 100</f>
        <v>-5.8222061830867293</v>
      </c>
      <c r="M1268">
        <f>Table1[[#This Row],[HIGH_PRICE]]-Table1[[#This Row],[LOW_PRICE]]</f>
        <v>32.75</v>
      </c>
      <c r="N1268" t="str">
        <f>IF(Table1[[#This Row],[CLOSE_PRICE]]&gt;Table1[[#This Row],[OPEN_PRICE]],"Gain","Loss")</f>
        <v>Loss</v>
      </c>
      <c r="O1268" t="str">
        <f>IF(Table1[[#This Row],[MARKET_CAP]]&gt;200000000000,"Large Cap",
IF(Table1[[#This Row],[MARKET_CAP]]&gt;50000000000,"Mid Cap","Small Cap"))</f>
        <v>Small Cap</v>
      </c>
      <c r="P1268" t="str">
        <f>IF(Table1[[#This Row],[NET_TRDQTY]]&gt;1000000,"High Volume","Low Volume")</f>
        <v>Low Volume</v>
      </c>
    </row>
    <row r="1269" spans="1:16" x14ac:dyDescent="0.3">
      <c r="A1269" t="s">
        <v>2542</v>
      </c>
      <c r="B1269" t="s">
        <v>2543</v>
      </c>
      <c r="C1269">
        <v>36.89</v>
      </c>
      <c r="D1269">
        <v>36.89</v>
      </c>
      <c r="E1269">
        <v>35.700000000000003</v>
      </c>
      <c r="F1269">
        <v>35.89</v>
      </c>
      <c r="G1269">
        <v>36.979999999999997</v>
      </c>
      <c r="H1269">
        <v>17364254</v>
      </c>
      <c r="I1269">
        <v>64078</v>
      </c>
      <c r="J1269">
        <v>238000000000</v>
      </c>
      <c r="K1269">
        <v>6631661898</v>
      </c>
      <c r="L1269">
        <f>(Table1[[#This Row],[CLOSE_PRICE]] - Table1[[#This Row],[PREV_CL_PR]]) / Table1[[#This Row],[PREV_CL_PR]] * 100</f>
        <v>-2.9475392103839813</v>
      </c>
      <c r="M1269">
        <f>Table1[[#This Row],[HIGH_PRICE]]-Table1[[#This Row],[LOW_PRICE]]</f>
        <v>1.1899999999999977</v>
      </c>
      <c r="N1269" t="str">
        <f>IF(Table1[[#This Row],[CLOSE_PRICE]]&gt;Table1[[#This Row],[OPEN_PRICE]],"Gain","Loss")</f>
        <v>Loss</v>
      </c>
      <c r="O1269" t="str">
        <f>IF(Table1[[#This Row],[MARKET_CAP]]&gt;200000000000,"Large Cap",
IF(Table1[[#This Row],[MARKET_CAP]]&gt;50000000000,"Mid Cap","Small Cap"))</f>
        <v>Large Cap</v>
      </c>
      <c r="P1269" t="str">
        <f>IF(Table1[[#This Row],[NET_TRDQTY]]&gt;1000000,"High Volume","Low Volume")</f>
        <v>High Volume</v>
      </c>
    </row>
    <row r="1270" spans="1:16" x14ac:dyDescent="0.3">
      <c r="A1270" t="s">
        <v>2544</v>
      </c>
      <c r="B1270" t="s">
        <v>2545</v>
      </c>
      <c r="C1270">
        <v>3475</v>
      </c>
      <c r="D1270">
        <v>3501.8</v>
      </c>
      <c r="E1270">
        <v>3321.3</v>
      </c>
      <c r="F1270">
        <v>3372.2</v>
      </c>
      <c r="G1270">
        <v>3525.3</v>
      </c>
      <c r="H1270">
        <v>186291</v>
      </c>
      <c r="I1270">
        <v>25457</v>
      </c>
      <c r="J1270">
        <v>104000000000</v>
      </c>
      <c r="K1270">
        <v>30759591</v>
      </c>
      <c r="L1270">
        <f>(Table1[[#This Row],[CLOSE_PRICE]] - Table1[[#This Row],[PREV_CL_PR]]) / Table1[[#This Row],[PREV_CL_PR]] * 100</f>
        <v>-4.3428928034493621</v>
      </c>
      <c r="M1270">
        <f>Table1[[#This Row],[HIGH_PRICE]]-Table1[[#This Row],[LOW_PRICE]]</f>
        <v>180.5</v>
      </c>
      <c r="N1270" t="str">
        <f>IF(Table1[[#This Row],[CLOSE_PRICE]]&gt;Table1[[#This Row],[OPEN_PRICE]],"Gain","Loss")</f>
        <v>Loss</v>
      </c>
      <c r="O1270" t="str">
        <f>IF(Table1[[#This Row],[MARKET_CAP]]&gt;200000000000,"Large Cap",
IF(Table1[[#This Row],[MARKET_CAP]]&gt;50000000000,"Mid Cap","Small Cap"))</f>
        <v>Mid Cap</v>
      </c>
      <c r="P1270" t="str">
        <f>IF(Table1[[#This Row],[NET_TRDQTY]]&gt;1000000,"High Volume","Low Volume")</f>
        <v>Low Volume</v>
      </c>
    </row>
    <row r="1271" spans="1:16" x14ac:dyDescent="0.3">
      <c r="A1271" t="s">
        <v>2546</v>
      </c>
      <c r="B1271" t="s">
        <v>2547</v>
      </c>
      <c r="C1271">
        <v>24.3</v>
      </c>
      <c r="D1271">
        <v>24.36</v>
      </c>
      <c r="E1271">
        <v>23.04</v>
      </c>
      <c r="F1271">
        <v>23.25</v>
      </c>
      <c r="G1271">
        <v>24.75</v>
      </c>
      <c r="H1271">
        <v>1435249</v>
      </c>
      <c r="I1271">
        <v>5185</v>
      </c>
      <c r="J1271">
        <v>14647500000</v>
      </c>
      <c r="K1271">
        <v>630000000</v>
      </c>
      <c r="L1271">
        <f>(Table1[[#This Row],[CLOSE_PRICE]] - Table1[[#This Row],[PREV_CL_PR]]) / Table1[[#This Row],[PREV_CL_PR]] * 100</f>
        <v>-6.0606060606060606</v>
      </c>
      <c r="M1271">
        <f>Table1[[#This Row],[HIGH_PRICE]]-Table1[[#This Row],[LOW_PRICE]]</f>
        <v>1.3200000000000003</v>
      </c>
      <c r="N1271" t="str">
        <f>IF(Table1[[#This Row],[CLOSE_PRICE]]&gt;Table1[[#This Row],[OPEN_PRICE]],"Gain","Loss")</f>
        <v>Loss</v>
      </c>
      <c r="O1271" t="str">
        <f>IF(Table1[[#This Row],[MARKET_CAP]]&gt;200000000000,"Large Cap",
IF(Table1[[#This Row],[MARKET_CAP]]&gt;50000000000,"Mid Cap","Small Cap"))</f>
        <v>Small Cap</v>
      </c>
      <c r="P1271" t="str">
        <f>IF(Table1[[#This Row],[NET_TRDQTY]]&gt;1000000,"High Volume","Low Volume")</f>
        <v>High Volume</v>
      </c>
    </row>
    <row r="1272" spans="1:16" x14ac:dyDescent="0.3">
      <c r="A1272" t="s">
        <v>2548</v>
      </c>
      <c r="B1272" t="s">
        <v>2549</v>
      </c>
      <c r="C1272">
        <v>103</v>
      </c>
      <c r="D1272">
        <v>103.22</v>
      </c>
      <c r="E1272">
        <v>97</v>
      </c>
      <c r="F1272">
        <v>98.51</v>
      </c>
      <c r="G1272">
        <v>102.99</v>
      </c>
      <c r="H1272">
        <v>541998</v>
      </c>
      <c r="I1272">
        <v>3574</v>
      </c>
      <c r="J1272">
        <v>17065027480</v>
      </c>
      <c r="K1272">
        <v>173231423</v>
      </c>
      <c r="L1272">
        <f>(Table1[[#This Row],[CLOSE_PRICE]] - Table1[[#This Row],[PREV_CL_PR]]) / Table1[[#This Row],[PREV_CL_PR]] * 100</f>
        <v>-4.3499368870764057</v>
      </c>
      <c r="M1272">
        <f>Table1[[#This Row],[HIGH_PRICE]]-Table1[[#This Row],[LOW_PRICE]]</f>
        <v>6.2199999999999989</v>
      </c>
      <c r="N1272" t="str">
        <f>IF(Table1[[#This Row],[CLOSE_PRICE]]&gt;Table1[[#This Row],[OPEN_PRICE]],"Gain","Loss")</f>
        <v>Loss</v>
      </c>
      <c r="O1272" t="str">
        <f>IF(Table1[[#This Row],[MARKET_CAP]]&gt;200000000000,"Large Cap",
IF(Table1[[#This Row],[MARKET_CAP]]&gt;50000000000,"Mid Cap","Small Cap"))</f>
        <v>Small Cap</v>
      </c>
      <c r="P1272" t="str">
        <f>IF(Table1[[#This Row],[NET_TRDQTY]]&gt;1000000,"High Volume","Low Volume")</f>
        <v>Low Volume</v>
      </c>
    </row>
    <row r="1273" spans="1:16" x14ac:dyDescent="0.3">
      <c r="A1273" t="s">
        <v>2550</v>
      </c>
      <c r="B1273" t="s">
        <v>2551</v>
      </c>
      <c r="C1273">
        <v>74.5</v>
      </c>
      <c r="D1273">
        <v>74.540000000000006</v>
      </c>
      <c r="E1273">
        <v>72.05</v>
      </c>
      <c r="F1273">
        <v>72.48</v>
      </c>
      <c r="G1273">
        <v>74.61</v>
      </c>
      <c r="H1273">
        <v>157042</v>
      </c>
      <c r="I1273">
        <v>2133</v>
      </c>
      <c r="J1273">
        <v>4738025065</v>
      </c>
      <c r="K1273">
        <v>65370103</v>
      </c>
      <c r="L1273">
        <f>(Table1[[#This Row],[CLOSE_PRICE]] - Table1[[#This Row],[PREV_CL_PR]]) / Table1[[#This Row],[PREV_CL_PR]] * 100</f>
        <v>-2.8548451950140672</v>
      </c>
      <c r="M1273">
        <f>Table1[[#This Row],[HIGH_PRICE]]-Table1[[#This Row],[LOW_PRICE]]</f>
        <v>2.4900000000000091</v>
      </c>
      <c r="N1273" t="str">
        <f>IF(Table1[[#This Row],[CLOSE_PRICE]]&gt;Table1[[#This Row],[OPEN_PRICE]],"Gain","Loss")</f>
        <v>Loss</v>
      </c>
      <c r="O1273" t="str">
        <f>IF(Table1[[#This Row],[MARKET_CAP]]&gt;200000000000,"Large Cap",
IF(Table1[[#This Row],[MARKET_CAP]]&gt;50000000000,"Mid Cap","Small Cap"))</f>
        <v>Small Cap</v>
      </c>
      <c r="P1273" t="str">
        <f>IF(Table1[[#This Row],[NET_TRDQTY]]&gt;1000000,"High Volume","Low Volume")</f>
        <v>Low Volume</v>
      </c>
    </row>
    <row r="1274" spans="1:16" x14ac:dyDescent="0.3">
      <c r="A1274" t="s">
        <v>2552</v>
      </c>
      <c r="B1274" t="s">
        <v>2553</v>
      </c>
      <c r="C1274">
        <v>122.65</v>
      </c>
      <c r="D1274">
        <v>124.49</v>
      </c>
      <c r="E1274">
        <v>119.26</v>
      </c>
      <c r="F1274">
        <v>120.11</v>
      </c>
      <c r="G1274">
        <v>126.39</v>
      </c>
      <c r="H1274">
        <v>77893</v>
      </c>
      <c r="I1274">
        <v>1390</v>
      </c>
      <c r="J1274">
        <v>17355362072</v>
      </c>
      <c r="K1274">
        <v>144495563</v>
      </c>
      <c r="L1274">
        <f>(Table1[[#This Row],[CLOSE_PRICE]] - Table1[[#This Row],[PREV_CL_PR]]) / Table1[[#This Row],[PREV_CL_PR]] * 100</f>
        <v>-4.9687475274942647</v>
      </c>
      <c r="M1274">
        <f>Table1[[#This Row],[HIGH_PRICE]]-Table1[[#This Row],[LOW_PRICE]]</f>
        <v>5.2299999999999898</v>
      </c>
      <c r="N1274" t="str">
        <f>IF(Table1[[#This Row],[CLOSE_PRICE]]&gt;Table1[[#This Row],[OPEN_PRICE]],"Gain","Loss")</f>
        <v>Loss</v>
      </c>
      <c r="O1274" t="str">
        <f>IF(Table1[[#This Row],[MARKET_CAP]]&gt;200000000000,"Large Cap",
IF(Table1[[#This Row],[MARKET_CAP]]&gt;50000000000,"Mid Cap","Small Cap"))</f>
        <v>Small Cap</v>
      </c>
      <c r="P1274" t="str">
        <f>IF(Table1[[#This Row],[NET_TRDQTY]]&gt;1000000,"High Volume","Low Volume")</f>
        <v>Low Volume</v>
      </c>
    </row>
    <row r="1275" spans="1:16" x14ac:dyDescent="0.3">
      <c r="A1275" t="s">
        <v>2554</v>
      </c>
      <c r="B1275" t="s">
        <v>2555</v>
      </c>
      <c r="C1275">
        <v>21.2</v>
      </c>
      <c r="D1275">
        <v>21.32</v>
      </c>
      <c r="E1275">
        <v>20.16</v>
      </c>
      <c r="F1275">
        <v>20.32</v>
      </c>
      <c r="G1275">
        <v>21.13</v>
      </c>
      <c r="H1275">
        <v>369284</v>
      </c>
      <c r="I1275">
        <v>1923</v>
      </c>
      <c r="J1275">
        <v>6096000000</v>
      </c>
      <c r="K1275">
        <v>300000000</v>
      </c>
      <c r="L1275">
        <f>(Table1[[#This Row],[CLOSE_PRICE]] - Table1[[#This Row],[PREV_CL_PR]]) / Table1[[#This Row],[PREV_CL_PR]] * 100</f>
        <v>-3.8334122101277748</v>
      </c>
      <c r="M1275">
        <f>Table1[[#This Row],[HIGH_PRICE]]-Table1[[#This Row],[LOW_PRICE]]</f>
        <v>1.1600000000000001</v>
      </c>
      <c r="N1275" t="str">
        <f>IF(Table1[[#This Row],[CLOSE_PRICE]]&gt;Table1[[#This Row],[OPEN_PRICE]],"Gain","Loss")</f>
        <v>Loss</v>
      </c>
      <c r="O1275" t="str">
        <f>IF(Table1[[#This Row],[MARKET_CAP]]&gt;200000000000,"Large Cap",
IF(Table1[[#This Row],[MARKET_CAP]]&gt;50000000000,"Mid Cap","Small Cap"))</f>
        <v>Small Cap</v>
      </c>
      <c r="P1275" t="str">
        <f>IF(Table1[[#This Row],[NET_TRDQTY]]&gt;1000000,"High Volume","Low Volume")</f>
        <v>Low Volume</v>
      </c>
    </row>
    <row r="1276" spans="1:16" x14ac:dyDescent="0.3">
      <c r="A1276" t="s">
        <v>2556</v>
      </c>
      <c r="B1276" t="s">
        <v>2557</v>
      </c>
      <c r="C1276">
        <v>42.45</v>
      </c>
      <c r="D1276">
        <v>42.48</v>
      </c>
      <c r="E1276">
        <v>37.299999999999997</v>
      </c>
      <c r="F1276">
        <v>37.97</v>
      </c>
      <c r="G1276">
        <v>42.03</v>
      </c>
      <c r="H1276">
        <v>14527</v>
      </c>
      <c r="I1276">
        <v>319</v>
      </c>
      <c r="J1276">
        <v>857560044</v>
      </c>
      <c r="K1276">
        <v>22585200</v>
      </c>
      <c r="L1276">
        <f>(Table1[[#This Row],[CLOSE_PRICE]] - Table1[[#This Row],[PREV_CL_PR]]) / Table1[[#This Row],[PREV_CL_PR]] * 100</f>
        <v>-9.6597668332143751</v>
      </c>
      <c r="M1276">
        <f>Table1[[#This Row],[HIGH_PRICE]]-Table1[[#This Row],[LOW_PRICE]]</f>
        <v>5.18</v>
      </c>
      <c r="N1276" t="str">
        <f>IF(Table1[[#This Row],[CLOSE_PRICE]]&gt;Table1[[#This Row],[OPEN_PRICE]],"Gain","Loss")</f>
        <v>Loss</v>
      </c>
      <c r="O1276" t="str">
        <f>IF(Table1[[#This Row],[MARKET_CAP]]&gt;200000000000,"Large Cap",
IF(Table1[[#This Row],[MARKET_CAP]]&gt;50000000000,"Mid Cap","Small Cap"))</f>
        <v>Small Cap</v>
      </c>
      <c r="P1276" t="str">
        <f>IF(Table1[[#This Row],[NET_TRDQTY]]&gt;1000000,"High Volume","Low Volume")</f>
        <v>Low Volume</v>
      </c>
    </row>
    <row r="1277" spans="1:16" x14ac:dyDescent="0.3">
      <c r="A1277" t="s">
        <v>2558</v>
      </c>
      <c r="B1277" t="s">
        <v>2559</v>
      </c>
      <c r="C1277">
        <v>72.900000000000006</v>
      </c>
      <c r="D1277">
        <v>73.290000000000006</v>
      </c>
      <c r="E1277">
        <v>70.14</v>
      </c>
      <c r="F1277">
        <v>70.78</v>
      </c>
      <c r="G1277">
        <v>74.14</v>
      </c>
      <c r="H1277">
        <v>98865</v>
      </c>
      <c r="I1277">
        <v>1431</v>
      </c>
      <c r="J1277">
        <v>7078000000</v>
      </c>
      <c r="K1277">
        <v>100000000</v>
      </c>
      <c r="L1277">
        <f>(Table1[[#This Row],[CLOSE_PRICE]] - Table1[[#This Row],[PREV_CL_PR]]) / Table1[[#This Row],[PREV_CL_PR]] * 100</f>
        <v>-4.5319665497707033</v>
      </c>
      <c r="M1277">
        <f>Table1[[#This Row],[HIGH_PRICE]]-Table1[[#This Row],[LOW_PRICE]]</f>
        <v>3.1500000000000057</v>
      </c>
      <c r="N1277" t="str">
        <f>IF(Table1[[#This Row],[CLOSE_PRICE]]&gt;Table1[[#This Row],[OPEN_PRICE]],"Gain","Loss")</f>
        <v>Loss</v>
      </c>
      <c r="O1277" t="str">
        <f>IF(Table1[[#This Row],[MARKET_CAP]]&gt;200000000000,"Large Cap",
IF(Table1[[#This Row],[MARKET_CAP]]&gt;50000000000,"Mid Cap","Small Cap"))</f>
        <v>Small Cap</v>
      </c>
      <c r="P1277" t="str">
        <f>IF(Table1[[#This Row],[NET_TRDQTY]]&gt;1000000,"High Volume","Low Volume")</f>
        <v>Low Volume</v>
      </c>
    </row>
    <row r="1278" spans="1:16" x14ac:dyDescent="0.3">
      <c r="A1278" t="s">
        <v>2560</v>
      </c>
      <c r="B1278" t="s">
        <v>2561</v>
      </c>
      <c r="C1278">
        <v>120.47</v>
      </c>
      <c r="D1278">
        <v>120.47</v>
      </c>
      <c r="E1278">
        <v>115.75</v>
      </c>
      <c r="F1278">
        <v>117</v>
      </c>
      <c r="G1278">
        <v>120.46</v>
      </c>
      <c r="H1278">
        <v>40674</v>
      </c>
      <c r="I1278">
        <v>711</v>
      </c>
      <c r="J1278">
        <v>4679415000</v>
      </c>
      <c r="K1278">
        <v>39995000</v>
      </c>
      <c r="L1278">
        <f>(Table1[[#This Row],[CLOSE_PRICE]] - Table1[[#This Row],[PREV_CL_PR]]) / Table1[[#This Row],[PREV_CL_PR]] * 100</f>
        <v>-2.8723227627428143</v>
      </c>
      <c r="M1278">
        <f>Table1[[#This Row],[HIGH_PRICE]]-Table1[[#This Row],[LOW_PRICE]]</f>
        <v>4.7199999999999989</v>
      </c>
      <c r="N1278" t="str">
        <f>IF(Table1[[#This Row],[CLOSE_PRICE]]&gt;Table1[[#This Row],[OPEN_PRICE]],"Gain","Loss")</f>
        <v>Loss</v>
      </c>
      <c r="O1278" t="str">
        <f>IF(Table1[[#This Row],[MARKET_CAP]]&gt;200000000000,"Large Cap",
IF(Table1[[#This Row],[MARKET_CAP]]&gt;50000000000,"Mid Cap","Small Cap"))</f>
        <v>Small Cap</v>
      </c>
      <c r="P1278" t="str">
        <f>IF(Table1[[#This Row],[NET_TRDQTY]]&gt;1000000,"High Volume","Low Volume")</f>
        <v>Low Volume</v>
      </c>
    </row>
    <row r="1279" spans="1:16" x14ac:dyDescent="0.3">
      <c r="A1279" t="s">
        <v>2562</v>
      </c>
      <c r="B1279" t="s">
        <v>2563</v>
      </c>
      <c r="C1279">
        <v>29.25</v>
      </c>
      <c r="D1279">
        <v>29.88</v>
      </c>
      <c r="E1279">
        <v>28.01</v>
      </c>
      <c r="F1279">
        <v>28.3</v>
      </c>
      <c r="G1279">
        <v>29.39</v>
      </c>
      <c r="H1279">
        <v>54114</v>
      </c>
      <c r="I1279">
        <v>424</v>
      </c>
      <c r="J1279">
        <v>1713430858</v>
      </c>
      <c r="K1279">
        <v>60545260</v>
      </c>
      <c r="L1279">
        <f>(Table1[[#This Row],[CLOSE_PRICE]] - Table1[[#This Row],[PREV_CL_PR]]) / Table1[[#This Row],[PREV_CL_PR]] * 100</f>
        <v>-3.708744470908472</v>
      </c>
      <c r="M1279">
        <f>Table1[[#This Row],[HIGH_PRICE]]-Table1[[#This Row],[LOW_PRICE]]</f>
        <v>1.8699999999999974</v>
      </c>
      <c r="N1279" t="str">
        <f>IF(Table1[[#This Row],[CLOSE_PRICE]]&gt;Table1[[#This Row],[OPEN_PRICE]],"Gain","Loss")</f>
        <v>Loss</v>
      </c>
      <c r="O1279" t="str">
        <f>IF(Table1[[#This Row],[MARKET_CAP]]&gt;200000000000,"Large Cap",
IF(Table1[[#This Row],[MARKET_CAP]]&gt;50000000000,"Mid Cap","Small Cap"))</f>
        <v>Small Cap</v>
      </c>
      <c r="P1279" t="str">
        <f>IF(Table1[[#This Row],[NET_TRDQTY]]&gt;1000000,"High Volume","Low Volume")</f>
        <v>Low Volume</v>
      </c>
    </row>
    <row r="1280" spans="1:16" x14ac:dyDescent="0.3">
      <c r="A1280" t="s">
        <v>2564</v>
      </c>
      <c r="B1280" t="s">
        <v>2565</v>
      </c>
      <c r="C1280">
        <v>194.7</v>
      </c>
      <c r="D1280">
        <v>194.7</v>
      </c>
      <c r="E1280">
        <v>175.25</v>
      </c>
      <c r="F1280">
        <v>180.82</v>
      </c>
      <c r="G1280">
        <v>196.53</v>
      </c>
      <c r="H1280">
        <v>74156</v>
      </c>
      <c r="I1280">
        <v>2021</v>
      </c>
      <c r="J1280">
        <v>2974042917</v>
      </c>
      <c r="K1280">
        <v>16447533</v>
      </c>
      <c r="L1280">
        <f>(Table1[[#This Row],[CLOSE_PRICE]] - Table1[[#This Row],[PREV_CL_PR]]) / Table1[[#This Row],[PREV_CL_PR]] * 100</f>
        <v>-7.9936905307077835</v>
      </c>
      <c r="M1280">
        <f>Table1[[#This Row],[HIGH_PRICE]]-Table1[[#This Row],[LOW_PRICE]]</f>
        <v>19.449999999999989</v>
      </c>
      <c r="N1280" t="str">
        <f>IF(Table1[[#This Row],[CLOSE_PRICE]]&gt;Table1[[#This Row],[OPEN_PRICE]],"Gain","Loss")</f>
        <v>Loss</v>
      </c>
      <c r="O1280" t="str">
        <f>IF(Table1[[#This Row],[MARKET_CAP]]&gt;200000000000,"Large Cap",
IF(Table1[[#This Row],[MARKET_CAP]]&gt;50000000000,"Mid Cap","Small Cap"))</f>
        <v>Small Cap</v>
      </c>
      <c r="P1280" t="str">
        <f>IF(Table1[[#This Row],[NET_TRDQTY]]&gt;1000000,"High Volume","Low Volume")</f>
        <v>Low Volume</v>
      </c>
    </row>
    <row r="1281" spans="1:16" x14ac:dyDescent="0.3">
      <c r="A1281" t="s">
        <v>2566</v>
      </c>
      <c r="B1281" t="s">
        <v>2567</v>
      </c>
      <c r="C1281">
        <v>3190</v>
      </c>
      <c r="D1281">
        <v>3220.5</v>
      </c>
      <c r="E1281">
        <v>3042.1</v>
      </c>
      <c r="F1281">
        <v>3115.6</v>
      </c>
      <c r="G1281">
        <v>3315.9</v>
      </c>
      <c r="H1281">
        <v>2186867</v>
      </c>
      <c r="I1281">
        <v>107496</v>
      </c>
      <c r="J1281">
        <v>1250000000000</v>
      </c>
      <c r="K1281">
        <v>401468476</v>
      </c>
      <c r="L1281">
        <f>(Table1[[#This Row],[CLOSE_PRICE]] - Table1[[#This Row],[PREV_CL_PR]]) / Table1[[#This Row],[PREV_CL_PR]] * 100</f>
        <v>-6.0405922977170654</v>
      </c>
      <c r="M1281">
        <f>Table1[[#This Row],[HIGH_PRICE]]-Table1[[#This Row],[LOW_PRICE]]</f>
        <v>178.40000000000009</v>
      </c>
      <c r="N1281" t="str">
        <f>IF(Table1[[#This Row],[CLOSE_PRICE]]&gt;Table1[[#This Row],[OPEN_PRICE]],"Gain","Loss")</f>
        <v>Loss</v>
      </c>
      <c r="O1281" t="str">
        <f>IF(Table1[[#This Row],[MARKET_CAP]]&gt;200000000000,"Large Cap",
IF(Table1[[#This Row],[MARKET_CAP]]&gt;50000000000,"Mid Cap","Small Cap"))</f>
        <v>Large Cap</v>
      </c>
      <c r="P1281" t="str">
        <f>IF(Table1[[#This Row],[NET_TRDQTY]]&gt;1000000,"High Volume","Low Volume")</f>
        <v>High Volume</v>
      </c>
    </row>
    <row r="1282" spans="1:16" x14ac:dyDescent="0.3">
      <c r="A1282" t="s">
        <v>2568</v>
      </c>
      <c r="B1282" t="s">
        <v>2569</v>
      </c>
      <c r="C1282">
        <v>148.01</v>
      </c>
      <c r="D1282">
        <v>153.68</v>
      </c>
      <c r="E1282">
        <v>141.19999999999999</v>
      </c>
      <c r="F1282">
        <v>148.5</v>
      </c>
      <c r="G1282">
        <v>150.85</v>
      </c>
      <c r="H1282">
        <v>304551</v>
      </c>
      <c r="I1282">
        <v>5215</v>
      </c>
      <c r="J1282">
        <v>25318088136</v>
      </c>
      <c r="K1282">
        <v>170492176</v>
      </c>
      <c r="L1282">
        <f>(Table1[[#This Row],[CLOSE_PRICE]] - Table1[[#This Row],[PREV_CL_PR]]) / Table1[[#This Row],[PREV_CL_PR]] * 100</f>
        <v>-1.557838912827308</v>
      </c>
      <c r="M1282">
        <f>Table1[[#This Row],[HIGH_PRICE]]-Table1[[#This Row],[LOW_PRICE]]</f>
        <v>12.480000000000018</v>
      </c>
      <c r="N1282" t="str">
        <f>IF(Table1[[#This Row],[CLOSE_PRICE]]&gt;Table1[[#This Row],[OPEN_PRICE]],"Gain","Loss")</f>
        <v>Gain</v>
      </c>
      <c r="O1282" t="str">
        <f>IF(Table1[[#This Row],[MARKET_CAP]]&gt;200000000000,"Large Cap",
IF(Table1[[#This Row],[MARKET_CAP]]&gt;50000000000,"Mid Cap","Small Cap"))</f>
        <v>Small Cap</v>
      </c>
      <c r="P1282" t="str">
        <f>IF(Table1[[#This Row],[NET_TRDQTY]]&gt;1000000,"High Volume","Low Volume")</f>
        <v>Low Volume</v>
      </c>
    </row>
    <row r="1283" spans="1:16" x14ac:dyDescent="0.3">
      <c r="A1283" t="s">
        <v>2570</v>
      </c>
      <c r="B1283" t="s">
        <v>2571</v>
      </c>
      <c r="C1283">
        <v>141.9</v>
      </c>
      <c r="D1283">
        <v>141.9</v>
      </c>
      <c r="E1283">
        <v>136.81</v>
      </c>
      <c r="F1283">
        <v>140.36000000000001</v>
      </c>
      <c r="G1283">
        <v>143.18</v>
      </c>
      <c r="H1283">
        <v>111465</v>
      </c>
      <c r="I1283">
        <v>2246</v>
      </c>
      <c r="J1283">
        <v>6856226819</v>
      </c>
      <c r="K1283">
        <v>48847441</v>
      </c>
      <c r="L1283">
        <f>(Table1[[#This Row],[CLOSE_PRICE]] - Table1[[#This Row],[PREV_CL_PR]]) / Table1[[#This Row],[PREV_CL_PR]] * 100</f>
        <v>-1.9695488196675464</v>
      </c>
      <c r="M1283">
        <f>Table1[[#This Row],[HIGH_PRICE]]-Table1[[#This Row],[LOW_PRICE]]</f>
        <v>5.0900000000000034</v>
      </c>
      <c r="N1283" t="str">
        <f>IF(Table1[[#This Row],[CLOSE_PRICE]]&gt;Table1[[#This Row],[OPEN_PRICE]],"Gain","Loss")</f>
        <v>Loss</v>
      </c>
      <c r="O1283" t="str">
        <f>IF(Table1[[#This Row],[MARKET_CAP]]&gt;200000000000,"Large Cap",
IF(Table1[[#This Row],[MARKET_CAP]]&gt;50000000000,"Mid Cap","Small Cap"))</f>
        <v>Small Cap</v>
      </c>
      <c r="P1283" t="str">
        <f>IF(Table1[[#This Row],[NET_TRDQTY]]&gt;1000000,"High Volume","Low Volume")</f>
        <v>Low Volume</v>
      </c>
    </row>
    <row r="1284" spans="1:16" x14ac:dyDescent="0.3">
      <c r="A1284" t="s">
        <v>2572</v>
      </c>
      <c r="B1284" t="s">
        <v>2573</v>
      </c>
      <c r="C1284">
        <v>260.85000000000002</v>
      </c>
      <c r="D1284">
        <v>260.85000000000002</v>
      </c>
      <c r="E1284">
        <v>246</v>
      </c>
      <c r="F1284">
        <v>252.05</v>
      </c>
      <c r="G1284">
        <v>265.64999999999998</v>
      </c>
      <c r="H1284">
        <v>92881</v>
      </c>
      <c r="I1284">
        <v>1928</v>
      </c>
      <c r="J1284">
        <v>7486054882</v>
      </c>
      <c r="K1284">
        <v>29700674</v>
      </c>
      <c r="L1284">
        <f>(Table1[[#This Row],[CLOSE_PRICE]] - Table1[[#This Row],[PREV_CL_PR]]) / Table1[[#This Row],[PREV_CL_PR]] * 100</f>
        <v>-5.1195181629964113</v>
      </c>
      <c r="M1284">
        <f>Table1[[#This Row],[HIGH_PRICE]]-Table1[[#This Row],[LOW_PRICE]]</f>
        <v>14.850000000000023</v>
      </c>
      <c r="N1284" t="str">
        <f>IF(Table1[[#This Row],[CLOSE_PRICE]]&gt;Table1[[#This Row],[OPEN_PRICE]],"Gain","Loss")</f>
        <v>Loss</v>
      </c>
      <c r="O1284" t="str">
        <f>IF(Table1[[#This Row],[MARKET_CAP]]&gt;200000000000,"Large Cap",
IF(Table1[[#This Row],[MARKET_CAP]]&gt;50000000000,"Mid Cap","Small Cap"))</f>
        <v>Small Cap</v>
      </c>
      <c r="P1284" t="str">
        <f>IF(Table1[[#This Row],[NET_TRDQTY]]&gt;1000000,"High Volume","Low Volume")</f>
        <v>Low Volume</v>
      </c>
    </row>
    <row r="1285" spans="1:16" x14ac:dyDescent="0.3">
      <c r="A1285" t="s">
        <v>2574</v>
      </c>
      <c r="B1285" t="s">
        <v>2575</v>
      </c>
      <c r="C1285">
        <v>133.25</v>
      </c>
      <c r="D1285">
        <v>137</v>
      </c>
      <c r="E1285">
        <v>131.1</v>
      </c>
      <c r="F1285">
        <v>131.1</v>
      </c>
      <c r="G1285">
        <v>137.99</v>
      </c>
      <c r="H1285">
        <v>130363</v>
      </c>
      <c r="I1285">
        <v>1069</v>
      </c>
      <c r="J1285">
        <v>30679147694</v>
      </c>
      <c r="K1285">
        <v>234013331</v>
      </c>
      <c r="L1285">
        <f>(Table1[[#This Row],[CLOSE_PRICE]] - Table1[[#This Row],[PREV_CL_PR]]) / Table1[[#This Row],[PREV_CL_PR]] * 100</f>
        <v>-4.9931154431480644</v>
      </c>
      <c r="M1285">
        <f>Table1[[#This Row],[HIGH_PRICE]]-Table1[[#This Row],[LOW_PRICE]]</f>
        <v>5.9000000000000057</v>
      </c>
      <c r="N1285" t="str">
        <f>IF(Table1[[#This Row],[CLOSE_PRICE]]&gt;Table1[[#This Row],[OPEN_PRICE]],"Gain","Loss")</f>
        <v>Loss</v>
      </c>
      <c r="O1285" t="str">
        <f>IF(Table1[[#This Row],[MARKET_CAP]]&gt;200000000000,"Large Cap",
IF(Table1[[#This Row],[MARKET_CAP]]&gt;50000000000,"Mid Cap","Small Cap"))</f>
        <v>Small Cap</v>
      </c>
      <c r="P1285" t="str">
        <f>IF(Table1[[#This Row],[NET_TRDQTY]]&gt;1000000,"High Volume","Low Volume")</f>
        <v>Low Volume</v>
      </c>
    </row>
    <row r="1286" spans="1:16" x14ac:dyDescent="0.3">
      <c r="A1286" t="s">
        <v>2576</v>
      </c>
      <c r="B1286" t="s">
        <v>2577</v>
      </c>
      <c r="C1286">
        <v>3.99</v>
      </c>
      <c r="D1286">
        <v>3.99</v>
      </c>
      <c r="E1286">
        <v>3.82</v>
      </c>
      <c r="F1286">
        <v>3.84</v>
      </c>
      <c r="G1286">
        <v>3.97</v>
      </c>
      <c r="H1286">
        <v>804541</v>
      </c>
      <c r="I1286">
        <v>971</v>
      </c>
      <c r="J1286">
        <v>2296569612</v>
      </c>
      <c r="K1286">
        <v>598065003</v>
      </c>
      <c r="L1286">
        <f>(Table1[[#This Row],[CLOSE_PRICE]] - Table1[[#This Row],[PREV_CL_PR]]) / Table1[[#This Row],[PREV_CL_PR]] * 100</f>
        <v>-3.2745591939546683</v>
      </c>
      <c r="M1286">
        <f>Table1[[#This Row],[HIGH_PRICE]]-Table1[[#This Row],[LOW_PRICE]]</f>
        <v>0.17000000000000037</v>
      </c>
      <c r="N1286" t="str">
        <f>IF(Table1[[#This Row],[CLOSE_PRICE]]&gt;Table1[[#This Row],[OPEN_PRICE]],"Gain","Loss")</f>
        <v>Loss</v>
      </c>
      <c r="O1286" t="str">
        <f>IF(Table1[[#This Row],[MARKET_CAP]]&gt;200000000000,"Large Cap",
IF(Table1[[#This Row],[MARKET_CAP]]&gt;50000000000,"Mid Cap","Small Cap"))</f>
        <v>Small Cap</v>
      </c>
      <c r="P1286" t="str">
        <f>IF(Table1[[#This Row],[NET_TRDQTY]]&gt;1000000,"High Volume","Low Volume")</f>
        <v>Low Volume</v>
      </c>
    </row>
    <row r="1287" spans="1:16" x14ac:dyDescent="0.3">
      <c r="A1287" t="s">
        <v>2578</v>
      </c>
      <c r="B1287" t="s">
        <v>2579</v>
      </c>
      <c r="C1287">
        <v>23</v>
      </c>
      <c r="D1287">
        <v>23.97</v>
      </c>
      <c r="E1287">
        <v>21.53</v>
      </c>
      <c r="F1287">
        <v>22.1</v>
      </c>
      <c r="G1287">
        <v>22.96</v>
      </c>
      <c r="H1287">
        <v>9986</v>
      </c>
      <c r="I1287">
        <v>166</v>
      </c>
      <c r="J1287">
        <v>278798130</v>
      </c>
      <c r="K1287">
        <v>12615300</v>
      </c>
      <c r="L1287">
        <f>(Table1[[#This Row],[CLOSE_PRICE]] - Table1[[#This Row],[PREV_CL_PR]]) / Table1[[#This Row],[PREV_CL_PR]] * 100</f>
        <v>-3.7456445993031338</v>
      </c>
      <c r="M1287">
        <f>Table1[[#This Row],[HIGH_PRICE]]-Table1[[#This Row],[LOW_PRICE]]</f>
        <v>2.4399999999999977</v>
      </c>
      <c r="N1287" t="str">
        <f>IF(Table1[[#This Row],[CLOSE_PRICE]]&gt;Table1[[#This Row],[OPEN_PRICE]],"Gain","Loss")</f>
        <v>Loss</v>
      </c>
      <c r="O1287" t="str">
        <f>IF(Table1[[#This Row],[MARKET_CAP]]&gt;200000000000,"Large Cap",
IF(Table1[[#This Row],[MARKET_CAP]]&gt;50000000000,"Mid Cap","Small Cap"))</f>
        <v>Small Cap</v>
      </c>
      <c r="P1287" t="str">
        <f>IF(Table1[[#This Row],[NET_TRDQTY]]&gt;1000000,"High Volume","Low Volume")</f>
        <v>Low Volume</v>
      </c>
    </row>
    <row r="1288" spans="1:16" x14ac:dyDescent="0.3">
      <c r="A1288" t="s">
        <v>2580</v>
      </c>
      <c r="B1288" t="s">
        <v>2581</v>
      </c>
      <c r="C1288">
        <v>21.24</v>
      </c>
      <c r="D1288">
        <v>22.4</v>
      </c>
      <c r="E1288">
        <v>20.29</v>
      </c>
      <c r="F1288">
        <v>20.41</v>
      </c>
      <c r="G1288">
        <v>21.34</v>
      </c>
      <c r="H1288">
        <v>9162</v>
      </c>
      <c r="I1288">
        <v>183</v>
      </c>
      <c r="J1288">
        <v>637797192.5</v>
      </c>
      <c r="K1288">
        <v>31249250</v>
      </c>
      <c r="L1288">
        <f>(Table1[[#This Row],[CLOSE_PRICE]] - Table1[[#This Row],[PREV_CL_PR]]) / Table1[[#This Row],[PREV_CL_PR]] * 100</f>
        <v>-4.3580131208997175</v>
      </c>
      <c r="M1288">
        <f>Table1[[#This Row],[HIGH_PRICE]]-Table1[[#This Row],[LOW_PRICE]]</f>
        <v>2.1099999999999994</v>
      </c>
      <c r="N1288" t="str">
        <f>IF(Table1[[#This Row],[CLOSE_PRICE]]&gt;Table1[[#This Row],[OPEN_PRICE]],"Gain","Loss")</f>
        <v>Loss</v>
      </c>
      <c r="O1288" t="str">
        <f>IF(Table1[[#This Row],[MARKET_CAP]]&gt;200000000000,"Large Cap",
IF(Table1[[#This Row],[MARKET_CAP]]&gt;50000000000,"Mid Cap","Small Cap"))</f>
        <v>Small Cap</v>
      </c>
      <c r="P1288" t="str">
        <f>IF(Table1[[#This Row],[NET_TRDQTY]]&gt;1000000,"High Volume","Low Volume")</f>
        <v>Low Volume</v>
      </c>
    </row>
    <row r="1289" spans="1:16" x14ac:dyDescent="0.3">
      <c r="A1289" t="s">
        <v>2582</v>
      </c>
      <c r="B1289" t="s">
        <v>2583</v>
      </c>
      <c r="C1289">
        <v>239</v>
      </c>
      <c r="D1289">
        <v>239</v>
      </c>
      <c r="E1289">
        <v>209.01</v>
      </c>
      <c r="F1289">
        <v>210.01</v>
      </c>
      <c r="G1289">
        <v>225.85</v>
      </c>
      <c r="H1289">
        <v>46794</v>
      </c>
      <c r="I1289">
        <v>2306</v>
      </c>
      <c r="J1289">
        <v>3516862532</v>
      </c>
      <c r="K1289">
        <v>16746167</v>
      </c>
      <c r="L1289">
        <f>(Table1[[#This Row],[CLOSE_PRICE]] - Table1[[#This Row],[PREV_CL_PR]]) / Table1[[#This Row],[PREV_CL_PR]] * 100</f>
        <v>-7.0135045384104506</v>
      </c>
      <c r="M1289">
        <f>Table1[[#This Row],[HIGH_PRICE]]-Table1[[#This Row],[LOW_PRICE]]</f>
        <v>29.990000000000009</v>
      </c>
      <c r="N1289" t="str">
        <f>IF(Table1[[#This Row],[CLOSE_PRICE]]&gt;Table1[[#This Row],[OPEN_PRICE]],"Gain","Loss")</f>
        <v>Loss</v>
      </c>
      <c r="O1289" t="str">
        <f>IF(Table1[[#This Row],[MARKET_CAP]]&gt;200000000000,"Large Cap",
IF(Table1[[#This Row],[MARKET_CAP]]&gt;50000000000,"Mid Cap","Small Cap"))</f>
        <v>Small Cap</v>
      </c>
      <c r="P1289" t="str">
        <f>IF(Table1[[#This Row],[NET_TRDQTY]]&gt;1000000,"High Volume","Low Volume")</f>
        <v>Low Volume</v>
      </c>
    </row>
    <row r="1290" spans="1:16" x14ac:dyDescent="0.3">
      <c r="A1290" t="s">
        <v>2584</v>
      </c>
      <c r="B1290" t="s">
        <v>2585</v>
      </c>
      <c r="C1290">
        <v>89.25</v>
      </c>
      <c r="D1290">
        <v>89.68</v>
      </c>
      <c r="E1290">
        <v>86.15</v>
      </c>
      <c r="F1290">
        <v>86.99</v>
      </c>
      <c r="G1290">
        <v>89.93</v>
      </c>
      <c r="H1290">
        <v>14769</v>
      </c>
      <c r="I1290">
        <v>405</v>
      </c>
      <c r="J1290">
        <v>3758453491</v>
      </c>
      <c r="K1290">
        <v>43205581</v>
      </c>
      <c r="L1290">
        <f>(Table1[[#This Row],[CLOSE_PRICE]] - Table1[[#This Row],[PREV_CL_PR]]) / Table1[[#This Row],[PREV_CL_PR]] * 100</f>
        <v>-3.269209385077295</v>
      </c>
      <c r="M1290">
        <f>Table1[[#This Row],[HIGH_PRICE]]-Table1[[#This Row],[LOW_PRICE]]</f>
        <v>3.5300000000000011</v>
      </c>
      <c r="N1290" t="str">
        <f>IF(Table1[[#This Row],[CLOSE_PRICE]]&gt;Table1[[#This Row],[OPEN_PRICE]],"Gain","Loss")</f>
        <v>Loss</v>
      </c>
      <c r="O1290" t="str">
        <f>IF(Table1[[#This Row],[MARKET_CAP]]&gt;200000000000,"Large Cap",
IF(Table1[[#This Row],[MARKET_CAP]]&gt;50000000000,"Mid Cap","Small Cap"))</f>
        <v>Small Cap</v>
      </c>
      <c r="P1290" t="str">
        <f>IF(Table1[[#This Row],[NET_TRDQTY]]&gt;1000000,"High Volume","Low Volume")</f>
        <v>Low Volume</v>
      </c>
    </row>
    <row r="1291" spans="1:16" x14ac:dyDescent="0.3">
      <c r="A1291" t="s">
        <v>2586</v>
      </c>
      <c r="B1291" t="s">
        <v>2587</v>
      </c>
      <c r="C1291">
        <v>235</v>
      </c>
      <c r="D1291">
        <v>235</v>
      </c>
      <c r="E1291">
        <v>220.06</v>
      </c>
      <c r="F1291">
        <v>223.64</v>
      </c>
      <c r="G1291">
        <v>237.53</v>
      </c>
      <c r="H1291">
        <v>12249</v>
      </c>
      <c r="I1291">
        <v>967</v>
      </c>
      <c r="J1291">
        <v>5498858307</v>
      </c>
      <c r="K1291">
        <v>24587991</v>
      </c>
      <c r="L1291">
        <f>(Table1[[#This Row],[CLOSE_PRICE]] - Table1[[#This Row],[PREV_CL_PR]]) / Table1[[#This Row],[PREV_CL_PR]] * 100</f>
        <v>-5.8476823980128882</v>
      </c>
      <c r="M1291">
        <f>Table1[[#This Row],[HIGH_PRICE]]-Table1[[#This Row],[LOW_PRICE]]</f>
        <v>14.939999999999998</v>
      </c>
      <c r="N1291" t="str">
        <f>IF(Table1[[#This Row],[CLOSE_PRICE]]&gt;Table1[[#This Row],[OPEN_PRICE]],"Gain","Loss")</f>
        <v>Loss</v>
      </c>
      <c r="O1291" t="str">
        <f>IF(Table1[[#This Row],[MARKET_CAP]]&gt;200000000000,"Large Cap",
IF(Table1[[#This Row],[MARKET_CAP]]&gt;50000000000,"Mid Cap","Small Cap"))</f>
        <v>Small Cap</v>
      </c>
      <c r="P1291" t="str">
        <f>IF(Table1[[#This Row],[NET_TRDQTY]]&gt;1000000,"High Volume","Low Volume")</f>
        <v>Low Volume</v>
      </c>
    </row>
    <row r="1292" spans="1:16" x14ac:dyDescent="0.3">
      <c r="A1292" t="s">
        <v>2588</v>
      </c>
      <c r="B1292" t="s">
        <v>2589</v>
      </c>
      <c r="C1292">
        <v>211</v>
      </c>
      <c r="D1292">
        <v>211</v>
      </c>
      <c r="E1292">
        <v>201.43</v>
      </c>
      <c r="F1292">
        <v>202.05</v>
      </c>
      <c r="G1292">
        <v>210.54</v>
      </c>
      <c r="H1292">
        <v>41165</v>
      </c>
      <c r="I1292">
        <v>905</v>
      </c>
      <c r="J1292">
        <v>7286994471</v>
      </c>
      <c r="K1292">
        <v>36065303</v>
      </c>
      <c r="L1292">
        <f>(Table1[[#This Row],[CLOSE_PRICE]] - Table1[[#This Row],[PREV_CL_PR]]) / Table1[[#This Row],[PREV_CL_PR]] * 100</f>
        <v>-4.0324878882872524</v>
      </c>
      <c r="M1292">
        <f>Table1[[#This Row],[HIGH_PRICE]]-Table1[[#This Row],[LOW_PRICE]]</f>
        <v>9.5699999999999932</v>
      </c>
      <c r="N1292" t="str">
        <f>IF(Table1[[#This Row],[CLOSE_PRICE]]&gt;Table1[[#This Row],[OPEN_PRICE]],"Gain","Loss")</f>
        <v>Loss</v>
      </c>
      <c r="O1292" t="str">
        <f>IF(Table1[[#This Row],[MARKET_CAP]]&gt;200000000000,"Large Cap",
IF(Table1[[#This Row],[MARKET_CAP]]&gt;50000000000,"Mid Cap","Small Cap"))</f>
        <v>Small Cap</v>
      </c>
      <c r="P1292" t="str">
        <f>IF(Table1[[#This Row],[NET_TRDQTY]]&gt;1000000,"High Volume","Low Volume")</f>
        <v>Low Volume</v>
      </c>
    </row>
    <row r="1293" spans="1:16" x14ac:dyDescent="0.3">
      <c r="A1293" t="s">
        <v>2590</v>
      </c>
      <c r="B1293" t="s">
        <v>2591</v>
      </c>
      <c r="C1293">
        <v>823</v>
      </c>
      <c r="D1293">
        <v>828.9</v>
      </c>
      <c r="E1293">
        <v>805.1</v>
      </c>
      <c r="F1293">
        <v>817.2</v>
      </c>
      <c r="G1293">
        <v>838.9</v>
      </c>
      <c r="H1293">
        <v>976724</v>
      </c>
      <c r="I1293">
        <v>54240</v>
      </c>
      <c r="J1293">
        <v>521000000000</v>
      </c>
      <c r="K1293">
        <v>637034489</v>
      </c>
      <c r="L1293">
        <f>(Table1[[#This Row],[CLOSE_PRICE]] - Table1[[#This Row],[PREV_CL_PR]]) / Table1[[#This Row],[PREV_CL_PR]] * 100</f>
        <v>-2.5867207056860093</v>
      </c>
      <c r="M1293">
        <f>Table1[[#This Row],[HIGH_PRICE]]-Table1[[#This Row],[LOW_PRICE]]</f>
        <v>23.799999999999955</v>
      </c>
      <c r="N1293" t="str">
        <f>IF(Table1[[#This Row],[CLOSE_PRICE]]&gt;Table1[[#This Row],[OPEN_PRICE]],"Gain","Loss")</f>
        <v>Loss</v>
      </c>
      <c r="O1293" t="str">
        <f>IF(Table1[[#This Row],[MARKET_CAP]]&gt;200000000000,"Large Cap",
IF(Table1[[#This Row],[MARKET_CAP]]&gt;50000000000,"Mid Cap","Small Cap"))</f>
        <v>Large Cap</v>
      </c>
      <c r="P1293" t="str">
        <f>IF(Table1[[#This Row],[NET_TRDQTY]]&gt;1000000,"High Volume","Low Volume")</f>
        <v>Low Volume</v>
      </c>
    </row>
    <row r="1294" spans="1:16" x14ac:dyDescent="0.3">
      <c r="A1294" t="s">
        <v>2592</v>
      </c>
      <c r="B1294" t="s">
        <v>2593</v>
      </c>
      <c r="C1294">
        <v>32.200000000000003</v>
      </c>
      <c r="D1294">
        <v>32.5</v>
      </c>
      <c r="E1294">
        <v>30.06</v>
      </c>
      <c r="F1294">
        <v>31.15</v>
      </c>
      <c r="G1294">
        <v>32.5</v>
      </c>
      <c r="H1294">
        <v>154284</v>
      </c>
      <c r="I1294">
        <v>975</v>
      </c>
      <c r="J1294">
        <v>1181718829</v>
      </c>
      <c r="K1294">
        <v>37936399</v>
      </c>
      <c r="L1294">
        <f>(Table1[[#This Row],[CLOSE_PRICE]] - Table1[[#This Row],[PREV_CL_PR]]) / Table1[[#This Row],[PREV_CL_PR]] * 100</f>
        <v>-4.1538461538461577</v>
      </c>
      <c r="M1294">
        <f>Table1[[#This Row],[HIGH_PRICE]]-Table1[[#This Row],[LOW_PRICE]]</f>
        <v>2.4400000000000013</v>
      </c>
      <c r="N1294" t="str">
        <f>IF(Table1[[#This Row],[CLOSE_PRICE]]&gt;Table1[[#This Row],[OPEN_PRICE]],"Gain","Loss")</f>
        <v>Loss</v>
      </c>
      <c r="O1294" t="str">
        <f>IF(Table1[[#This Row],[MARKET_CAP]]&gt;200000000000,"Large Cap",
IF(Table1[[#This Row],[MARKET_CAP]]&gt;50000000000,"Mid Cap","Small Cap"))</f>
        <v>Small Cap</v>
      </c>
      <c r="P1294" t="str">
        <f>IF(Table1[[#This Row],[NET_TRDQTY]]&gt;1000000,"High Volume","Low Volume")</f>
        <v>Low Volume</v>
      </c>
    </row>
    <row r="1295" spans="1:16" x14ac:dyDescent="0.3">
      <c r="A1295" t="s">
        <v>2594</v>
      </c>
      <c r="B1295" t="s">
        <v>2595</v>
      </c>
      <c r="C1295">
        <v>140.36000000000001</v>
      </c>
      <c r="D1295">
        <v>148.30000000000001</v>
      </c>
      <c r="E1295">
        <v>140.36000000000001</v>
      </c>
      <c r="F1295">
        <v>147.51</v>
      </c>
      <c r="G1295">
        <v>145.41</v>
      </c>
      <c r="H1295">
        <v>4478</v>
      </c>
      <c r="I1295">
        <v>113</v>
      </c>
      <c r="J1295">
        <v>1525423627</v>
      </c>
      <c r="K1295">
        <v>10341154</v>
      </c>
      <c r="L1295">
        <f>(Table1[[#This Row],[CLOSE_PRICE]] - Table1[[#This Row],[PREV_CL_PR]]) / Table1[[#This Row],[PREV_CL_PR]] * 100</f>
        <v>1.4441922838869365</v>
      </c>
      <c r="M1295">
        <f>Table1[[#This Row],[HIGH_PRICE]]-Table1[[#This Row],[LOW_PRICE]]</f>
        <v>7.9399999999999977</v>
      </c>
      <c r="N1295" t="str">
        <f>IF(Table1[[#This Row],[CLOSE_PRICE]]&gt;Table1[[#This Row],[OPEN_PRICE]],"Gain","Loss")</f>
        <v>Gain</v>
      </c>
      <c r="O1295" t="str">
        <f>IF(Table1[[#This Row],[MARKET_CAP]]&gt;200000000000,"Large Cap",
IF(Table1[[#This Row],[MARKET_CAP]]&gt;50000000000,"Mid Cap","Small Cap"))</f>
        <v>Small Cap</v>
      </c>
      <c r="P1295" t="str">
        <f>IF(Table1[[#This Row],[NET_TRDQTY]]&gt;1000000,"High Volume","Low Volume")</f>
        <v>Low Volume</v>
      </c>
    </row>
    <row r="1296" spans="1:16" x14ac:dyDescent="0.3">
      <c r="A1296" t="s">
        <v>2596</v>
      </c>
      <c r="B1296" t="s">
        <v>2597</v>
      </c>
      <c r="C1296">
        <v>960</v>
      </c>
      <c r="D1296">
        <v>965.25</v>
      </c>
      <c r="E1296">
        <v>924.4</v>
      </c>
      <c r="F1296">
        <v>927.55</v>
      </c>
      <c r="G1296">
        <v>959.2</v>
      </c>
      <c r="H1296">
        <v>714373</v>
      </c>
      <c r="I1296">
        <v>41848</v>
      </c>
      <c r="J1296">
        <v>166000000000</v>
      </c>
      <c r="K1296">
        <v>179109870</v>
      </c>
      <c r="L1296">
        <f>(Table1[[#This Row],[CLOSE_PRICE]] - Table1[[#This Row],[PREV_CL_PR]]) / Table1[[#This Row],[PREV_CL_PR]] * 100</f>
        <v>-3.2996246872393753</v>
      </c>
      <c r="M1296">
        <f>Table1[[#This Row],[HIGH_PRICE]]-Table1[[#This Row],[LOW_PRICE]]</f>
        <v>40.850000000000023</v>
      </c>
      <c r="N1296" t="str">
        <f>IF(Table1[[#This Row],[CLOSE_PRICE]]&gt;Table1[[#This Row],[OPEN_PRICE]],"Gain","Loss")</f>
        <v>Loss</v>
      </c>
      <c r="O1296" t="str">
        <f>IF(Table1[[#This Row],[MARKET_CAP]]&gt;200000000000,"Large Cap",
IF(Table1[[#This Row],[MARKET_CAP]]&gt;50000000000,"Mid Cap","Small Cap"))</f>
        <v>Mid Cap</v>
      </c>
      <c r="P1296" t="str">
        <f>IF(Table1[[#This Row],[NET_TRDQTY]]&gt;1000000,"High Volume","Low Volume")</f>
        <v>Low Volume</v>
      </c>
    </row>
    <row r="1297" spans="1:16" x14ac:dyDescent="0.3">
      <c r="A1297" t="s">
        <v>2598</v>
      </c>
      <c r="B1297" t="s">
        <v>2599</v>
      </c>
      <c r="C1297">
        <v>140.03</v>
      </c>
      <c r="D1297">
        <v>140.47</v>
      </c>
      <c r="E1297">
        <v>131.97999999999999</v>
      </c>
      <c r="F1297">
        <v>134.22</v>
      </c>
      <c r="G1297">
        <v>139.75</v>
      </c>
      <c r="H1297">
        <v>62950</v>
      </c>
      <c r="I1297">
        <v>676</v>
      </c>
      <c r="J1297">
        <v>2550716880</v>
      </c>
      <c r="K1297">
        <v>19004000</v>
      </c>
      <c r="L1297">
        <f>(Table1[[#This Row],[CLOSE_PRICE]] - Table1[[#This Row],[PREV_CL_PR]]) / Table1[[#This Row],[PREV_CL_PR]] * 100</f>
        <v>-3.9570661896243302</v>
      </c>
      <c r="M1297">
        <f>Table1[[#This Row],[HIGH_PRICE]]-Table1[[#This Row],[LOW_PRICE]]</f>
        <v>8.4900000000000091</v>
      </c>
      <c r="N1297" t="str">
        <f>IF(Table1[[#This Row],[CLOSE_PRICE]]&gt;Table1[[#This Row],[OPEN_PRICE]],"Gain","Loss")</f>
        <v>Loss</v>
      </c>
      <c r="O1297" t="str">
        <f>IF(Table1[[#This Row],[MARKET_CAP]]&gt;200000000000,"Large Cap",
IF(Table1[[#This Row],[MARKET_CAP]]&gt;50000000000,"Mid Cap","Small Cap"))</f>
        <v>Small Cap</v>
      </c>
      <c r="P1297" t="str">
        <f>IF(Table1[[#This Row],[NET_TRDQTY]]&gt;1000000,"High Volume","Low Volume")</f>
        <v>Low Volume</v>
      </c>
    </row>
    <row r="1298" spans="1:16" x14ac:dyDescent="0.3">
      <c r="A1298" t="s">
        <v>2600</v>
      </c>
      <c r="B1298" t="s">
        <v>2601</v>
      </c>
      <c r="C1298">
        <v>357.5</v>
      </c>
      <c r="D1298">
        <v>361.2</v>
      </c>
      <c r="E1298">
        <v>347</v>
      </c>
      <c r="F1298">
        <v>349.75</v>
      </c>
      <c r="G1298">
        <v>368.5</v>
      </c>
      <c r="H1298">
        <v>14168007</v>
      </c>
      <c r="I1298">
        <v>97305</v>
      </c>
      <c r="J1298">
        <v>642000000000</v>
      </c>
      <c r="K1298">
        <v>1836631787</v>
      </c>
      <c r="L1298">
        <f>(Table1[[#This Row],[CLOSE_PRICE]] - Table1[[#This Row],[PREV_CL_PR]]) / Table1[[#This Row],[PREV_CL_PR]] * 100</f>
        <v>-5.0881953867028491</v>
      </c>
      <c r="M1298">
        <f>Table1[[#This Row],[HIGH_PRICE]]-Table1[[#This Row],[LOW_PRICE]]</f>
        <v>14.199999999999989</v>
      </c>
      <c r="N1298" t="str">
        <f>IF(Table1[[#This Row],[CLOSE_PRICE]]&gt;Table1[[#This Row],[OPEN_PRICE]],"Gain","Loss")</f>
        <v>Loss</v>
      </c>
      <c r="O1298" t="str">
        <f>IF(Table1[[#This Row],[MARKET_CAP]]&gt;200000000000,"Large Cap",
IF(Table1[[#This Row],[MARKET_CAP]]&gt;50000000000,"Mid Cap","Small Cap"))</f>
        <v>Large Cap</v>
      </c>
      <c r="P1298" t="str">
        <f>IF(Table1[[#This Row],[NET_TRDQTY]]&gt;1000000,"High Volume","Low Volume")</f>
        <v>High Volume</v>
      </c>
    </row>
    <row r="1299" spans="1:16" x14ac:dyDescent="0.3">
      <c r="A1299" t="s">
        <v>2602</v>
      </c>
      <c r="B1299" t="s">
        <v>2603</v>
      </c>
      <c r="C1299">
        <v>545.15</v>
      </c>
      <c r="D1299">
        <v>552.65</v>
      </c>
      <c r="E1299">
        <v>537</v>
      </c>
      <c r="F1299">
        <v>544.45000000000005</v>
      </c>
      <c r="G1299">
        <v>553.5</v>
      </c>
      <c r="H1299">
        <v>385863</v>
      </c>
      <c r="I1299">
        <v>15464</v>
      </c>
      <c r="J1299">
        <v>154000000000</v>
      </c>
      <c r="K1299">
        <v>283001276</v>
      </c>
      <c r="L1299">
        <f>(Table1[[#This Row],[CLOSE_PRICE]] - Table1[[#This Row],[PREV_CL_PR]]) / Table1[[#This Row],[PREV_CL_PR]] * 100</f>
        <v>-1.6350496838301636</v>
      </c>
      <c r="M1299">
        <f>Table1[[#This Row],[HIGH_PRICE]]-Table1[[#This Row],[LOW_PRICE]]</f>
        <v>15.649999999999977</v>
      </c>
      <c r="N1299" t="str">
        <f>IF(Table1[[#This Row],[CLOSE_PRICE]]&gt;Table1[[#This Row],[OPEN_PRICE]],"Gain","Loss")</f>
        <v>Loss</v>
      </c>
      <c r="O1299" t="str">
        <f>IF(Table1[[#This Row],[MARKET_CAP]]&gt;200000000000,"Large Cap",
IF(Table1[[#This Row],[MARKET_CAP]]&gt;50000000000,"Mid Cap","Small Cap"))</f>
        <v>Mid Cap</v>
      </c>
      <c r="P1299" t="str">
        <f>IF(Table1[[#This Row],[NET_TRDQTY]]&gt;1000000,"High Volume","Low Volume")</f>
        <v>Low Volume</v>
      </c>
    </row>
    <row r="1300" spans="1:16" x14ac:dyDescent="0.3">
      <c r="A1300" t="s">
        <v>2604</v>
      </c>
      <c r="B1300" t="s">
        <v>2605</v>
      </c>
      <c r="C1300">
        <v>6061</v>
      </c>
      <c r="D1300">
        <v>6093.5</v>
      </c>
      <c r="E1300">
        <v>5866</v>
      </c>
      <c r="F1300">
        <v>5886.5</v>
      </c>
      <c r="G1300">
        <v>6124</v>
      </c>
      <c r="H1300">
        <v>112393</v>
      </c>
      <c r="I1300">
        <v>21207</v>
      </c>
      <c r="J1300">
        <v>302000000000</v>
      </c>
      <c r="K1300">
        <v>51222524</v>
      </c>
      <c r="L1300">
        <f>(Table1[[#This Row],[CLOSE_PRICE]] - Table1[[#This Row],[PREV_CL_PR]]) / Table1[[#This Row],[PREV_CL_PR]] * 100</f>
        <v>-3.8781841933376882</v>
      </c>
      <c r="M1300">
        <f>Table1[[#This Row],[HIGH_PRICE]]-Table1[[#This Row],[LOW_PRICE]]</f>
        <v>227.5</v>
      </c>
      <c r="N1300" t="str">
        <f>IF(Table1[[#This Row],[CLOSE_PRICE]]&gt;Table1[[#This Row],[OPEN_PRICE]],"Gain","Loss")</f>
        <v>Loss</v>
      </c>
      <c r="O1300" t="str">
        <f>IF(Table1[[#This Row],[MARKET_CAP]]&gt;200000000000,"Large Cap",
IF(Table1[[#This Row],[MARKET_CAP]]&gt;50000000000,"Mid Cap","Small Cap"))</f>
        <v>Large Cap</v>
      </c>
      <c r="P1300" t="str">
        <f>IF(Table1[[#This Row],[NET_TRDQTY]]&gt;1000000,"High Volume","Low Volume")</f>
        <v>Low Volume</v>
      </c>
    </row>
    <row r="1301" spans="1:16" x14ac:dyDescent="0.3">
      <c r="A1301" t="s">
        <v>2606</v>
      </c>
      <c r="B1301" t="s">
        <v>2607</v>
      </c>
      <c r="C1301">
        <v>81.150000000000006</v>
      </c>
      <c r="D1301">
        <v>82.72</v>
      </c>
      <c r="E1301">
        <v>79.319999999999993</v>
      </c>
      <c r="F1301">
        <v>80.25</v>
      </c>
      <c r="G1301">
        <v>82.77</v>
      </c>
      <c r="H1301">
        <v>303500</v>
      </c>
      <c r="I1301">
        <v>3296</v>
      </c>
      <c r="J1301">
        <v>12079164275</v>
      </c>
      <c r="K1301">
        <v>150519181</v>
      </c>
      <c r="L1301">
        <f>(Table1[[#This Row],[CLOSE_PRICE]] - Table1[[#This Row],[PREV_CL_PR]]) / Table1[[#This Row],[PREV_CL_PR]] * 100</f>
        <v>-3.044581370061612</v>
      </c>
      <c r="M1301">
        <f>Table1[[#This Row],[HIGH_PRICE]]-Table1[[#This Row],[LOW_PRICE]]</f>
        <v>3.4000000000000057</v>
      </c>
      <c r="N1301" t="str">
        <f>IF(Table1[[#This Row],[CLOSE_PRICE]]&gt;Table1[[#This Row],[OPEN_PRICE]],"Gain","Loss")</f>
        <v>Loss</v>
      </c>
      <c r="O1301" t="str">
        <f>IF(Table1[[#This Row],[MARKET_CAP]]&gt;200000000000,"Large Cap",
IF(Table1[[#This Row],[MARKET_CAP]]&gt;50000000000,"Mid Cap","Small Cap"))</f>
        <v>Small Cap</v>
      </c>
      <c r="P1301" t="str">
        <f>IF(Table1[[#This Row],[NET_TRDQTY]]&gt;1000000,"High Volume","Low Volume")</f>
        <v>Low Volume</v>
      </c>
    </row>
    <row r="1302" spans="1:16" x14ac:dyDescent="0.3">
      <c r="A1302" t="s">
        <v>2608</v>
      </c>
      <c r="B1302" t="s">
        <v>2609</v>
      </c>
      <c r="C1302">
        <v>0.9</v>
      </c>
      <c r="D1302">
        <v>0.9</v>
      </c>
      <c r="E1302">
        <v>0.83</v>
      </c>
      <c r="F1302">
        <v>0.83</v>
      </c>
      <c r="G1302">
        <v>0.87</v>
      </c>
      <c r="H1302">
        <v>2062860</v>
      </c>
      <c r="I1302">
        <v>499</v>
      </c>
      <c r="J1302">
        <v>931335050.29999995</v>
      </c>
      <c r="K1302">
        <v>1122090422</v>
      </c>
      <c r="L1302">
        <f>(Table1[[#This Row],[CLOSE_PRICE]] - Table1[[#This Row],[PREV_CL_PR]]) / Table1[[#This Row],[PREV_CL_PR]] * 100</f>
        <v>-4.5977011494252915</v>
      </c>
      <c r="M1302">
        <f>Table1[[#This Row],[HIGH_PRICE]]-Table1[[#This Row],[LOW_PRICE]]</f>
        <v>7.0000000000000062E-2</v>
      </c>
      <c r="N1302" t="str">
        <f>IF(Table1[[#This Row],[CLOSE_PRICE]]&gt;Table1[[#This Row],[OPEN_PRICE]],"Gain","Loss")</f>
        <v>Loss</v>
      </c>
      <c r="O1302" t="str">
        <f>IF(Table1[[#This Row],[MARKET_CAP]]&gt;200000000000,"Large Cap",
IF(Table1[[#This Row],[MARKET_CAP]]&gt;50000000000,"Mid Cap","Small Cap"))</f>
        <v>Small Cap</v>
      </c>
      <c r="P1302" t="str">
        <f>IF(Table1[[#This Row],[NET_TRDQTY]]&gt;1000000,"High Volume","Low Volume")</f>
        <v>High Volume</v>
      </c>
    </row>
    <row r="1303" spans="1:16" x14ac:dyDescent="0.3">
      <c r="A1303" t="s">
        <v>2610</v>
      </c>
      <c r="B1303" t="s">
        <v>2611</v>
      </c>
      <c r="C1303">
        <v>125</v>
      </c>
      <c r="D1303">
        <v>127.46</v>
      </c>
      <c r="E1303">
        <v>123.12</v>
      </c>
      <c r="F1303">
        <v>123.69</v>
      </c>
      <c r="G1303">
        <v>127.07</v>
      </c>
      <c r="H1303">
        <v>198114</v>
      </c>
      <c r="I1303">
        <v>3718</v>
      </c>
      <c r="J1303">
        <v>27361858358</v>
      </c>
      <c r="K1303">
        <v>221213181</v>
      </c>
      <c r="L1303">
        <f>(Table1[[#This Row],[CLOSE_PRICE]] - Table1[[#This Row],[PREV_CL_PR]]) / Table1[[#This Row],[PREV_CL_PR]] * 100</f>
        <v>-2.6599512079955896</v>
      </c>
      <c r="M1303">
        <f>Table1[[#This Row],[HIGH_PRICE]]-Table1[[#This Row],[LOW_PRICE]]</f>
        <v>4.3399999999999892</v>
      </c>
      <c r="N1303" t="str">
        <f>IF(Table1[[#This Row],[CLOSE_PRICE]]&gt;Table1[[#This Row],[OPEN_PRICE]],"Gain","Loss")</f>
        <v>Loss</v>
      </c>
      <c r="O1303" t="str">
        <f>IF(Table1[[#This Row],[MARKET_CAP]]&gt;200000000000,"Large Cap",
IF(Table1[[#This Row],[MARKET_CAP]]&gt;50000000000,"Mid Cap","Small Cap"))</f>
        <v>Small Cap</v>
      </c>
      <c r="P1303" t="str">
        <f>IF(Table1[[#This Row],[NET_TRDQTY]]&gt;1000000,"High Volume","Low Volume")</f>
        <v>Low Volume</v>
      </c>
    </row>
    <row r="1304" spans="1:16" x14ac:dyDescent="0.3">
      <c r="A1304" t="s">
        <v>2612</v>
      </c>
      <c r="B1304" t="s">
        <v>2613</v>
      </c>
      <c r="C1304">
        <v>233</v>
      </c>
      <c r="D1304">
        <v>233.1</v>
      </c>
      <c r="E1304">
        <v>215.7</v>
      </c>
      <c r="F1304">
        <v>217.65</v>
      </c>
      <c r="G1304">
        <v>235.35</v>
      </c>
      <c r="H1304">
        <v>1575866</v>
      </c>
      <c r="I1304">
        <v>21786</v>
      </c>
      <c r="J1304">
        <v>80631712474</v>
      </c>
      <c r="K1304">
        <v>370465024</v>
      </c>
      <c r="L1304">
        <f>(Table1[[#This Row],[CLOSE_PRICE]] - Table1[[#This Row],[PREV_CL_PR]]) / Table1[[#This Row],[PREV_CL_PR]] * 100</f>
        <v>-7.5207138304652599</v>
      </c>
      <c r="M1304">
        <f>Table1[[#This Row],[HIGH_PRICE]]-Table1[[#This Row],[LOW_PRICE]]</f>
        <v>17.400000000000006</v>
      </c>
      <c r="N1304" t="str">
        <f>IF(Table1[[#This Row],[CLOSE_PRICE]]&gt;Table1[[#This Row],[OPEN_PRICE]],"Gain","Loss")</f>
        <v>Loss</v>
      </c>
      <c r="O1304" t="str">
        <f>IF(Table1[[#This Row],[MARKET_CAP]]&gt;200000000000,"Large Cap",
IF(Table1[[#This Row],[MARKET_CAP]]&gt;50000000000,"Mid Cap","Small Cap"))</f>
        <v>Mid Cap</v>
      </c>
      <c r="P1304" t="str">
        <f>IF(Table1[[#This Row],[NET_TRDQTY]]&gt;1000000,"High Volume","Low Volume")</f>
        <v>High Volume</v>
      </c>
    </row>
    <row r="1305" spans="1:16" x14ac:dyDescent="0.3">
      <c r="A1305" t="s">
        <v>2614</v>
      </c>
      <c r="B1305" t="s">
        <v>2615</v>
      </c>
      <c r="C1305">
        <v>82.9</v>
      </c>
      <c r="D1305">
        <v>82.96</v>
      </c>
      <c r="E1305">
        <v>78.87</v>
      </c>
      <c r="F1305">
        <v>79.09</v>
      </c>
      <c r="G1305">
        <v>83.91</v>
      </c>
      <c r="H1305">
        <v>12197511</v>
      </c>
      <c r="I1305">
        <v>47245</v>
      </c>
      <c r="J1305">
        <v>214000000000</v>
      </c>
      <c r="K1305">
        <v>2700000000</v>
      </c>
      <c r="L1305">
        <f>(Table1[[#This Row],[CLOSE_PRICE]] - Table1[[#This Row],[PREV_CL_PR]]) / Table1[[#This Row],[PREV_CL_PR]] * 100</f>
        <v>-5.7442497914432051</v>
      </c>
      <c r="M1305">
        <f>Table1[[#This Row],[HIGH_PRICE]]-Table1[[#This Row],[LOW_PRICE]]</f>
        <v>4.0899999999999892</v>
      </c>
      <c r="N1305" t="str">
        <f>IF(Table1[[#This Row],[CLOSE_PRICE]]&gt;Table1[[#This Row],[OPEN_PRICE]],"Gain","Loss")</f>
        <v>Loss</v>
      </c>
      <c r="O1305" t="str">
        <f>IF(Table1[[#This Row],[MARKET_CAP]]&gt;200000000000,"Large Cap",
IF(Table1[[#This Row],[MARKET_CAP]]&gt;50000000000,"Mid Cap","Small Cap"))</f>
        <v>Large Cap</v>
      </c>
      <c r="P1305" t="str">
        <f>IF(Table1[[#This Row],[NET_TRDQTY]]&gt;1000000,"High Volume","Low Volume")</f>
        <v>High Volume</v>
      </c>
    </row>
    <row r="1306" spans="1:16" x14ac:dyDescent="0.3">
      <c r="A1306" t="s">
        <v>2616</v>
      </c>
      <c r="B1306" t="s">
        <v>2617</v>
      </c>
      <c r="C1306">
        <v>1759</v>
      </c>
      <c r="D1306">
        <v>1759</v>
      </c>
      <c r="E1306">
        <v>1701.1</v>
      </c>
      <c r="F1306">
        <v>1732.8</v>
      </c>
      <c r="G1306">
        <v>1723.8</v>
      </c>
      <c r="H1306">
        <v>528</v>
      </c>
      <c r="I1306">
        <v>116</v>
      </c>
      <c r="J1306">
        <v>5120164080</v>
      </c>
      <c r="K1306">
        <v>2954850</v>
      </c>
      <c r="L1306">
        <f>(Table1[[#This Row],[CLOSE_PRICE]] - Table1[[#This Row],[PREV_CL_PR]]) / Table1[[#This Row],[PREV_CL_PR]] * 100</f>
        <v>0.52210233205708323</v>
      </c>
      <c r="M1306">
        <f>Table1[[#This Row],[HIGH_PRICE]]-Table1[[#This Row],[LOW_PRICE]]</f>
        <v>57.900000000000091</v>
      </c>
      <c r="N1306" t="str">
        <f>IF(Table1[[#This Row],[CLOSE_PRICE]]&gt;Table1[[#This Row],[OPEN_PRICE]],"Gain","Loss")</f>
        <v>Loss</v>
      </c>
      <c r="O1306" t="str">
        <f>IF(Table1[[#This Row],[MARKET_CAP]]&gt;200000000000,"Large Cap",
IF(Table1[[#This Row],[MARKET_CAP]]&gt;50000000000,"Mid Cap","Small Cap"))</f>
        <v>Small Cap</v>
      </c>
      <c r="P1306" t="str">
        <f>IF(Table1[[#This Row],[NET_TRDQTY]]&gt;1000000,"High Volume","Low Volume")</f>
        <v>Low Volume</v>
      </c>
    </row>
    <row r="1307" spans="1:16" x14ac:dyDescent="0.3">
      <c r="A1307" t="s">
        <v>2618</v>
      </c>
      <c r="B1307" t="s">
        <v>2619</v>
      </c>
      <c r="C1307">
        <v>140</v>
      </c>
      <c r="D1307">
        <v>140</v>
      </c>
      <c r="E1307">
        <v>131.16</v>
      </c>
      <c r="F1307">
        <v>132.29</v>
      </c>
      <c r="G1307">
        <v>140.59</v>
      </c>
      <c r="H1307">
        <v>3581064</v>
      </c>
      <c r="I1307">
        <v>35156</v>
      </c>
      <c r="J1307">
        <v>83057825127</v>
      </c>
      <c r="K1307">
        <v>627846588</v>
      </c>
      <c r="L1307">
        <f>(Table1[[#This Row],[CLOSE_PRICE]] - Table1[[#This Row],[PREV_CL_PR]]) / Table1[[#This Row],[PREV_CL_PR]] * 100</f>
        <v>-5.9036915854612788</v>
      </c>
      <c r="M1307">
        <f>Table1[[#This Row],[HIGH_PRICE]]-Table1[[#This Row],[LOW_PRICE]]</f>
        <v>8.8400000000000034</v>
      </c>
      <c r="N1307" t="str">
        <f>IF(Table1[[#This Row],[CLOSE_PRICE]]&gt;Table1[[#This Row],[OPEN_PRICE]],"Gain","Loss")</f>
        <v>Loss</v>
      </c>
      <c r="O1307" t="str">
        <f>IF(Table1[[#This Row],[MARKET_CAP]]&gt;200000000000,"Large Cap",
IF(Table1[[#This Row],[MARKET_CAP]]&gt;50000000000,"Mid Cap","Small Cap"))</f>
        <v>Mid Cap</v>
      </c>
      <c r="P1307" t="str">
        <f>IF(Table1[[#This Row],[NET_TRDQTY]]&gt;1000000,"High Volume","Low Volume")</f>
        <v>High Volume</v>
      </c>
    </row>
    <row r="1308" spans="1:16" x14ac:dyDescent="0.3">
      <c r="A1308" t="s">
        <v>2620</v>
      </c>
      <c r="B1308" t="s">
        <v>2621</v>
      </c>
      <c r="C1308">
        <v>169.1</v>
      </c>
      <c r="D1308">
        <v>169.5</v>
      </c>
      <c r="E1308">
        <v>160.06</v>
      </c>
      <c r="F1308">
        <v>162.65</v>
      </c>
      <c r="G1308">
        <v>169.8</v>
      </c>
      <c r="H1308">
        <v>157027</v>
      </c>
      <c r="I1308">
        <v>2596</v>
      </c>
      <c r="J1308">
        <v>7357113294</v>
      </c>
      <c r="K1308">
        <v>45232790</v>
      </c>
      <c r="L1308">
        <f>(Table1[[#This Row],[CLOSE_PRICE]] - Table1[[#This Row],[PREV_CL_PR]]) / Table1[[#This Row],[PREV_CL_PR]] * 100</f>
        <v>-4.2108362779740904</v>
      </c>
      <c r="M1308">
        <f>Table1[[#This Row],[HIGH_PRICE]]-Table1[[#This Row],[LOW_PRICE]]</f>
        <v>9.4399999999999977</v>
      </c>
      <c r="N1308" t="str">
        <f>IF(Table1[[#This Row],[CLOSE_PRICE]]&gt;Table1[[#This Row],[OPEN_PRICE]],"Gain","Loss")</f>
        <v>Loss</v>
      </c>
      <c r="O1308" t="str">
        <f>IF(Table1[[#This Row],[MARKET_CAP]]&gt;200000000000,"Large Cap",
IF(Table1[[#This Row],[MARKET_CAP]]&gt;50000000000,"Mid Cap","Small Cap"))</f>
        <v>Small Cap</v>
      </c>
      <c r="P1308" t="str">
        <f>IF(Table1[[#This Row],[NET_TRDQTY]]&gt;1000000,"High Volume","Low Volume")</f>
        <v>Low Volume</v>
      </c>
    </row>
    <row r="1309" spans="1:16" x14ac:dyDescent="0.3">
      <c r="A1309" t="s">
        <v>2622</v>
      </c>
      <c r="B1309" t="s">
        <v>2623</v>
      </c>
      <c r="C1309">
        <v>2630</v>
      </c>
      <c r="D1309">
        <v>2700</v>
      </c>
      <c r="E1309">
        <v>2630</v>
      </c>
      <c r="F1309">
        <v>2631.5</v>
      </c>
      <c r="G1309">
        <v>2630</v>
      </c>
      <c r="H1309">
        <v>778</v>
      </c>
      <c r="I1309">
        <v>87</v>
      </c>
      <c r="J1309">
        <v>2631500000</v>
      </c>
      <c r="K1309">
        <v>1000000</v>
      </c>
      <c r="L1309">
        <f>(Table1[[#This Row],[CLOSE_PRICE]] - Table1[[#This Row],[PREV_CL_PR]]) / Table1[[#This Row],[PREV_CL_PR]] * 100</f>
        <v>5.7034220532319393E-2</v>
      </c>
      <c r="M1309">
        <f>Table1[[#This Row],[HIGH_PRICE]]-Table1[[#This Row],[LOW_PRICE]]</f>
        <v>70</v>
      </c>
      <c r="N1309" t="str">
        <f>IF(Table1[[#This Row],[CLOSE_PRICE]]&gt;Table1[[#This Row],[OPEN_PRICE]],"Gain","Loss")</f>
        <v>Gain</v>
      </c>
      <c r="O1309" t="str">
        <f>IF(Table1[[#This Row],[MARKET_CAP]]&gt;200000000000,"Large Cap",
IF(Table1[[#This Row],[MARKET_CAP]]&gt;50000000000,"Mid Cap","Small Cap"))</f>
        <v>Small Cap</v>
      </c>
      <c r="P1309" t="str">
        <f>IF(Table1[[#This Row],[NET_TRDQTY]]&gt;1000000,"High Volume","Low Volume")</f>
        <v>Low Volume</v>
      </c>
    </row>
    <row r="1310" spans="1:16" x14ac:dyDescent="0.3">
      <c r="A1310" t="s">
        <v>2624</v>
      </c>
      <c r="B1310" t="s">
        <v>2625</v>
      </c>
      <c r="C1310">
        <v>2.21</v>
      </c>
      <c r="D1310">
        <v>2.21</v>
      </c>
      <c r="E1310">
        <v>2.0499999999999998</v>
      </c>
      <c r="F1310">
        <v>2.08</v>
      </c>
      <c r="G1310">
        <v>2.23</v>
      </c>
      <c r="H1310">
        <v>2913660</v>
      </c>
      <c r="I1310">
        <v>2250</v>
      </c>
      <c r="J1310">
        <v>2998261094</v>
      </c>
      <c r="K1310">
        <v>1441471680</v>
      </c>
      <c r="L1310">
        <f>(Table1[[#This Row],[CLOSE_PRICE]] - Table1[[#This Row],[PREV_CL_PR]]) / Table1[[#This Row],[PREV_CL_PR]] * 100</f>
        <v>-6.7264573991031344</v>
      </c>
      <c r="M1310">
        <f>Table1[[#This Row],[HIGH_PRICE]]-Table1[[#This Row],[LOW_PRICE]]</f>
        <v>0.16000000000000014</v>
      </c>
      <c r="N1310" t="str">
        <f>IF(Table1[[#This Row],[CLOSE_PRICE]]&gt;Table1[[#This Row],[OPEN_PRICE]],"Gain","Loss")</f>
        <v>Loss</v>
      </c>
      <c r="O1310" t="str">
        <f>IF(Table1[[#This Row],[MARKET_CAP]]&gt;200000000000,"Large Cap",
IF(Table1[[#This Row],[MARKET_CAP]]&gt;50000000000,"Mid Cap","Small Cap"))</f>
        <v>Small Cap</v>
      </c>
      <c r="P1310" t="str">
        <f>IF(Table1[[#This Row],[NET_TRDQTY]]&gt;1000000,"High Volume","Low Volume")</f>
        <v>High Volume</v>
      </c>
    </row>
    <row r="1311" spans="1:16" x14ac:dyDescent="0.3">
      <c r="A1311" t="s">
        <v>2626</v>
      </c>
      <c r="B1311" t="s">
        <v>2627</v>
      </c>
      <c r="C1311">
        <v>114.07</v>
      </c>
      <c r="D1311">
        <v>114.53</v>
      </c>
      <c r="E1311">
        <v>111</v>
      </c>
      <c r="F1311">
        <v>112.64</v>
      </c>
      <c r="G1311">
        <v>114.05</v>
      </c>
      <c r="H1311">
        <v>66511</v>
      </c>
      <c r="I1311">
        <v>465</v>
      </c>
      <c r="J1311">
        <v>3792771389</v>
      </c>
      <c r="K1311">
        <v>33671621</v>
      </c>
      <c r="L1311">
        <f>(Table1[[#This Row],[CLOSE_PRICE]] - Table1[[#This Row],[PREV_CL_PR]]) / Table1[[#This Row],[PREV_CL_PR]] * 100</f>
        <v>-1.2362998684787345</v>
      </c>
      <c r="M1311">
        <f>Table1[[#This Row],[HIGH_PRICE]]-Table1[[#This Row],[LOW_PRICE]]</f>
        <v>3.5300000000000011</v>
      </c>
      <c r="N1311" t="str">
        <f>IF(Table1[[#This Row],[CLOSE_PRICE]]&gt;Table1[[#This Row],[OPEN_PRICE]],"Gain","Loss")</f>
        <v>Loss</v>
      </c>
      <c r="O1311" t="str">
        <f>IF(Table1[[#This Row],[MARKET_CAP]]&gt;200000000000,"Large Cap",
IF(Table1[[#This Row],[MARKET_CAP]]&gt;50000000000,"Mid Cap","Small Cap"))</f>
        <v>Small Cap</v>
      </c>
      <c r="P1311" t="str">
        <f>IF(Table1[[#This Row],[NET_TRDQTY]]&gt;1000000,"High Volume","Low Volume")</f>
        <v>Low Volume</v>
      </c>
    </row>
    <row r="1312" spans="1:16" x14ac:dyDescent="0.3">
      <c r="A1312" t="s">
        <v>2628</v>
      </c>
      <c r="B1312" t="s">
        <v>2629</v>
      </c>
      <c r="C1312">
        <v>667.95</v>
      </c>
      <c r="D1312">
        <v>676.35</v>
      </c>
      <c r="E1312">
        <v>635</v>
      </c>
      <c r="F1312">
        <v>639.85</v>
      </c>
      <c r="G1312">
        <v>681.55</v>
      </c>
      <c r="H1312">
        <v>33299</v>
      </c>
      <c r="I1312">
        <v>2186</v>
      </c>
      <c r="J1312">
        <v>15219026764</v>
      </c>
      <c r="K1312">
        <v>23785304</v>
      </c>
      <c r="L1312">
        <f>(Table1[[#This Row],[CLOSE_PRICE]] - Table1[[#This Row],[PREV_CL_PR]]) / Table1[[#This Row],[PREV_CL_PR]] * 100</f>
        <v>-6.1184065732521367</v>
      </c>
      <c r="M1312">
        <f>Table1[[#This Row],[HIGH_PRICE]]-Table1[[#This Row],[LOW_PRICE]]</f>
        <v>41.350000000000023</v>
      </c>
      <c r="N1312" t="str">
        <f>IF(Table1[[#This Row],[CLOSE_PRICE]]&gt;Table1[[#This Row],[OPEN_PRICE]],"Gain","Loss")</f>
        <v>Loss</v>
      </c>
      <c r="O1312" t="str">
        <f>IF(Table1[[#This Row],[MARKET_CAP]]&gt;200000000000,"Large Cap",
IF(Table1[[#This Row],[MARKET_CAP]]&gt;50000000000,"Mid Cap","Small Cap"))</f>
        <v>Small Cap</v>
      </c>
      <c r="P1312" t="str">
        <f>IF(Table1[[#This Row],[NET_TRDQTY]]&gt;1000000,"High Volume","Low Volume")</f>
        <v>Low Volume</v>
      </c>
    </row>
    <row r="1313" spans="1:16" x14ac:dyDescent="0.3">
      <c r="A1313" t="s">
        <v>2630</v>
      </c>
      <c r="B1313" t="s">
        <v>2631</v>
      </c>
      <c r="C1313">
        <v>67.11</v>
      </c>
      <c r="D1313">
        <v>69.98</v>
      </c>
      <c r="E1313">
        <v>65</v>
      </c>
      <c r="F1313">
        <v>66.02</v>
      </c>
      <c r="G1313">
        <v>69.95</v>
      </c>
      <c r="H1313">
        <v>260807</v>
      </c>
      <c r="I1313">
        <v>2879</v>
      </c>
      <c r="J1313">
        <v>7448687816</v>
      </c>
      <c r="K1313">
        <v>112824717</v>
      </c>
      <c r="L1313">
        <f>(Table1[[#This Row],[CLOSE_PRICE]] - Table1[[#This Row],[PREV_CL_PR]]) / Table1[[#This Row],[PREV_CL_PR]] * 100</f>
        <v>-5.6182987848463286</v>
      </c>
      <c r="M1313">
        <f>Table1[[#This Row],[HIGH_PRICE]]-Table1[[#This Row],[LOW_PRICE]]</f>
        <v>4.980000000000004</v>
      </c>
      <c r="N1313" t="str">
        <f>IF(Table1[[#This Row],[CLOSE_PRICE]]&gt;Table1[[#This Row],[OPEN_PRICE]],"Gain","Loss")</f>
        <v>Loss</v>
      </c>
      <c r="O1313" t="str">
        <f>IF(Table1[[#This Row],[MARKET_CAP]]&gt;200000000000,"Large Cap",
IF(Table1[[#This Row],[MARKET_CAP]]&gt;50000000000,"Mid Cap","Small Cap"))</f>
        <v>Small Cap</v>
      </c>
      <c r="P1313" t="str">
        <f>IF(Table1[[#This Row],[NET_TRDQTY]]&gt;1000000,"High Volume","Low Volume")</f>
        <v>Low Volume</v>
      </c>
    </row>
    <row r="1314" spans="1:16" x14ac:dyDescent="0.3">
      <c r="A1314" t="s">
        <v>2632</v>
      </c>
      <c r="B1314" t="s">
        <v>2633</v>
      </c>
      <c r="C1314">
        <v>12.75</v>
      </c>
      <c r="D1314">
        <v>13</v>
      </c>
      <c r="E1314">
        <v>12</v>
      </c>
      <c r="F1314">
        <v>12.02</v>
      </c>
      <c r="G1314">
        <v>12.99</v>
      </c>
      <c r="H1314">
        <v>110693</v>
      </c>
      <c r="I1314">
        <v>556</v>
      </c>
      <c r="J1314">
        <v>1202000000</v>
      </c>
      <c r="K1314">
        <v>100000000</v>
      </c>
      <c r="L1314">
        <f>(Table1[[#This Row],[CLOSE_PRICE]] - Table1[[#This Row],[PREV_CL_PR]]) / Table1[[#This Row],[PREV_CL_PR]] * 100</f>
        <v>-7.4672825250192503</v>
      </c>
      <c r="M1314">
        <f>Table1[[#This Row],[HIGH_PRICE]]-Table1[[#This Row],[LOW_PRICE]]</f>
        <v>1</v>
      </c>
      <c r="N1314" t="str">
        <f>IF(Table1[[#This Row],[CLOSE_PRICE]]&gt;Table1[[#This Row],[OPEN_PRICE]],"Gain","Loss")</f>
        <v>Loss</v>
      </c>
      <c r="O1314" t="str">
        <f>IF(Table1[[#This Row],[MARKET_CAP]]&gt;200000000000,"Large Cap",
IF(Table1[[#This Row],[MARKET_CAP]]&gt;50000000000,"Mid Cap","Small Cap"))</f>
        <v>Small Cap</v>
      </c>
      <c r="P1314" t="str">
        <f>IF(Table1[[#This Row],[NET_TRDQTY]]&gt;1000000,"High Volume","Low Volume")</f>
        <v>Low Volume</v>
      </c>
    </row>
    <row r="1315" spans="1:16" x14ac:dyDescent="0.3">
      <c r="A1315" t="s">
        <v>2634</v>
      </c>
      <c r="B1315" t="s">
        <v>2635</v>
      </c>
      <c r="C1315">
        <v>10.9</v>
      </c>
      <c r="D1315">
        <v>10.9</v>
      </c>
      <c r="E1315">
        <v>10.42</v>
      </c>
      <c r="F1315">
        <v>10.42</v>
      </c>
      <c r="G1315">
        <v>10.96</v>
      </c>
      <c r="H1315">
        <v>509486</v>
      </c>
      <c r="I1315">
        <v>877</v>
      </c>
      <c r="J1315">
        <v>2024199307</v>
      </c>
      <c r="K1315">
        <v>194260970</v>
      </c>
      <c r="L1315">
        <f>(Table1[[#This Row],[CLOSE_PRICE]] - Table1[[#This Row],[PREV_CL_PR]]) / Table1[[#This Row],[PREV_CL_PR]] * 100</f>
        <v>-4.9270072992700804</v>
      </c>
      <c r="M1315">
        <f>Table1[[#This Row],[HIGH_PRICE]]-Table1[[#This Row],[LOW_PRICE]]</f>
        <v>0.48000000000000043</v>
      </c>
      <c r="N1315" t="str">
        <f>IF(Table1[[#This Row],[CLOSE_PRICE]]&gt;Table1[[#This Row],[OPEN_PRICE]],"Gain","Loss")</f>
        <v>Loss</v>
      </c>
      <c r="O1315" t="str">
        <f>IF(Table1[[#This Row],[MARKET_CAP]]&gt;200000000000,"Large Cap",
IF(Table1[[#This Row],[MARKET_CAP]]&gt;50000000000,"Mid Cap","Small Cap"))</f>
        <v>Small Cap</v>
      </c>
      <c r="P1315" t="str">
        <f>IF(Table1[[#This Row],[NET_TRDQTY]]&gt;1000000,"High Volume","Low Volume")</f>
        <v>Low Volume</v>
      </c>
    </row>
    <row r="1316" spans="1:16" x14ac:dyDescent="0.3">
      <c r="A1316" t="s">
        <v>2636</v>
      </c>
      <c r="B1316" t="s">
        <v>2637</v>
      </c>
      <c r="C1316">
        <v>117.44</v>
      </c>
      <c r="D1316">
        <v>119.9</v>
      </c>
      <c r="E1316">
        <v>116</v>
      </c>
      <c r="F1316">
        <v>118.35</v>
      </c>
      <c r="G1316">
        <v>119.83</v>
      </c>
      <c r="H1316">
        <v>135415</v>
      </c>
      <c r="I1316">
        <v>1600</v>
      </c>
      <c r="J1316">
        <v>10296592020</v>
      </c>
      <c r="K1316">
        <v>87001200</v>
      </c>
      <c r="L1316">
        <f>(Table1[[#This Row],[CLOSE_PRICE]] - Table1[[#This Row],[PREV_CL_PR]]) / Table1[[#This Row],[PREV_CL_PR]] * 100</f>
        <v>-1.235083034298593</v>
      </c>
      <c r="M1316">
        <f>Table1[[#This Row],[HIGH_PRICE]]-Table1[[#This Row],[LOW_PRICE]]</f>
        <v>3.9000000000000057</v>
      </c>
      <c r="N1316" t="str">
        <f>IF(Table1[[#This Row],[CLOSE_PRICE]]&gt;Table1[[#This Row],[OPEN_PRICE]],"Gain","Loss")</f>
        <v>Gain</v>
      </c>
      <c r="O1316" t="str">
        <f>IF(Table1[[#This Row],[MARKET_CAP]]&gt;200000000000,"Large Cap",
IF(Table1[[#This Row],[MARKET_CAP]]&gt;50000000000,"Mid Cap","Small Cap"))</f>
        <v>Small Cap</v>
      </c>
      <c r="P1316" t="str">
        <f>IF(Table1[[#This Row],[NET_TRDQTY]]&gt;1000000,"High Volume","Low Volume")</f>
        <v>Low Volume</v>
      </c>
    </row>
    <row r="1317" spans="1:16" x14ac:dyDescent="0.3">
      <c r="A1317" t="s">
        <v>2638</v>
      </c>
      <c r="B1317" t="s">
        <v>2639</v>
      </c>
      <c r="C1317">
        <v>585</v>
      </c>
      <c r="D1317">
        <v>585</v>
      </c>
      <c r="E1317">
        <v>532.20000000000005</v>
      </c>
      <c r="F1317">
        <v>537.95000000000005</v>
      </c>
      <c r="G1317">
        <v>587.35</v>
      </c>
      <c r="H1317">
        <v>113139</v>
      </c>
      <c r="I1317">
        <v>6417</v>
      </c>
      <c r="J1317">
        <v>12275158280</v>
      </c>
      <c r="K1317">
        <v>22818400</v>
      </c>
      <c r="L1317">
        <f>(Table1[[#This Row],[CLOSE_PRICE]] - Table1[[#This Row],[PREV_CL_PR]]) / Table1[[#This Row],[PREV_CL_PR]] * 100</f>
        <v>-8.4106580403507234</v>
      </c>
      <c r="M1317">
        <f>Table1[[#This Row],[HIGH_PRICE]]-Table1[[#This Row],[LOW_PRICE]]</f>
        <v>52.799999999999955</v>
      </c>
      <c r="N1317" t="str">
        <f>IF(Table1[[#This Row],[CLOSE_PRICE]]&gt;Table1[[#This Row],[OPEN_PRICE]],"Gain","Loss")</f>
        <v>Loss</v>
      </c>
      <c r="O1317" t="str">
        <f>IF(Table1[[#This Row],[MARKET_CAP]]&gt;200000000000,"Large Cap",
IF(Table1[[#This Row],[MARKET_CAP]]&gt;50000000000,"Mid Cap","Small Cap"))</f>
        <v>Small Cap</v>
      </c>
      <c r="P1317" t="str">
        <f>IF(Table1[[#This Row],[NET_TRDQTY]]&gt;1000000,"High Volume","Low Volume")</f>
        <v>Low Volume</v>
      </c>
    </row>
    <row r="1318" spans="1:16" x14ac:dyDescent="0.3">
      <c r="A1318" t="s">
        <v>2640</v>
      </c>
      <c r="B1318" t="s">
        <v>2641</v>
      </c>
      <c r="C1318">
        <v>1310</v>
      </c>
      <c r="D1318">
        <v>1325</v>
      </c>
      <c r="E1318">
        <v>1244.4000000000001</v>
      </c>
      <c r="F1318">
        <v>1249.5999999999999</v>
      </c>
      <c r="G1318">
        <v>1336.4</v>
      </c>
      <c r="H1318">
        <v>58499</v>
      </c>
      <c r="I1318">
        <v>7032</v>
      </c>
      <c r="J1318">
        <v>32966539830</v>
      </c>
      <c r="K1318">
        <v>26381674</v>
      </c>
      <c r="L1318">
        <f>(Table1[[#This Row],[CLOSE_PRICE]] - Table1[[#This Row],[PREV_CL_PR]]) / Table1[[#This Row],[PREV_CL_PR]] * 100</f>
        <v>-6.4950613588746018</v>
      </c>
      <c r="M1318">
        <f>Table1[[#This Row],[HIGH_PRICE]]-Table1[[#This Row],[LOW_PRICE]]</f>
        <v>80.599999999999909</v>
      </c>
      <c r="N1318" t="str">
        <f>IF(Table1[[#This Row],[CLOSE_PRICE]]&gt;Table1[[#This Row],[OPEN_PRICE]],"Gain","Loss")</f>
        <v>Loss</v>
      </c>
      <c r="O1318" t="str">
        <f>IF(Table1[[#This Row],[MARKET_CAP]]&gt;200000000000,"Large Cap",
IF(Table1[[#This Row],[MARKET_CAP]]&gt;50000000000,"Mid Cap","Small Cap"))</f>
        <v>Small Cap</v>
      </c>
      <c r="P1318" t="str">
        <f>IF(Table1[[#This Row],[NET_TRDQTY]]&gt;1000000,"High Volume","Low Volume")</f>
        <v>Low Volume</v>
      </c>
    </row>
    <row r="1319" spans="1:16" x14ac:dyDescent="0.3">
      <c r="A1319" t="s">
        <v>2642</v>
      </c>
      <c r="B1319" t="s">
        <v>2643</v>
      </c>
      <c r="C1319">
        <v>530.35</v>
      </c>
      <c r="D1319">
        <v>535</v>
      </c>
      <c r="E1319">
        <v>489.85</v>
      </c>
      <c r="F1319">
        <v>501</v>
      </c>
      <c r="G1319">
        <v>532.9</v>
      </c>
      <c r="H1319">
        <v>92031</v>
      </c>
      <c r="I1319">
        <v>4758</v>
      </c>
      <c r="J1319">
        <v>50270699217</v>
      </c>
      <c r="K1319">
        <v>100340717</v>
      </c>
      <c r="L1319">
        <f>(Table1[[#This Row],[CLOSE_PRICE]] - Table1[[#This Row],[PREV_CL_PR]]) / Table1[[#This Row],[PREV_CL_PR]] * 100</f>
        <v>-5.98611371739538</v>
      </c>
      <c r="M1319">
        <f>Table1[[#This Row],[HIGH_PRICE]]-Table1[[#This Row],[LOW_PRICE]]</f>
        <v>45.149999999999977</v>
      </c>
      <c r="N1319" t="str">
        <f>IF(Table1[[#This Row],[CLOSE_PRICE]]&gt;Table1[[#This Row],[OPEN_PRICE]],"Gain","Loss")</f>
        <v>Loss</v>
      </c>
      <c r="O1319" t="str">
        <f>IF(Table1[[#This Row],[MARKET_CAP]]&gt;200000000000,"Large Cap",
IF(Table1[[#This Row],[MARKET_CAP]]&gt;50000000000,"Mid Cap","Small Cap"))</f>
        <v>Mid Cap</v>
      </c>
      <c r="P1319" t="str">
        <f>IF(Table1[[#This Row],[NET_TRDQTY]]&gt;1000000,"High Volume","Low Volume")</f>
        <v>Low Volume</v>
      </c>
    </row>
    <row r="1320" spans="1:16" x14ac:dyDescent="0.3">
      <c r="A1320" t="s">
        <v>2644</v>
      </c>
      <c r="B1320" t="s">
        <v>2645</v>
      </c>
      <c r="C1320">
        <v>1040</v>
      </c>
      <c r="D1320">
        <v>1042.8</v>
      </c>
      <c r="E1320">
        <v>1000.1</v>
      </c>
      <c r="F1320">
        <v>1016.9</v>
      </c>
      <c r="G1320">
        <v>1055.4000000000001</v>
      </c>
      <c r="H1320">
        <v>115378</v>
      </c>
      <c r="I1320">
        <v>7762</v>
      </c>
      <c r="J1320">
        <v>71650733324</v>
      </c>
      <c r="K1320">
        <v>70459960</v>
      </c>
      <c r="L1320">
        <f>(Table1[[#This Row],[CLOSE_PRICE]] - Table1[[#This Row],[PREV_CL_PR]]) / Table1[[#This Row],[PREV_CL_PR]] * 100</f>
        <v>-3.6479060072010716</v>
      </c>
      <c r="M1320">
        <f>Table1[[#This Row],[HIGH_PRICE]]-Table1[[#This Row],[LOW_PRICE]]</f>
        <v>42.699999999999932</v>
      </c>
      <c r="N1320" t="str">
        <f>IF(Table1[[#This Row],[CLOSE_PRICE]]&gt;Table1[[#This Row],[OPEN_PRICE]],"Gain","Loss")</f>
        <v>Loss</v>
      </c>
      <c r="O1320" t="str">
        <f>IF(Table1[[#This Row],[MARKET_CAP]]&gt;200000000000,"Large Cap",
IF(Table1[[#This Row],[MARKET_CAP]]&gt;50000000000,"Mid Cap","Small Cap"))</f>
        <v>Mid Cap</v>
      </c>
      <c r="P1320" t="str">
        <f>IF(Table1[[#This Row],[NET_TRDQTY]]&gt;1000000,"High Volume","Low Volume")</f>
        <v>Low Volume</v>
      </c>
    </row>
    <row r="1321" spans="1:16" x14ac:dyDescent="0.3">
      <c r="A1321" t="s">
        <v>2646</v>
      </c>
      <c r="B1321" t="s">
        <v>2647</v>
      </c>
      <c r="C1321">
        <v>3245</v>
      </c>
      <c r="D1321">
        <v>3246</v>
      </c>
      <c r="E1321">
        <v>3061.9</v>
      </c>
      <c r="F1321">
        <v>3087.6</v>
      </c>
      <c r="G1321">
        <v>3284.4</v>
      </c>
      <c r="H1321">
        <v>960357</v>
      </c>
      <c r="I1321">
        <v>67014</v>
      </c>
      <c r="J1321">
        <v>175000000000</v>
      </c>
      <c r="K1321">
        <v>56653868</v>
      </c>
      <c r="L1321">
        <f>(Table1[[#This Row],[CLOSE_PRICE]] - Table1[[#This Row],[PREV_CL_PR]]) / Table1[[#This Row],[PREV_CL_PR]] * 100</f>
        <v>-5.9919620021921869</v>
      </c>
      <c r="M1321">
        <f>Table1[[#This Row],[HIGH_PRICE]]-Table1[[#This Row],[LOW_PRICE]]</f>
        <v>184.09999999999991</v>
      </c>
      <c r="N1321" t="str">
        <f>IF(Table1[[#This Row],[CLOSE_PRICE]]&gt;Table1[[#This Row],[OPEN_PRICE]],"Gain","Loss")</f>
        <v>Loss</v>
      </c>
      <c r="O1321" t="str">
        <f>IF(Table1[[#This Row],[MARKET_CAP]]&gt;200000000000,"Large Cap",
IF(Table1[[#This Row],[MARKET_CAP]]&gt;50000000000,"Mid Cap","Small Cap"))</f>
        <v>Mid Cap</v>
      </c>
      <c r="P1321" t="str">
        <f>IF(Table1[[#This Row],[NET_TRDQTY]]&gt;1000000,"High Volume","Low Volume")</f>
        <v>Low Volume</v>
      </c>
    </row>
    <row r="1322" spans="1:16" x14ac:dyDescent="0.3">
      <c r="A1322" t="s">
        <v>2648</v>
      </c>
      <c r="B1322" t="s">
        <v>2649</v>
      </c>
      <c r="C1322">
        <v>30.6</v>
      </c>
      <c r="D1322">
        <v>30.6</v>
      </c>
      <c r="E1322">
        <v>29.02</v>
      </c>
      <c r="F1322">
        <v>29.21</v>
      </c>
      <c r="G1322">
        <v>30.91</v>
      </c>
      <c r="H1322">
        <v>6443624</v>
      </c>
      <c r="I1322">
        <v>15391</v>
      </c>
      <c r="J1322">
        <v>45041820526</v>
      </c>
      <c r="K1322">
        <v>1542000018</v>
      </c>
      <c r="L1322">
        <f>(Table1[[#This Row],[CLOSE_PRICE]] - Table1[[#This Row],[PREV_CL_PR]]) / Table1[[#This Row],[PREV_CL_PR]] * 100</f>
        <v>-5.4998382400517611</v>
      </c>
      <c r="M1322">
        <f>Table1[[#This Row],[HIGH_PRICE]]-Table1[[#This Row],[LOW_PRICE]]</f>
        <v>1.5800000000000018</v>
      </c>
      <c r="N1322" t="str">
        <f>IF(Table1[[#This Row],[CLOSE_PRICE]]&gt;Table1[[#This Row],[OPEN_PRICE]],"Gain","Loss")</f>
        <v>Loss</v>
      </c>
      <c r="O1322" t="str">
        <f>IF(Table1[[#This Row],[MARKET_CAP]]&gt;200000000000,"Large Cap",
IF(Table1[[#This Row],[MARKET_CAP]]&gt;50000000000,"Mid Cap","Small Cap"))</f>
        <v>Small Cap</v>
      </c>
      <c r="P1322" t="str">
        <f>IF(Table1[[#This Row],[NET_TRDQTY]]&gt;1000000,"High Volume","Low Volume")</f>
        <v>High Volume</v>
      </c>
    </row>
    <row r="1323" spans="1:16" x14ac:dyDescent="0.3">
      <c r="A1323" t="s">
        <v>2650</v>
      </c>
      <c r="B1323" t="s">
        <v>2651</v>
      </c>
      <c r="C1323">
        <v>11801</v>
      </c>
      <c r="D1323">
        <v>11936</v>
      </c>
      <c r="E1323">
        <v>11500</v>
      </c>
      <c r="F1323">
        <v>11555</v>
      </c>
      <c r="G1323">
        <v>11995</v>
      </c>
      <c r="H1323">
        <v>23060</v>
      </c>
      <c r="I1323">
        <v>8913</v>
      </c>
      <c r="J1323">
        <v>148000000000</v>
      </c>
      <c r="K1323">
        <v>12829889</v>
      </c>
      <c r="L1323">
        <f>(Table1[[#This Row],[CLOSE_PRICE]] - Table1[[#This Row],[PREV_CL_PR]]) / Table1[[#This Row],[PREV_CL_PR]] * 100</f>
        <v>-3.6681950812838684</v>
      </c>
      <c r="M1323">
        <f>Table1[[#This Row],[HIGH_PRICE]]-Table1[[#This Row],[LOW_PRICE]]</f>
        <v>436</v>
      </c>
      <c r="N1323" t="str">
        <f>IF(Table1[[#This Row],[CLOSE_PRICE]]&gt;Table1[[#This Row],[OPEN_PRICE]],"Gain","Loss")</f>
        <v>Loss</v>
      </c>
      <c r="O1323" t="str">
        <f>IF(Table1[[#This Row],[MARKET_CAP]]&gt;200000000000,"Large Cap",
IF(Table1[[#This Row],[MARKET_CAP]]&gt;50000000000,"Mid Cap","Small Cap"))</f>
        <v>Mid Cap</v>
      </c>
      <c r="P1323" t="str">
        <f>IF(Table1[[#This Row],[NET_TRDQTY]]&gt;1000000,"High Volume","Low Volume")</f>
        <v>Low Volume</v>
      </c>
    </row>
    <row r="1324" spans="1:16" x14ac:dyDescent="0.3">
      <c r="A1324" t="s">
        <v>2652</v>
      </c>
      <c r="B1324" t="s">
        <v>2653</v>
      </c>
      <c r="C1324">
        <v>435</v>
      </c>
      <c r="D1324">
        <v>435</v>
      </c>
      <c r="E1324">
        <v>415</v>
      </c>
      <c r="F1324">
        <v>420.55</v>
      </c>
      <c r="G1324">
        <v>440.6</v>
      </c>
      <c r="H1324">
        <v>854702</v>
      </c>
      <c r="I1324">
        <v>21515</v>
      </c>
      <c r="J1324">
        <v>59851745323</v>
      </c>
      <c r="K1324">
        <v>142317787</v>
      </c>
      <c r="L1324">
        <f>(Table1[[#This Row],[CLOSE_PRICE]] - Table1[[#This Row],[PREV_CL_PR]]) / Table1[[#This Row],[PREV_CL_PR]] * 100</f>
        <v>-4.5506128007262854</v>
      </c>
      <c r="M1324">
        <f>Table1[[#This Row],[HIGH_PRICE]]-Table1[[#This Row],[LOW_PRICE]]</f>
        <v>20</v>
      </c>
      <c r="N1324" t="str">
        <f>IF(Table1[[#This Row],[CLOSE_PRICE]]&gt;Table1[[#This Row],[OPEN_PRICE]],"Gain","Loss")</f>
        <v>Loss</v>
      </c>
      <c r="O1324" t="str">
        <f>IF(Table1[[#This Row],[MARKET_CAP]]&gt;200000000000,"Large Cap",
IF(Table1[[#This Row],[MARKET_CAP]]&gt;50000000000,"Mid Cap","Small Cap"))</f>
        <v>Mid Cap</v>
      </c>
      <c r="P1324" t="str">
        <f>IF(Table1[[#This Row],[NET_TRDQTY]]&gt;1000000,"High Volume","Low Volume")</f>
        <v>Low Volume</v>
      </c>
    </row>
    <row r="1325" spans="1:16" x14ac:dyDescent="0.3">
      <c r="A1325" t="s">
        <v>2654</v>
      </c>
      <c r="B1325" t="s">
        <v>2655</v>
      </c>
      <c r="C1325">
        <v>4.0999999999999996</v>
      </c>
      <c r="D1325">
        <v>4.0999999999999996</v>
      </c>
      <c r="E1325">
        <v>3.51</v>
      </c>
      <c r="F1325">
        <v>3.79</v>
      </c>
      <c r="G1325">
        <v>4.16</v>
      </c>
      <c r="H1325">
        <v>95959</v>
      </c>
      <c r="I1325">
        <v>371</v>
      </c>
      <c r="J1325">
        <v>253524121.30000001</v>
      </c>
      <c r="K1325">
        <v>66892908</v>
      </c>
      <c r="L1325">
        <f>(Table1[[#This Row],[CLOSE_PRICE]] - Table1[[#This Row],[PREV_CL_PR]]) / Table1[[#This Row],[PREV_CL_PR]] * 100</f>
        <v>-8.8942307692307701</v>
      </c>
      <c r="M1325">
        <f>Table1[[#This Row],[HIGH_PRICE]]-Table1[[#This Row],[LOW_PRICE]]</f>
        <v>0.58999999999999986</v>
      </c>
      <c r="N1325" t="str">
        <f>IF(Table1[[#This Row],[CLOSE_PRICE]]&gt;Table1[[#This Row],[OPEN_PRICE]],"Gain","Loss")</f>
        <v>Loss</v>
      </c>
      <c r="O1325" t="str">
        <f>IF(Table1[[#This Row],[MARKET_CAP]]&gt;200000000000,"Large Cap",
IF(Table1[[#This Row],[MARKET_CAP]]&gt;50000000000,"Mid Cap","Small Cap"))</f>
        <v>Small Cap</v>
      </c>
      <c r="P1325" t="str">
        <f>IF(Table1[[#This Row],[NET_TRDQTY]]&gt;1000000,"High Volume","Low Volume")</f>
        <v>Low Volume</v>
      </c>
    </row>
    <row r="1326" spans="1:16" x14ac:dyDescent="0.3">
      <c r="A1326" t="s">
        <v>2656</v>
      </c>
      <c r="B1326" t="s">
        <v>2657</v>
      </c>
      <c r="C1326">
        <v>68.95</v>
      </c>
      <c r="D1326">
        <v>68.95</v>
      </c>
      <c r="E1326">
        <v>66.05</v>
      </c>
      <c r="F1326">
        <v>67.400000000000006</v>
      </c>
      <c r="G1326">
        <v>69.39</v>
      </c>
      <c r="H1326">
        <v>1828375</v>
      </c>
      <c r="I1326">
        <v>11839</v>
      </c>
      <c r="J1326">
        <v>33064984160</v>
      </c>
      <c r="K1326">
        <v>490578400</v>
      </c>
      <c r="L1326">
        <f>(Table1[[#This Row],[CLOSE_PRICE]] - Table1[[#This Row],[PREV_CL_PR]]) / Table1[[#This Row],[PREV_CL_PR]] * 100</f>
        <v>-2.8678483931402146</v>
      </c>
      <c r="M1326">
        <f>Table1[[#This Row],[HIGH_PRICE]]-Table1[[#This Row],[LOW_PRICE]]</f>
        <v>2.9000000000000057</v>
      </c>
      <c r="N1326" t="str">
        <f>IF(Table1[[#This Row],[CLOSE_PRICE]]&gt;Table1[[#This Row],[OPEN_PRICE]],"Gain","Loss")</f>
        <v>Loss</v>
      </c>
      <c r="O1326" t="str">
        <f>IF(Table1[[#This Row],[MARKET_CAP]]&gt;200000000000,"Large Cap",
IF(Table1[[#This Row],[MARKET_CAP]]&gt;50000000000,"Mid Cap","Small Cap"))</f>
        <v>Small Cap</v>
      </c>
      <c r="P1326" t="str">
        <f>IF(Table1[[#This Row],[NET_TRDQTY]]&gt;1000000,"High Volume","Low Volume")</f>
        <v>High Volume</v>
      </c>
    </row>
    <row r="1327" spans="1:16" x14ac:dyDescent="0.3">
      <c r="A1327" t="s">
        <v>2658</v>
      </c>
      <c r="B1327" t="s">
        <v>2659</v>
      </c>
      <c r="C1327">
        <v>24.73</v>
      </c>
      <c r="D1327">
        <v>24.92</v>
      </c>
      <c r="E1327">
        <v>22.2</v>
      </c>
      <c r="F1327">
        <v>22.39</v>
      </c>
      <c r="G1327">
        <v>24.14</v>
      </c>
      <c r="H1327">
        <v>8221</v>
      </c>
      <c r="I1327">
        <v>156</v>
      </c>
      <c r="J1327">
        <v>392676984.30000001</v>
      </c>
      <c r="K1327">
        <v>17538052</v>
      </c>
      <c r="L1327">
        <f>(Table1[[#This Row],[CLOSE_PRICE]] - Table1[[#This Row],[PREV_CL_PR]]) / Table1[[#This Row],[PREV_CL_PR]] * 100</f>
        <v>-7.2493786246893119</v>
      </c>
      <c r="M1327">
        <f>Table1[[#This Row],[HIGH_PRICE]]-Table1[[#This Row],[LOW_PRICE]]</f>
        <v>2.7200000000000024</v>
      </c>
      <c r="N1327" t="str">
        <f>IF(Table1[[#This Row],[CLOSE_PRICE]]&gt;Table1[[#This Row],[OPEN_PRICE]],"Gain","Loss")</f>
        <v>Loss</v>
      </c>
      <c r="O1327" t="str">
        <f>IF(Table1[[#This Row],[MARKET_CAP]]&gt;200000000000,"Large Cap",
IF(Table1[[#This Row],[MARKET_CAP]]&gt;50000000000,"Mid Cap","Small Cap"))</f>
        <v>Small Cap</v>
      </c>
      <c r="P1327" t="str">
        <f>IF(Table1[[#This Row],[NET_TRDQTY]]&gt;1000000,"High Volume","Low Volume")</f>
        <v>Low Volume</v>
      </c>
    </row>
    <row r="1328" spans="1:16" x14ac:dyDescent="0.3">
      <c r="A1328" t="s">
        <v>2660</v>
      </c>
      <c r="B1328" t="s">
        <v>2661</v>
      </c>
      <c r="C1328">
        <v>2180</v>
      </c>
      <c r="D1328">
        <v>2180</v>
      </c>
      <c r="E1328">
        <v>2007</v>
      </c>
      <c r="F1328">
        <v>2044.7</v>
      </c>
      <c r="G1328">
        <v>2183.8000000000002</v>
      </c>
      <c r="H1328">
        <v>4131</v>
      </c>
      <c r="I1328">
        <v>1000</v>
      </c>
      <c r="J1328">
        <v>12632205673</v>
      </c>
      <c r="K1328">
        <v>6178024</v>
      </c>
      <c r="L1328">
        <f>(Table1[[#This Row],[CLOSE_PRICE]] - Table1[[#This Row],[PREV_CL_PR]]) / Table1[[#This Row],[PREV_CL_PR]] * 100</f>
        <v>-6.3696309185822937</v>
      </c>
      <c r="M1328">
        <f>Table1[[#This Row],[HIGH_PRICE]]-Table1[[#This Row],[LOW_PRICE]]</f>
        <v>173</v>
      </c>
      <c r="N1328" t="str">
        <f>IF(Table1[[#This Row],[CLOSE_PRICE]]&gt;Table1[[#This Row],[OPEN_PRICE]],"Gain","Loss")</f>
        <v>Loss</v>
      </c>
      <c r="O1328" t="str">
        <f>IF(Table1[[#This Row],[MARKET_CAP]]&gt;200000000000,"Large Cap",
IF(Table1[[#This Row],[MARKET_CAP]]&gt;50000000000,"Mid Cap","Small Cap"))</f>
        <v>Small Cap</v>
      </c>
      <c r="P1328" t="str">
        <f>IF(Table1[[#This Row],[NET_TRDQTY]]&gt;1000000,"High Volume","Low Volume")</f>
        <v>Low Volume</v>
      </c>
    </row>
    <row r="1329" spans="1:16" x14ac:dyDescent="0.3">
      <c r="A1329" t="s">
        <v>2662</v>
      </c>
      <c r="B1329" t="s">
        <v>2663</v>
      </c>
      <c r="C1329">
        <v>1644</v>
      </c>
      <c r="D1329">
        <v>1651</v>
      </c>
      <c r="E1329">
        <v>1600.3</v>
      </c>
      <c r="F1329">
        <v>1624.6</v>
      </c>
      <c r="G1329">
        <v>1652.2</v>
      </c>
      <c r="H1329">
        <v>258931</v>
      </c>
      <c r="I1329">
        <v>30804</v>
      </c>
      <c r="J1329">
        <v>332000000000</v>
      </c>
      <c r="K1329">
        <v>204360804</v>
      </c>
      <c r="L1329">
        <f>(Table1[[#This Row],[CLOSE_PRICE]] - Table1[[#This Row],[PREV_CL_PR]]) / Table1[[#This Row],[PREV_CL_PR]] * 100</f>
        <v>-1.670499939474648</v>
      </c>
      <c r="M1329">
        <f>Table1[[#This Row],[HIGH_PRICE]]-Table1[[#This Row],[LOW_PRICE]]</f>
        <v>50.700000000000045</v>
      </c>
      <c r="N1329" t="str">
        <f>IF(Table1[[#This Row],[CLOSE_PRICE]]&gt;Table1[[#This Row],[OPEN_PRICE]],"Gain","Loss")</f>
        <v>Loss</v>
      </c>
      <c r="O1329" t="str">
        <f>IF(Table1[[#This Row],[MARKET_CAP]]&gt;200000000000,"Large Cap",
IF(Table1[[#This Row],[MARKET_CAP]]&gt;50000000000,"Mid Cap","Small Cap"))</f>
        <v>Large Cap</v>
      </c>
      <c r="P1329" t="str">
        <f>IF(Table1[[#This Row],[NET_TRDQTY]]&gt;1000000,"High Volume","Low Volume")</f>
        <v>Low Volume</v>
      </c>
    </row>
    <row r="1330" spans="1:16" x14ac:dyDescent="0.3">
      <c r="A1330" t="s">
        <v>2664</v>
      </c>
      <c r="B1330" t="s">
        <v>2665</v>
      </c>
      <c r="C1330">
        <v>76.8</v>
      </c>
      <c r="D1330">
        <v>77.17</v>
      </c>
      <c r="E1330">
        <v>74.7</v>
      </c>
      <c r="F1330">
        <v>75.28</v>
      </c>
      <c r="G1330">
        <v>76.8</v>
      </c>
      <c r="H1330">
        <v>11883610</v>
      </c>
      <c r="I1330">
        <v>43160</v>
      </c>
      <c r="J1330">
        <v>756000000000</v>
      </c>
      <c r="K1330">
        <v>10045034805</v>
      </c>
      <c r="L1330">
        <f>(Table1[[#This Row],[CLOSE_PRICE]] - Table1[[#This Row],[PREV_CL_PR]]) / Table1[[#This Row],[PREV_CL_PR]] * 100</f>
        <v>-1.9791666666666616</v>
      </c>
      <c r="M1330">
        <f>Table1[[#This Row],[HIGH_PRICE]]-Table1[[#This Row],[LOW_PRICE]]</f>
        <v>2.4699999999999989</v>
      </c>
      <c r="N1330" t="str">
        <f>IF(Table1[[#This Row],[CLOSE_PRICE]]&gt;Table1[[#This Row],[OPEN_PRICE]],"Gain","Loss")</f>
        <v>Loss</v>
      </c>
      <c r="O1330" t="str">
        <f>IF(Table1[[#This Row],[MARKET_CAP]]&gt;200000000000,"Large Cap",
IF(Table1[[#This Row],[MARKET_CAP]]&gt;50000000000,"Mid Cap","Small Cap"))</f>
        <v>Large Cap</v>
      </c>
      <c r="P1330" t="str">
        <f>IF(Table1[[#This Row],[NET_TRDQTY]]&gt;1000000,"High Volume","Low Volume")</f>
        <v>High Volume</v>
      </c>
    </row>
    <row r="1331" spans="1:16" x14ac:dyDescent="0.3">
      <c r="A1331" t="s">
        <v>2666</v>
      </c>
      <c r="B1331" t="s">
        <v>2667</v>
      </c>
      <c r="C1331">
        <v>131.55000000000001</v>
      </c>
      <c r="D1331">
        <v>131.55000000000001</v>
      </c>
      <c r="E1331">
        <v>124</v>
      </c>
      <c r="F1331">
        <v>124.65</v>
      </c>
      <c r="G1331">
        <v>132.51</v>
      </c>
      <c r="H1331">
        <v>635051</v>
      </c>
      <c r="I1331">
        <v>12627</v>
      </c>
      <c r="J1331">
        <v>205000000000</v>
      </c>
      <c r="K1331">
        <v>1648000000</v>
      </c>
      <c r="L1331">
        <f>(Table1[[#This Row],[CLOSE_PRICE]] - Table1[[#This Row],[PREV_CL_PR]]) / Table1[[#This Row],[PREV_CL_PR]] * 100</f>
        <v>-5.9316278016753339</v>
      </c>
      <c r="M1331">
        <f>Table1[[#This Row],[HIGH_PRICE]]-Table1[[#This Row],[LOW_PRICE]]</f>
        <v>7.5500000000000114</v>
      </c>
      <c r="N1331" t="str">
        <f>IF(Table1[[#This Row],[CLOSE_PRICE]]&gt;Table1[[#This Row],[OPEN_PRICE]],"Gain","Loss")</f>
        <v>Loss</v>
      </c>
      <c r="O1331" t="str">
        <f>IF(Table1[[#This Row],[MARKET_CAP]]&gt;200000000000,"Large Cap",
IF(Table1[[#This Row],[MARKET_CAP]]&gt;50000000000,"Mid Cap","Small Cap"))</f>
        <v>Large Cap</v>
      </c>
      <c r="P1331" t="str">
        <f>IF(Table1[[#This Row],[NET_TRDQTY]]&gt;1000000,"High Volume","Low Volume")</f>
        <v>Low Volume</v>
      </c>
    </row>
    <row r="1332" spans="1:16" x14ac:dyDescent="0.3">
      <c r="A1332" t="s">
        <v>2668</v>
      </c>
      <c r="B1332" t="s">
        <v>2669</v>
      </c>
      <c r="C1332">
        <v>955.2</v>
      </c>
      <c r="D1332">
        <v>955.2</v>
      </c>
      <c r="E1332">
        <v>887.5</v>
      </c>
      <c r="F1332">
        <v>891.6</v>
      </c>
      <c r="G1332">
        <v>956.7</v>
      </c>
      <c r="H1332">
        <v>66078</v>
      </c>
      <c r="I1332">
        <v>5107</v>
      </c>
      <c r="J1332">
        <v>12929335007</v>
      </c>
      <c r="K1332">
        <v>14501273</v>
      </c>
      <c r="L1332">
        <f>(Table1[[#This Row],[CLOSE_PRICE]] - Table1[[#This Row],[PREV_CL_PR]]) / Table1[[#This Row],[PREV_CL_PR]] * 100</f>
        <v>-6.8046409532768912</v>
      </c>
      <c r="M1332">
        <f>Table1[[#This Row],[HIGH_PRICE]]-Table1[[#This Row],[LOW_PRICE]]</f>
        <v>67.700000000000045</v>
      </c>
      <c r="N1332" t="str">
        <f>IF(Table1[[#This Row],[CLOSE_PRICE]]&gt;Table1[[#This Row],[OPEN_PRICE]],"Gain","Loss")</f>
        <v>Loss</v>
      </c>
      <c r="O1332" t="str">
        <f>IF(Table1[[#This Row],[MARKET_CAP]]&gt;200000000000,"Large Cap",
IF(Table1[[#This Row],[MARKET_CAP]]&gt;50000000000,"Mid Cap","Small Cap"))</f>
        <v>Small Cap</v>
      </c>
      <c r="P1332" t="str">
        <f>IF(Table1[[#This Row],[NET_TRDQTY]]&gt;1000000,"High Volume","Low Volume")</f>
        <v>Low Volume</v>
      </c>
    </row>
    <row r="1333" spans="1:16" x14ac:dyDescent="0.3">
      <c r="A1333" t="s">
        <v>2670</v>
      </c>
      <c r="B1333" t="s">
        <v>2671</v>
      </c>
      <c r="C1333">
        <v>28.62</v>
      </c>
      <c r="D1333">
        <v>29.7</v>
      </c>
      <c r="E1333">
        <v>27.45</v>
      </c>
      <c r="F1333">
        <v>27.68</v>
      </c>
      <c r="G1333">
        <v>28.99</v>
      </c>
      <c r="H1333">
        <v>33888</v>
      </c>
      <c r="I1333">
        <v>266</v>
      </c>
      <c r="J1333">
        <v>670704392</v>
      </c>
      <c r="K1333">
        <v>24230650</v>
      </c>
      <c r="L1333">
        <f>(Table1[[#This Row],[CLOSE_PRICE]] - Table1[[#This Row],[PREV_CL_PR]]) / Table1[[#This Row],[PREV_CL_PR]] * 100</f>
        <v>-4.5187995860641559</v>
      </c>
      <c r="M1333">
        <f>Table1[[#This Row],[HIGH_PRICE]]-Table1[[#This Row],[LOW_PRICE]]</f>
        <v>2.25</v>
      </c>
      <c r="N1333" t="str">
        <f>IF(Table1[[#This Row],[CLOSE_PRICE]]&gt;Table1[[#This Row],[OPEN_PRICE]],"Gain","Loss")</f>
        <v>Loss</v>
      </c>
      <c r="O1333" t="str">
        <f>IF(Table1[[#This Row],[MARKET_CAP]]&gt;200000000000,"Large Cap",
IF(Table1[[#This Row],[MARKET_CAP]]&gt;50000000000,"Mid Cap","Small Cap"))</f>
        <v>Small Cap</v>
      </c>
      <c r="P1333" t="str">
        <f>IF(Table1[[#This Row],[NET_TRDQTY]]&gt;1000000,"High Volume","Low Volume")</f>
        <v>Low Volume</v>
      </c>
    </row>
    <row r="1334" spans="1:16" x14ac:dyDescent="0.3">
      <c r="A1334" t="s">
        <v>2672</v>
      </c>
      <c r="B1334" t="s">
        <v>2673</v>
      </c>
      <c r="C1334">
        <v>57.5</v>
      </c>
      <c r="D1334">
        <v>57.9</v>
      </c>
      <c r="E1334">
        <v>54.1</v>
      </c>
      <c r="F1334">
        <v>54.36</v>
      </c>
      <c r="G1334">
        <v>59.71</v>
      </c>
      <c r="H1334">
        <v>1253098</v>
      </c>
      <c r="I1334">
        <v>11906</v>
      </c>
      <c r="J1334">
        <v>7413821139</v>
      </c>
      <c r="K1334">
        <v>136383759</v>
      </c>
      <c r="L1334">
        <f>(Table1[[#This Row],[CLOSE_PRICE]] - Table1[[#This Row],[PREV_CL_PR]]) / Table1[[#This Row],[PREV_CL_PR]] * 100</f>
        <v>-8.9599732038184587</v>
      </c>
      <c r="M1334">
        <f>Table1[[#This Row],[HIGH_PRICE]]-Table1[[#This Row],[LOW_PRICE]]</f>
        <v>3.7999999999999972</v>
      </c>
      <c r="N1334" t="str">
        <f>IF(Table1[[#This Row],[CLOSE_PRICE]]&gt;Table1[[#This Row],[OPEN_PRICE]],"Gain","Loss")</f>
        <v>Loss</v>
      </c>
      <c r="O1334" t="str">
        <f>IF(Table1[[#This Row],[MARKET_CAP]]&gt;200000000000,"Large Cap",
IF(Table1[[#This Row],[MARKET_CAP]]&gt;50000000000,"Mid Cap","Small Cap"))</f>
        <v>Small Cap</v>
      </c>
      <c r="P1334" t="str">
        <f>IF(Table1[[#This Row],[NET_TRDQTY]]&gt;1000000,"High Volume","Low Volume")</f>
        <v>High Volume</v>
      </c>
    </row>
    <row r="1335" spans="1:16" x14ac:dyDescent="0.3">
      <c r="A1335" t="s">
        <v>2674</v>
      </c>
      <c r="B1335" t="s">
        <v>2675</v>
      </c>
      <c r="C1335">
        <v>295</v>
      </c>
      <c r="D1335">
        <v>305.60000000000002</v>
      </c>
      <c r="E1335">
        <v>284.64999999999998</v>
      </c>
      <c r="F1335">
        <v>291.2</v>
      </c>
      <c r="G1335">
        <v>298.95</v>
      </c>
      <c r="H1335">
        <v>98058</v>
      </c>
      <c r="I1335">
        <v>2144</v>
      </c>
      <c r="J1335">
        <v>39933839837</v>
      </c>
      <c r="K1335">
        <v>137135439</v>
      </c>
      <c r="L1335">
        <f>(Table1[[#This Row],[CLOSE_PRICE]] - Table1[[#This Row],[PREV_CL_PR]]) / Table1[[#This Row],[PREV_CL_PR]] * 100</f>
        <v>-2.5924067569827733</v>
      </c>
      <c r="M1335">
        <f>Table1[[#This Row],[HIGH_PRICE]]-Table1[[#This Row],[LOW_PRICE]]</f>
        <v>20.950000000000045</v>
      </c>
      <c r="N1335" t="str">
        <f>IF(Table1[[#This Row],[CLOSE_PRICE]]&gt;Table1[[#This Row],[OPEN_PRICE]],"Gain","Loss")</f>
        <v>Loss</v>
      </c>
      <c r="O1335" t="str">
        <f>IF(Table1[[#This Row],[MARKET_CAP]]&gt;200000000000,"Large Cap",
IF(Table1[[#This Row],[MARKET_CAP]]&gt;50000000000,"Mid Cap","Small Cap"))</f>
        <v>Small Cap</v>
      </c>
      <c r="P1335" t="str">
        <f>IF(Table1[[#This Row],[NET_TRDQTY]]&gt;1000000,"High Volume","Low Volume")</f>
        <v>Low Volume</v>
      </c>
    </row>
    <row r="1336" spans="1:16" x14ac:dyDescent="0.3">
      <c r="A1336" t="s">
        <v>2676</v>
      </c>
      <c r="B1336" t="s">
        <v>2677</v>
      </c>
      <c r="C1336">
        <v>6.95</v>
      </c>
      <c r="D1336">
        <v>6.95</v>
      </c>
      <c r="E1336">
        <v>6.72</v>
      </c>
      <c r="F1336">
        <v>6.8</v>
      </c>
      <c r="G1336">
        <v>7.08</v>
      </c>
      <c r="H1336">
        <v>691515</v>
      </c>
      <c r="I1336">
        <v>865</v>
      </c>
      <c r="J1336">
        <v>2678446560</v>
      </c>
      <c r="K1336">
        <v>393889200</v>
      </c>
      <c r="L1336">
        <f>(Table1[[#This Row],[CLOSE_PRICE]] - Table1[[#This Row],[PREV_CL_PR]]) / Table1[[#This Row],[PREV_CL_PR]] * 100</f>
        <v>-3.9548022598870096</v>
      </c>
      <c r="M1336">
        <f>Table1[[#This Row],[HIGH_PRICE]]-Table1[[#This Row],[LOW_PRICE]]</f>
        <v>0.23000000000000043</v>
      </c>
      <c r="N1336" t="str">
        <f>IF(Table1[[#This Row],[CLOSE_PRICE]]&gt;Table1[[#This Row],[OPEN_PRICE]],"Gain","Loss")</f>
        <v>Loss</v>
      </c>
      <c r="O1336" t="str">
        <f>IF(Table1[[#This Row],[MARKET_CAP]]&gt;200000000000,"Large Cap",
IF(Table1[[#This Row],[MARKET_CAP]]&gt;50000000000,"Mid Cap","Small Cap"))</f>
        <v>Small Cap</v>
      </c>
      <c r="P1336" t="str">
        <f>IF(Table1[[#This Row],[NET_TRDQTY]]&gt;1000000,"High Volume","Low Volume")</f>
        <v>Low Volume</v>
      </c>
    </row>
    <row r="1337" spans="1:16" x14ac:dyDescent="0.3">
      <c r="A1337" t="s">
        <v>2678</v>
      </c>
      <c r="B1337" t="s">
        <v>2679</v>
      </c>
      <c r="C1337">
        <v>12.2</v>
      </c>
      <c r="D1337">
        <v>12.5</v>
      </c>
      <c r="E1337">
        <v>11.75</v>
      </c>
      <c r="F1337">
        <v>11.88</v>
      </c>
      <c r="G1337">
        <v>12.49</v>
      </c>
      <c r="H1337">
        <v>1370269</v>
      </c>
      <c r="I1337">
        <v>1865</v>
      </c>
      <c r="J1337">
        <v>4679403696</v>
      </c>
      <c r="K1337">
        <v>393889200</v>
      </c>
      <c r="L1337">
        <f>(Table1[[#This Row],[CLOSE_PRICE]] - Table1[[#This Row],[PREV_CL_PR]]) / Table1[[#This Row],[PREV_CL_PR]] * 100</f>
        <v>-4.8839071257005564</v>
      </c>
      <c r="M1337">
        <f>Table1[[#This Row],[HIGH_PRICE]]-Table1[[#This Row],[LOW_PRICE]]</f>
        <v>0.75</v>
      </c>
      <c r="N1337" t="str">
        <f>IF(Table1[[#This Row],[CLOSE_PRICE]]&gt;Table1[[#This Row],[OPEN_PRICE]],"Gain","Loss")</f>
        <v>Loss</v>
      </c>
      <c r="O1337" t="str">
        <f>IF(Table1[[#This Row],[MARKET_CAP]]&gt;200000000000,"Large Cap",
IF(Table1[[#This Row],[MARKET_CAP]]&gt;50000000000,"Mid Cap","Small Cap"))</f>
        <v>Small Cap</v>
      </c>
      <c r="P1337" t="str">
        <f>IF(Table1[[#This Row],[NET_TRDQTY]]&gt;1000000,"High Volume","Low Volume")</f>
        <v>High Volume</v>
      </c>
    </row>
    <row r="1338" spans="1:16" x14ac:dyDescent="0.3">
      <c r="A1338" t="s">
        <v>2680</v>
      </c>
      <c r="B1338" t="s">
        <v>2681</v>
      </c>
      <c r="C1338">
        <v>1217.2</v>
      </c>
      <c r="D1338">
        <v>1217.2</v>
      </c>
      <c r="E1338">
        <v>1118.9000000000001</v>
      </c>
      <c r="F1338">
        <v>1126.9000000000001</v>
      </c>
      <c r="G1338">
        <v>1217.3</v>
      </c>
      <c r="H1338">
        <v>12410</v>
      </c>
      <c r="I1338">
        <v>1305</v>
      </c>
      <c r="J1338">
        <v>16816193423</v>
      </c>
      <c r="K1338">
        <v>14922525</v>
      </c>
      <c r="L1338">
        <f>(Table1[[#This Row],[CLOSE_PRICE]] - Table1[[#This Row],[PREV_CL_PR]]) / Table1[[#This Row],[PREV_CL_PR]] * 100</f>
        <v>-7.4262712560584792</v>
      </c>
      <c r="M1338">
        <f>Table1[[#This Row],[HIGH_PRICE]]-Table1[[#This Row],[LOW_PRICE]]</f>
        <v>98.299999999999955</v>
      </c>
      <c r="N1338" t="str">
        <f>IF(Table1[[#This Row],[CLOSE_PRICE]]&gt;Table1[[#This Row],[OPEN_PRICE]],"Gain","Loss")</f>
        <v>Loss</v>
      </c>
      <c r="O1338" t="str">
        <f>IF(Table1[[#This Row],[MARKET_CAP]]&gt;200000000000,"Large Cap",
IF(Table1[[#This Row],[MARKET_CAP]]&gt;50000000000,"Mid Cap","Small Cap"))</f>
        <v>Small Cap</v>
      </c>
      <c r="P1338" t="str">
        <f>IF(Table1[[#This Row],[NET_TRDQTY]]&gt;1000000,"High Volume","Low Volume")</f>
        <v>Low Volume</v>
      </c>
    </row>
    <row r="1339" spans="1:16" x14ac:dyDescent="0.3">
      <c r="A1339" t="s">
        <v>2682</v>
      </c>
      <c r="B1339" t="s">
        <v>2683</v>
      </c>
      <c r="C1339">
        <v>304.95</v>
      </c>
      <c r="D1339">
        <v>304.95</v>
      </c>
      <c r="E1339">
        <v>282.45</v>
      </c>
      <c r="F1339">
        <v>286.60000000000002</v>
      </c>
      <c r="G1339">
        <v>290.2</v>
      </c>
      <c r="H1339">
        <v>5398</v>
      </c>
      <c r="I1339">
        <v>224</v>
      </c>
      <c r="J1339">
        <v>5323881600</v>
      </c>
      <c r="K1339">
        <v>18576000</v>
      </c>
      <c r="L1339">
        <f>(Table1[[#This Row],[CLOSE_PRICE]] - Table1[[#This Row],[PREV_CL_PR]]) / Table1[[#This Row],[PREV_CL_PR]] * 100</f>
        <v>-1.2405237767057085</v>
      </c>
      <c r="M1339">
        <f>Table1[[#This Row],[HIGH_PRICE]]-Table1[[#This Row],[LOW_PRICE]]</f>
        <v>22.5</v>
      </c>
      <c r="N1339" t="str">
        <f>IF(Table1[[#This Row],[CLOSE_PRICE]]&gt;Table1[[#This Row],[OPEN_PRICE]],"Gain","Loss")</f>
        <v>Loss</v>
      </c>
      <c r="O1339" t="str">
        <f>IF(Table1[[#This Row],[MARKET_CAP]]&gt;200000000000,"Large Cap",
IF(Table1[[#This Row],[MARKET_CAP]]&gt;50000000000,"Mid Cap","Small Cap"))</f>
        <v>Small Cap</v>
      </c>
      <c r="P1339" t="str">
        <f>IF(Table1[[#This Row],[NET_TRDQTY]]&gt;1000000,"High Volume","Low Volume")</f>
        <v>Low Volume</v>
      </c>
    </row>
    <row r="1340" spans="1:16" x14ac:dyDescent="0.3">
      <c r="A1340" t="s">
        <v>2684</v>
      </c>
      <c r="B1340" t="s">
        <v>2685</v>
      </c>
      <c r="C1340">
        <v>294.7</v>
      </c>
      <c r="D1340">
        <v>295.25</v>
      </c>
      <c r="E1340">
        <v>268</v>
      </c>
      <c r="F1340">
        <v>273.55</v>
      </c>
      <c r="G1340">
        <v>293.89999999999998</v>
      </c>
      <c r="H1340">
        <v>24581</v>
      </c>
      <c r="I1340">
        <v>1220</v>
      </c>
      <c r="J1340">
        <v>2051625000</v>
      </c>
      <c r="K1340">
        <v>7500000</v>
      </c>
      <c r="L1340">
        <f>(Table1[[#This Row],[CLOSE_PRICE]] - Table1[[#This Row],[PREV_CL_PR]]) / Table1[[#This Row],[PREV_CL_PR]] * 100</f>
        <v>-6.9241238516502097</v>
      </c>
      <c r="M1340">
        <f>Table1[[#This Row],[HIGH_PRICE]]-Table1[[#This Row],[LOW_PRICE]]</f>
        <v>27.25</v>
      </c>
      <c r="N1340" t="str">
        <f>IF(Table1[[#This Row],[CLOSE_PRICE]]&gt;Table1[[#This Row],[OPEN_PRICE]],"Gain","Loss")</f>
        <v>Loss</v>
      </c>
      <c r="O1340" t="str">
        <f>IF(Table1[[#This Row],[MARKET_CAP]]&gt;200000000000,"Large Cap",
IF(Table1[[#This Row],[MARKET_CAP]]&gt;50000000000,"Mid Cap","Small Cap"))</f>
        <v>Small Cap</v>
      </c>
      <c r="P1340" t="str">
        <f>IF(Table1[[#This Row],[NET_TRDQTY]]&gt;1000000,"High Volume","Low Volume")</f>
        <v>Low Volume</v>
      </c>
    </row>
    <row r="1341" spans="1:16" x14ac:dyDescent="0.3">
      <c r="A1341" t="s">
        <v>2686</v>
      </c>
      <c r="B1341" t="s">
        <v>2687</v>
      </c>
      <c r="C1341">
        <v>25.94</v>
      </c>
      <c r="D1341">
        <v>26.99</v>
      </c>
      <c r="E1341">
        <v>23.13</v>
      </c>
      <c r="F1341">
        <v>23.61</v>
      </c>
      <c r="G1341">
        <v>25.43</v>
      </c>
      <c r="H1341">
        <v>68692</v>
      </c>
      <c r="I1341">
        <v>906</v>
      </c>
      <c r="J1341">
        <v>1409383367</v>
      </c>
      <c r="K1341">
        <v>59694340</v>
      </c>
      <c r="L1341">
        <f>(Table1[[#This Row],[CLOSE_PRICE]] - Table1[[#This Row],[PREV_CL_PR]]) / Table1[[#This Row],[PREV_CL_PR]] * 100</f>
        <v>-7.1569012976799069</v>
      </c>
      <c r="M1341">
        <f>Table1[[#This Row],[HIGH_PRICE]]-Table1[[#This Row],[LOW_PRICE]]</f>
        <v>3.8599999999999994</v>
      </c>
      <c r="N1341" t="str">
        <f>IF(Table1[[#This Row],[CLOSE_PRICE]]&gt;Table1[[#This Row],[OPEN_PRICE]],"Gain","Loss")</f>
        <v>Loss</v>
      </c>
      <c r="O1341" t="str">
        <f>IF(Table1[[#This Row],[MARKET_CAP]]&gt;200000000000,"Large Cap",
IF(Table1[[#This Row],[MARKET_CAP]]&gt;50000000000,"Mid Cap","Small Cap"))</f>
        <v>Small Cap</v>
      </c>
      <c r="P1341" t="str">
        <f>IF(Table1[[#This Row],[NET_TRDQTY]]&gt;1000000,"High Volume","Low Volume")</f>
        <v>Low Volume</v>
      </c>
    </row>
    <row r="1342" spans="1:16" x14ac:dyDescent="0.3">
      <c r="A1342" t="s">
        <v>2688</v>
      </c>
      <c r="B1342" t="s">
        <v>2689</v>
      </c>
      <c r="C1342">
        <v>80.16</v>
      </c>
      <c r="D1342">
        <v>84.63</v>
      </c>
      <c r="E1342">
        <v>74.31</v>
      </c>
      <c r="F1342">
        <v>76.239999999999995</v>
      </c>
      <c r="G1342">
        <v>81.38</v>
      </c>
      <c r="H1342">
        <v>951020</v>
      </c>
      <c r="I1342">
        <v>5245</v>
      </c>
      <c r="J1342">
        <v>17467811845</v>
      </c>
      <c r="K1342">
        <v>229116105</v>
      </c>
      <c r="L1342">
        <f>(Table1[[#This Row],[CLOSE_PRICE]] - Table1[[#This Row],[PREV_CL_PR]]) / Table1[[#This Row],[PREV_CL_PR]] * 100</f>
        <v>-6.3160481690833148</v>
      </c>
      <c r="M1342">
        <f>Table1[[#This Row],[HIGH_PRICE]]-Table1[[#This Row],[LOW_PRICE]]</f>
        <v>10.319999999999993</v>
      </c>
      <c r="N1342" t="str">
        <f>IF(Table1[[#This Row],[CLOSE_PRICE]]&gt;Table1[[#This Row],[OPEN_PRICE]],"Gain","Loss")</f>
        <v>Loss</v>
      </c>
      <c r="O1342" t="str">
        <f>IF(Table1[[#This Row],[MARKET_CAP]]&gt;200000000000,"Large Cap",
IF(Table1[[#This Row],[MARKET_CAP]]&gt;50000000000,"Mid Cap","Small Cap"))</f>
        <v>Small Cap</v>
      </c>
      <c r="P1342" t="str">
        <f>IF(Table1[[#This Row],[NET_TRDQTY]]&gt;1000000,"High Volume","Low Volume")</f>
        <v>Low Volume</v>
      </c>
    </row>
    <row r="1343" spans="1:16" x14ac:dyDescent="0.3">
      <c r="A1343" t="s">
        <v>2690</v>
      </c>
      <c r="B1343" t="s">
        <v>2691</v>
      </c>
      <c r="C1343">
        <v>361.15</v>
      </c>
      <c r="D1343">
        <v>362.95</v>
      </c>
      <c r="E1343">
        <v>350</v>
      </c>
      <c r="F1343">
        <v>353.55</v>
      </c>
      <c r="G1343">
        <v>368.5</v>
      </c>
      <c r="H1343">
        <v>93255</v>
      </c>
      <c r="I1343">
        <v>3326</v>
      </c>
      <c r="J1343">
        <v>19876581000</v>
      </c>
      <c r="K1343">
        <v>56220000</v>
      </c>
      <c r="L1343">
        <f>(Table1[[#This Row],[CLOSE_PRICE]] - Table1[[#This Row],[PREV_CL_PR]]) / Table1[[#This Row],[PREV_CL_PR]] * 100</f>
        <v>-4.0569877883310683</v>
      </c>
      <c r="M1343">
        <f>Table1[[#This Row],[HIGH_PRICE]]-Table1[[#This Row],[LOW_PRICE]]</f>
        <v>12.949999999999989</v>
      </c>
      <c r="N1343" t="str">
        <f>IF(Table1[[#This Row],[CLOSE_PRICE]]&gt;Table1[[#This Row],[OPEN_PRICE]],"Gain","Loss")</f>
        <v>Loss</v>
      </c>
      <c r="O1343" t="str">
        <f>IF(Table1[[#This Row],[MARKET_CAP]]&gt;200000000000,"Large Cap",
IF(Table1[[#This Row],[MARKET_CAP]]&gt;50000000000,"Mid Cap","Small Cap"))</f>
        <v>Small Cap</v>
      </c>
      <c r="P1343" t="str">
        <f>IF(Table1[[#This Row],[NET_TRDQTY]]&gt;1000000,"High Volume","Low Volume")</f>
        <v>Low Volume</v>
      </c>
    </row>
    <row r="1344" spans="1:16" x14ac:dyDescent="0.3">
      <c r="A1344" t="s">
        <v>2692</v>
      </c>
      <c r="B1344" t="s">
        <v>2693</v>
      </c>
      <c r="C1344">
        <v>217.96</v>
      </c>
      <c r="D1344">
        <v>217.96</v>
      </c>
      <c r="E1344">
        <v>206.83</v>
      </c>
      <c r="F1344">
        <v>216.16</v>
      </c>
      <c r="G1344">
        <v>217.96</v>
      </c>
      <c r="H1344">
        <v>3145</v>
      </c>
      <c r="I1344">
        <v>260</v>
      </c>
      <c r="J1344">
        <v>2215856160</v>
      </c>
      <c r="K1344">
        <v>10251000</v>
      </c>
      <c r="L1344">
        <f>(Table1[[#This Row],[CLOSE_PRICE]] - Table1[[#This Row],[PREV_CL_PR]]) / Table1[[#This Row],[PREV_CL_PR]] * 100</f>
        <v>-0.82583960359699538</v>
      </c>
      <c r="M1344">
        <f>Table1[[#This Row],[HIGH_PRICE]]-Table1[[#This Row],[LOW_PRICE]]</f>
        <v>11.129999999999995</v>
      </c>
      <c r="N1344" t="str">
        <f>IF(Table1[[#This Row],[CLOSE_PRICE]]&gt;Table1[[#This Row],[OPEN_PRICE]],"Gain","Loss")</f>
        <v>Loss</v>
      </c>
      <c r="O1344" t="str">
        <f>IF(Table1[[#This Row],[MARKET_CAP]]&gt;200000000000,"Large Cap",
IF(Table1[[#This Row],[MARKET_CAP]]&gt;50000000000,"Mid Cap","Small Cap"))</f>
        <v>Small Cap</v>
      </c>
      <c r="P1344" t="str">
        <f>IF(Table1[[#This Row],[NET_TRDQTY]]&gt;1000000,"High Volume","Low Volume")</f>
        <v>Low Volume</v>
      </c>
    </row>
    <row r="1345" spans="1:16" x14ac:dyDescent="0.3">
      <c r="A1345" t="s">
        <v>2694</v>
      </c>
      <c r="B1345" t="s">
        <v>2695</v>
      </c>
      <c r="C1345">
        <v>69.489999999999995</v>
      </c>
      <c r="D1345">
        <v>71.010000000000005</v>
      </c>
      <c r="E1345">
        <v>67.989999999999995</v>
      </c>
      <c r="F1345">
        <v>68.400000000000006</v>
      </c>
      <c r="G1345">
        <v>70</v>
      </c>
      <c r="H1345">
        <v>785887</v>
      </c>
      <c r="I1345">
        <v>17554</v>
      </c>
      <c r="J1345">
        <v>126000000000</v>
      </c>
      <c r="K1345">
        <v>1847110571</v>
      </c>
      <c r="L1345">
        <f>(Table1[[#This Row],[CLOSE_PRICE]] - Table1[[#This Row],[PREV_CL_PR]]) / Table1[[#This Row],[PREV_CL_PR]] * 100</f>
        <v>-2.2857142857142776</v>
      </c>
      <c r="M1345">
        <f>Table1[[#This Row],[HIGH_PRICE]]-Table1[[#This Row],[LOW_PRICE]]</f>
        <v>3.0200000000000102</v>
      </c>
      <c r="N1345" t="str">
        <f>IF(Table1[[#This Row],[CLOSE_PRICE]]&gt;Table1[[#This Row],[OPEN_PRICE]],"Gain","Loss")</f>
        <v>Loss</v>
      </c>
      <c r="O1345" t="str">
        <f>IF(Table1[[#This Row],[MARKET_CAP]]&gt;200000000000,"Large Cap",
IF(Table1[[#This Row],[MARKET_CAP]]&gt;50000000000,"Mid Cap","Small Cap"))</f>
        <v>Mid Cap</v>
      </c>
      <c r="P1345" t="str">
        <f>IF(Table1[[#This Row],[NET_TRDQTY]]&gt;1000000,"High Volume","Low Volume")</f>
        <v>Low Volume</v>
      </c>
    </row>
    <row r="1346" spans="1:16" x14ac:dyDescent="0.3">
      <c r="A1346" t="s">
        <v>2696</v>
      </c>
      <c r="B1346" t="s">
        <v>2697</v>
      </c>
      <c r="C1346">
        <v>67</v>
      </c>
      <c r="D1346">
        <v>67</v>
      </c>
      <c r="E1346">
        <v>62.4</v>
      </c>
      <c r="F1346">
        <v>62.49</v>
      </c>
      <c r="G1346">
        <v>64.89</v>
      </c>
      <c r="H1346">
        <v>844</v>
      </c>
      <c r="I1346">
        <v>20</v>
      </c>
      <c r="J1346">
        <v>375558651</v>
      </c>
      <c r="K1346">
        <v>6009900</v>
      </c>
      <c r="L1346">
        <f>(Table1[[#This Row],[CLOSE_PRICE]] - Table1[[#This Row],[PREV_CL_PR]]) / Table1[[#This Row],[PREV_CL_PR]] * 100</f>
        <v>-3.6985668053629199</v>
      </c>
      <c r="M1346">
        <f>Table1[[#This Row],[HIGH_PRICE]]-Table1[[#This Row],[LOW_PRICE]]</f>
        <v>4.6000000000000014</v>
      </c>
      <c r="N1346" t="str">
        <f>IF(Table1[[#This Row],[CLOSE_PRICE]]&gt;Table1[[#This Row],[OPEN_PRICE]],"Gain","Loss")</f>
        <v>Loss</v>
      </c>
      <c r="O1346" t="str">
        <f>IF(Table1[[#This Row],[MARKET_CAP]]&gt;200000000000,"Large Cap",
IF(Table1[[#This Row],[MARKET_CAP]]&gt;50000000000,"Mid Cap","Small Cap"))</f>
        <v>Small Cap</v>
      </c>
      <c r="P1346" t="str">
        <f>IF(Table1[[#This Row],[NET_TRDQTY]]&gt;1000000,"High Volume","Low Volume")</f>
        <v>Low Volume</v>
      </c>
    </row>
    <row r="1347" spans="1:16" x14ac:dyDescent="0.3">
      <c r="A1347" t="s">
        <v>2698</v>
      </c>
      <c r="B1347" t="s">
        <v>2699</v>
      </c>
      <c r="C1347">
        <v>266.35000000000002</v>
      </c>
      <c r="D1347">
        <v>267</v>
      </c>
      <c r="E1347">
        <v>250.4</v>
      </c>
      <c r="F1347">
        <v>253.8</v>
      </c>
      <c r="G1347">
        <v>266.35000000000002</v>
      </c>
      <c r="H1347">
        <v>2060768</v>
      </c>
      <c r="I1347">
        <v>36631</v>
      </c>
      <c r="J1347">
        <v>352000000000</v>
      </c>
      <c r="K1347">
        <v>1386636609</v>
      </c>
      <c r="L1347">
        <f>(Table1[[#This Row],[CLOSE_PRICE]] - Table1[[#This Row],[PREV_CL_PR]]) / Table1[[#This Row],[PREV_CL_PR]] * 100</f>
        <v>-4.7118453163131253</v>
      </c>
      <c r="M1347">
        <f>Table1[[#This Row],[HIGH_PRICE]]-Table1[[#This Row],[LOW_PRICE]]</f>
        <v>16.599999999999994</v>
      </c>
      <c r="N1347" t="str">
        <f>IF(Table1[[#This Row],[CLOSE_PRICE]]&gt;Table1[[#This Row],[OPEN_PRICE]],"Gain","Loss")</f>
        <v>Loss</v>
      </c>
      <c r="O1347" t="str">
        <f>IF(Table1[[#This Row],[MARKET_CAP]]&gt;200000000000,"Large Cap",
IF(Table1[[#This Row],[MARKET_CAP]]&gt;50000000000,"Mid Cap","Small Cap"))</f>
        <v>Large Cap</v>
      </c>
      <c r="P1347" t="str">
        <f>IF(Table1[[#This Row],[NET_TRDQTY]]&gt;1000000,"High Volume","Low Volume")</f>
        <v>High Volume</v>
      </c>
    </row>
    <row r="1348" spans="1:16" x14ac:dyDescent="0.3">
      <c r="A1348" t="s">
        <v>2700</v>
      </c>
      <c r="B1348" t="s">
        <v>2701</v>
      </c>
      <c r="C1348">
        <v>78.75</v>
      </c>
      <c r="D1348">
        <v>78.760000000000005</v>
      </c>
      <c r="E1348">
        <v>74.55</v>
      </c>
      <c r="F1348">
        <v>75.09</v>
      </c>
      <c r="G1348">
        <v>79.78</v>
      </c>
      <c r="H1348">
        <v>35184834</v>
      </c>
      <c r="I1348">
        <v>90051</v>
      </c>
      <c r="J1348">
        <v>660000000000</v>
      </c>
      <c r="K1348">
        <v>8791817550</v>
      </c>
      <c r="L1348">
        <f>(Table1[[#This Row],[CLOSE_PRICE]] - Table1[[#This Row],[PREV_CL_PR]]) / Table1[[#This Row],[PREV_CL_PR]] * 100</f>
        <v>-5.8786663324141362</v>
      </c>
      <c r="M1348">
        <f>Table1[[#This Row],[HIGH_PRICE]]-Table1[[#This Row],[LOW_PRICE]]</f>
        <v>4.210000000000008</v>
      </c>
      <c r="N1348" t="str">
        <f>IF(Table1[[#This Row],[CLOSE_PRICE]]&gt;Table1[[#This Row],[OPEN_PRICE]],"Gain","Loss")</f>
        <v>Loss</v>
      </c>
      <c r="O1348" t="str">
        <f>IF(Table1[[#This Row],[MARKET_CAP]]&gt;200000000000,"Large Cap",
IF(Table1[[#This Row],[MARKET_CAP]]&gt;50000000000,"Mid Cap","Small Cap"))</f>
        <v>Large Cap</v>
      </c>
      <c r="P1348" t="str">
        <f>IF(Table1[[#This Row],[NET_TRDQTY]]&gt;1000000,"High Volume","Low Volume")</f>
        <v>High Volume</v>
      </c>
    </row>
    <row r="1349" spans="1:16" x14ac:dyDescent="0.3">
      <c r="A1349" t="s">
        <v>2702</v>
      </c>
      <c r="B1349" t="s">
        <v>2703</v>
      </c>
      <c r="C1349">
        <v>142</v>
      </c>
      <c r="D1349">
        <v>165.48</v>
      </c>
      <c r="E1349">
        <v>142</v>
      </c>
      <c r="F1349">
        <v>160.34</v>
      </c>
      <c r="G1349">
        <v>143.96</v>
      </c>
      <c r="H1349">
        <v>90690512</v>
      </c>
      <c r="I1349">
        <v>411236</v>
      </c>
      <c r="J1349">
        <v>26780777276</v>
      </c>
      <c r="K1349">
        <v>167024930</v>
      </c>
      <c r="L1349">
        <f>(Table1[[#This Row],[CLOSE_PRICE]] - Table1[[#This Row],[PREV_CL_PR]]) / Table1[[#This Row],[PREV_CL_PR]] * 100</f>
        <v>11.378160600166709</v>
      </c>
      <c r="M1349">
        <f>Table1[[#This Row],[HIGH_PRICE]]-Table1[[#This Row],[LOW_PRICE]]</f>
        <v>23.47999999999999</v>
      </c>
      <c r="N1349" t="str">
        <f>IF(Table1[[#This Row],[CLOSE_PRICE]]&gt;Table1[[#This Row],[OPEN_PRICE]],"Gain","Loss")</f>
        <v>Gain</v>
      </c>
      <c r="O1349" t="str">
        <f>IF(Table1[[#This Row],[MARKET_CAP]]&gt;200000000000,"Large Cap",
IF(Table1[[#This Row],[MARKET_CAP]]&gt;50000000000,"Mid Cap","Small Cap"))</f>
        <v>Small Cap</v>
      </c>
      <c r="P1349" t="str">
        <f>IF(Table1[[#This Row],[NET_TRDQTY]]&gt;1000000,"High Volume","Low Volume")</f>
        <v>High Volume</v>
      </c>
    </row>
    <row r="1350" spans="1:16" x14ac:dyDescent="0.3">
      <c r="A1350" t="s">
        <v>2704</v>
      </c>
      <c r="B1350" t="s">
        <v>2705</v>
      </c>
      <c r="C1350">
        <v>3.5</v>
      </c>
      <c r="D1350">
        <v>3.5</v>
      </c>
      <c r="E1350">
        <v>3.17</v>
      </c>
      <c r="F1350">
        <v>3.19</v>
      </c>
      <c r="G1350">
        <v>3.39</v>
      </c>
      <c r="H1350">
        <v>218781</v>
      </c>
      <c r="I1350">
        <v>399</v>
      </c>
      <c r="J1350">
        <v>593962056.39999998</v>
      </c>
      <c r="K1350">
        <v>186195002</v>
      </c>
      <c r="L1350">
        <f>(Table1[[#This Row],[CLOSE_PRICE]] - Table1[[#This Row],[PREV_CL_PR]]) / Table1[[#This Row],[PREV_CL_PR]] * 100</f>
        <v>-5.8997050147492676</v>
      </c>
      <c r="M1350">
        <f>Table1[[#This Row],[HIGH_PRICE]]-Table1[[#This Row],[LOW_PRICE]]</f>
        <v>0.33000000000000007</v>
      </c>
      <c r="N1350" t="str">
        <f>IF(Table1[[#This Row],[CLOSE_PRICE]]&gt;Table1[[#This Row],[OPEN_PRICE]],"Gain","Loss")</f>
        <v>Loss</v>
      </c>
      <c r="O1350" t="str">
        <f>IF(Table1[[#This Row],[MARKET_CAP]]&gt;200000000000,"Large Cap",
IF(Table1[[#This Row],[MARKET_CAP]]&gt;50000000000,"Mid Cap","Small Cap"))</f>
        <v>Small Cap</v>
      </c>
      <c r="P1350" t="str">
        <f>IF(Table1[[#This Row],[NET_TRDQTY]]&gt;1000000,"High Volume","Low Volume")</f>
        <v>Low Volume</v>
      </c>
    </row>
    <row r="1351" spans="1:16" x14ac:dyDescent="0.3">
      <c r="A1351" t="s">
        <v>2706</v>
      </c>
      <c r="B1351" t="s">
        <v>2707</v>
      </c>
      <c r="C1351">
        <v>231.1</v>
      </c>
      <c r="D1351">
        <v>231.1</v>
      </c>
      <c r="E1351">
        <v>219</v>
      </c>
      <c r="F1351">
        <v>220.9</v>
      </c>
      <c r="G1351">
        <v>234.25</v>
      </c>
      <c r="H1351">
        <v>616686</v>
      </c>
      <c r="I1351">
        <v>10145</v>
      </c>
      <c r="J1351">
        <v>35691227188</v>
      </c>
      <c r="K1351">
        <v>161571875</v>
      </c>
      <c r="L1351">
        <f>(Table1[[#This Row],[CLOSE_PRICE]] - Table1[[#This Row],[PREV_CL_PR]]) / Table1[[#This Row],[PREV_CL_PR]] * 100</f>
        <v>-5.6990394877267851</v>
      </c>
      <c r="M1351">
        <f>Table1[[#This Row],[HIGH_PRICE]]-Table1[[#This Row],[LOW_PRICE]]</f>
        <v>12.099999999999994</v>
      </c>
      <c r="N1351" t="str">
        <f>IF(Table1[[#This Row],[CLOSE_PRICE]]&gt;Table1[[#This Row],[OPEN_PRICE]],"Gain","Loss")</f>
        <v>Loss</v>
      </c>
      <c r="O1351" t="str">
        <f>IF(Table1[[#This Row],[MARKET_CAP]]&gt;200000000000,"Large Cap",
IF(Table1[[#This Row],[MARKET_CAP]]&gt;50000000000,"Mid Cap","Small Cap"))</f>
        <v>Small Cap</v>
      </c>
      <c r="P1351" t="str">
        <f>IF(Table1[[#This Row],[NET_TRDQTY]]&gt;1000000,"High Volume","Low Volume")</f>
        <v>Low Volume</v>
      </c>
    </row>
    <row r="1352" spans="1:16" x14ac:dyDescent="0.3">
      <c r="A1352" t="s">
        <v>2708</v>
      </c>
      <c r="B1352" t="s">
        <v>2709</v>
      </c>
      <c r="C1352">
        <v>22.7</v>
      </c>
      <c r="D1352">
        <v>23.17</v>
      </c>
      <c r="E1352">
        <v>20.99</v>
      </c>
      <c r="F1352">
        <v>21.33</v>
      </c>
      <c r="G1352">
        <v>22.72</v>
      </c>
      <c r="H1352">
        <v>259385</v>
      </c>
      <c r="I1352">
        <v>2430</v>
      </c>
      <c r="J1352">
        <v>1973447611</v>
      </c>
      <c r="K1352">
        <v>92519813</v>
      </c>
      <c r="L1352">
        <f>(Table1[[#This Row],[CLOSE_PRICE]] - Table1[[#This Row],[PREV_CL_PR]]) / Table1[[#This Row],[PREV_CL_PR]] * 100</f>
        <v>-6.1179577464788766</v>
      </c>
      <c r="M1352">
        <f>Table1[[#This Row],[HIGH_PRICE]]-Table1[[#This Row],[LOW_PRICE]]</f>
        <v>2.1800000000000033</v>
      </c>
      <c r="N1352" t="str">
        <f>IF(Table1[[#This Row],[CLOSE_PRICE]]&gt;Table1[[#This Row],[OPEN_PRICE]],"Gain","Loss")</f>
        <v>Loss</v>
      </c>
      <c r="O1352" t="str">
        <f>IF(Table1[[#This Row],[MARKET_CAP]]&gt;200000000000,"Large Cap",
IF(Table1[[#This Row],[MARKET_CAP]]&gt;50000000000,"Mid Cap","Small Cap"))</f>
        <v>Small Cap</v>
      </c>
      <c r="P1352" t="str">
        <f>IF(Table1[[#This Row],[NET_TRDQTY]]&gt;1000000,"High Volume","Low Volume")</f>
        <v>Low Volume</v>
      </c>
    </row>
    <row r="1353" spans="1:16" x14ac:dyDescent="0.3">
      <c r="A1353" t="s">
        <v>2710</v>
      </c>
      <c r="B1353" t="s">
        <v>2711</v>
      </c>
      <c r="C1353">
        <v>1107.9000000000001</v>
      </c>
      <c r="D1353">
        <v>1119</v>
      </c>
      <c r="E1353">
        <v>1050</v>
      </c>
      <c r="F1353">
        <v>1060.9000000000001</v>
      </c>
      <c r="G1353">
        <v>1105.9000000000001</v>
      </c>
      <c r="H1353">
        <v>86825</v>
      </c>
      <c r="I1353">
        <v>5568</v>
      </c>
      <c r="J1353">
        <v>22111012575</v>
      </c>
      <c r="K1353">
        <v>20841750</v>
      </c>
      <c r="L1353">
        <f>(Table1[[#This Row],[CLOSE_PRICE]] - Table1[[#This Row],[PREV_CL_PR]]) / Table1[[#This Row],[PREV_CL_PR]] * 100</f>
        <v>-4.0690840039786593</v>
      </c>
      <c r="M1353">
        <f>Table1[[#This Row],[HIGH_PRICE]]-Table1[[#This Row],[LOW_PRICE]]</f>
        <v>69</v>
      </c>
      <c r="N1353" t="str">
        <f>IF(Table1[[#This Row],[CLOSE_PRICE]]&gt;Table1[[#This Row],[OPEN_PRICE]],"Gain","Loss")</f>
        <v>Loss</v>
      </c>
      <c r="O1353" t="str">
        <f>IF(Table1[[#This Row],[MARKET_CAP]]&gt;200000000000,"Large Cap",
IF(Table1[[#This Row],[MARKET_CAP]]&gt;50000000000,"Mid Cap","Small Cap"))</f>
        <v>Small Cap</v>
      </c>
      <c r="P1353" t="str">
        <f>IF(Table1[[#This Row],[NET_TRDQTY]]&gt;1000000,"High Volume","Low Volume")</f>
        <v>Low Volume</v>
      </c>
    </row>
    <row r="1354" spans="1:16" x14ac:dyDescent="0.3">
      <c r="A1354" t="s">
        <v>2712</v>
      </c>
      <c r="B1354" t="s">
        <v>2713</v>
      </c>
      <c r="C1354">
        <v>410</v>
      </c>
      <c r="D1354">
        <v>410</v>
      </c>
      <c r="E1354">
        <v>385</v>
      </c>
      <c r="F1354">
        <v>388.95</v>
      </c>
      <c r="G1354">
        <v>420</v>
      </c>
      <c r="H1354">
        <v>3421</v>
      </c>
      <c r="I1354">
        <v>286</v>
      </c>
      <c r="J1354">
        <v>6619578945</v>
      </c>
      <c r="K1354">
        <v>17019100</v>
      </c>
      <c r="L1354">
        <f>(Table1[[#This Row],[CLOSE_PRICE]] - Table1[[#This Row],[PREV_CL_PR]]) / Table1[[#This Row],[PREV_CL_PR]] * 100</f>
        <v>-7.3928571428571459</v>
      </c>
      <c r="M1354">
        <f>Table1[[#This Row],[HIGH_PRICE]]-Table1[[#This Row],[LOW_PRICE]]</f>
        <v>25</v>
      </c>
      <c r="N1354" t="str">
        <f>IF(Table1[[#This Row],[CLOSE_PRICE]]&gt;Table1[[#This Row],[OPEN_PRICE]],"Gain","Loss")</f>
        <v>Loss</v>
      </c>
      <c r="O1354" t="str">
        <f>IF(Table1[[#This Row],[MARKET_CAP]]&gt;200000000000,"Large Cap",
IF(Table1[[#This Row],[MARKET_CAP]]&gt;50000000000,"Mid Cap","Small Cap"))</f>
        <v>Small Cap</v>
      </c>
      <c r="P1354" t="str">
        <f>IF(Table1[[#This Row],[NET_TRDQTY]]&gt;1000000,"High Volume","Low Volume")</f>
        <v>Low Volume</v>
      </c>
    </row>
    <row r="1355" spans="1:16" x14ac:dyDescent="0.3">
      <c r="A1355" t="s">
        <v>2714</v>
      </c>
      <c r="B1355" t="s">
        <v>2715</v>
      </c>
      <c r="C1355">
        <v>242</v>
      </c>
      <c r="D1355">
        <v>242</v>
      </c>
      <c r="E1355">
        <v>226.25</v>
      </c>
      <c r="F1355">
        <v>228.3</v>
      </c>
      <c r="G1355">
        <v>242.6</v>
      </c>
      <c r="H1355">
        <v>326628</v>
      </c>
      <c r="I1355">
        <v>5413</v>
      </c>
      <c r="J1355">
        <v>22127429580</v>
      </c>
      <c r="K1355">
        <v>96922600</v>
      </c>
      <c r="L1355">
        <f>(Table1[[#This Row],[CLOSE_PRICE]] - Table1[[#This Row],[PREV_CL_PR]]) / Table1[[#This Row],[PREV_CL_PR]] * 100</f>
        <v>-5.8944765045342056</v>
      </c>
      <c r="M1355">
        <f>Table1[[#This Row],[HIGH_PRICE]]-Table1[[#This Row],[LOW_PRICE]]</f>
        <v>15.75</v>
      </c>
      <c r="N1355" t="str">
        <f>IF(Table1[[#This Row],[CLOSE_PRICE]]&gt;Table1[[#This Row],[OPEN_PRICE]],"Gain","Loss")</f>
        <v>Loss</v>
      </c>
      <c r="O1355" t="str">
        <f>IF(Table1[[#This Row],[MARKET_CAP]]&gt;200000000000,"Large Cap",
IF(Table1[[#This Row],[MARKET_CAP]]&gt;50000000000,"Mid Cap","Small Cap"))</f>
        <v>Small Cap</v>
      </c>
      <c r="P1355" t="str">
        <f>IF(Table1[[#This Row],[NET_TRDQTY]]&gt;1000000,"High Volume","Low Volume")</f>
        <v>Low Volume</v>
      </c>
    </row>
    <row r="1356" spans="1:16" x14ac:dyDescent="0.3">
      <c r="A1356" t="s">
        <v>2716</v>
      </c>
      <c r="B1356" t="s">
        <v>2717</v>
      </c>
      <c r="C1356">
        <v>49.6</v>
      </c>
      <c r="D1356">
        <v>51.16</v>
      </c>
      <c r="E1356">
        <v>46.2</v>
      </c>
      <c r="F1356">
        <v>47.26</v>
      </c>
      <c r="G1356">
        <v>50.04</v>
      </c>
      <c r="H1356">
        <v>86883</v>
      </c>
      <c r="I1356">
        <v>1313</v>
      </c>
      <c r="J1356">
        <v>3264200704</v>
      </c>
      <c r="K1356">
        <v>69068995</v>
      </c>
      <c r="L1356">
        <f>(Table1[[#This Row],[CLOSE_PRICE]] - Table1[[#This Row],[PREV_CL_PR]]) / Table1[[#This Row],[PREV_CL_PR]] * 100</f>
        <v>-5.555555555555558</v>
      </c>
      <c r="M1356">
        <f>Table1[[#This Row],[HIGH_PRICE]]-Table1[[#This Row],[LOW_PRICE]]</f>
        <v>4.9599999999999937</v>
      </c>
      <c r="N1356" t="str">
        <f>IF(Table1[[#This Row],[CLOSE_PRICE]]&gt;Table1[[#This Row],[OPEN_PRICE]],"Gain","Loss")</f>
        <v>Loss</v>
      </c>
      <c r="O1356" t="str">
        <f>IF(Table1[[#This Row],[MARKET_CAP]]&gt;200000000000,"Large Cap",
IF(Table1[[#This Row],[MARKET_CAP]]&gt;50000000000,"Mid Cap","Small Cap"))</f>
        <v>Small Cap</v>
      </c>
      <c r="P1356" t="str">
        <f>IF(Table1[[#This Row],[NET_TRDQTY]]&gt;1000000,"High Volume","Low Volume")</f>
        <v>Low Volume</v>
      </c>
    </row>
    <row r="1357" spans="1:16" x14ac:dyDescent="0.3">
      <c r="A1357" t="s">
        <v>2718</v>
      </c>
      <c r="B1357" t="s">
        <v>2719</v>
      </c>
      <c r="C1357">
        <v>5310</v>
      </c>
      <c r="D1357">
        <v>5360.5</v>
      </c>
      <c r="E1357">
        <v>5075</v>
      </c>
      <c r="F1357">
        <v>5122</v>
      </c>
      <c r="G1357">
        <v>5365.5</v>
      </c>
      <c r="H1357">
        <v>9759</v>
      </c>
      <c r="I1357">
        <v>1239</v>
      </c>
      <c r="J1357">
        <v>26307426886</v>
      </c>
      <c r="K1357">
        <v>5136163</v>
      </c>
      <c r="L1357">
        <f>(Table1[[#This Row],[CLOSE_PRICE]] - Table1[[#This Row],[PREV_CL_PR]]) / Table1[[#This Row],[PREV_CL_PR]] * 100</f>
        <v>-4.5382536576274353</v>
      </c>
      <c r="M1357">
        <f>Table1[[#This Row],[HIGH_PRICE]]-Table1[[#This Row],[LOW_PRICE]]</f>
        <v>285.5</v>
      </c>
      <c r="N1357" t="str">
        <f>IF(Table1[[#This Row],[CLOSE_PRICE]]&gt;Table1[[#This Row],[OPEN_PRICE]],"Gain","Loss")</f>
        <v>Loss</v>
      </c>
      <c r="O1357" t="str">
        <f>IF(Table1[[#This Row],[MARKET_CAP]]&gt;200000000000,"Large Cap",
IF(Table1[[#This Row],[MARKET_CAP]]&gt;50000000000,"Mid Cap","Small Cap"))</f>
        <v>Small Cap</v>
      </c>
      <c r="P1357" t="str">
        <f>IF(Table1[[#This Row],[NET_TRDQTY]]&gt;1000000,"High Volume","Low Volume")</f>
        <v>Low Volume</v>
      </c>
    </row>
    <row r="1358" spans="1:16" x14ac:dyDescent="0.3">
      <c r="A1358" t="s">
        <v>2720</v>
      </c>
      <c r="B1358" t="s">
        <v>2721</v>
      </c>
      <c r="C1358">
        <v>36.5</v>
      </c>
      <c r="D1358">
        <v>36.51</v>
      </c>
      <c r="E1358">
        <v>34.1</v>
      </c>
      <c r="F1358">
        <v>34.340000000000003</v>
      </c>
      <c r="G1358">
        <v>36.700000000000003</v>
      </c>
      <c r="H1358">
        <v>12962935</v>
      </c>
      <c r="I1358">
        <v>22682</v>
      </c>
      <c r="J1358">
        <v>101000000000</v>
      </c>
      <c r="K1358">
        <v>2930605850</v>
      </c>
      <c r="L1358">
        <f>(Table1[[#This Row],[CLOSE_PRICE]] - Table1[[#This Row],[PREV_CL_PR]]) / Table1[[#This Row],[PREV_CL_PR]] * 100</f>
        <v>-6.4305177111716603</v>
      </c>
      <c r="M1358">
        <f>Table1[[#This Row],[HIGH_PRICE]]-Table1[[#This Row],[LOW_PRICE]]</f>
        <v>2.4099999999999966</v>
      </c>
      <c r="N1358" t="str">
        <f>IF(Table1[[#This Row],[CLOSE_PRICE]]&gt;Table1[[#This Row],[OPEN_PRICE]],"Gain","Loss")</f>
        <v>Loss</v>
      </c>
      <c r="O1358" t="str">
        <f>IF(Table1[[#This Row],[MARKET_CAP]]&gt;200000000000,"Large Cap",
IF(Table1[[#This Row],[MARKET_CAP]]&gt;50000000000,"Mid Cap","Small Cap"))</f>
        <v>Mid Cap</v>
      </c>
      <c r="P1358" t="str">
        <f>IF(Table1[[#This Row],[NET_TRDQTY]]&gt;1000000,"High Volume","Low Volume")</f>
        <v>High Volume</v>
      </c>
    </row>
    <row r="1359" spans="1:16" x14ac:dyDescent="0.3">
      <c r="A1359" t="s">
        <v>2722</v>
      </c>
      <c r="B1359" t="s">
        <v>2723</v>
      </c>
      <c r="C1359">
        <v>100.49</v>
      </c>
      <c r="D1359">
        <v>100.49</v>
      </c>
      <c r="E1359">
        <v>93.3</v>
      </c>
      <c r="F1359">
        <v>96.88</v>
      </c>
      <c r="G1359">
        <v>101.1</v>
      </c>
      <c r="H1359">
        <v>20370209</v>
      </c>
      <c r="I1359">
        <v>98424</v>
      </c>
      <c r="J1359">
        <v>816000000000</v>
      </c>
      <c r="K1359">
        <v>8426329669</v>
      </c>
      <c r="L1359">
        <f>(Table1[[#This Row],[CLOSE_PRICE]] - Table1[[#This Row],[PREV_CL_PR]]) / Table1[[#This Row],[PREV_CL_PR]] * 100</f>
        <v>-4.174085064292778</v>
      </c>
      <c r="M1359">
        <f>Table1[[#This Row],[HIGH_PRICE]]-Table1[[#This Row],[LOW_PRICE]]</f>
        <v>7.1899999999999977</v>
      </c>
      <c r="N1359" t="str">
        <f>IF(Table1[[#This Row],[CLOSE_PRICE]]&gt;Table1[[#This Row],[OPEN_PRICE]],"Gain","Loss")</f>
        <v>Loss</v>
      </c>
      <c r="O1359" t="str">
        <f>IF(Table1[[#This Row],[MARKET_CAP]]&gt;200000000000,"Large Cap",
IF(Table1[[#This Row],[MARKET_CAP]]&gt;50000000000,"Mid Cap","Small Cap"))</f>
        <v>Large Cap</v>
      </c>
      <c r="P1359" t="str">
        <f>IF(Table1[[#This Row],[NET_TRDQTY]]&gt;1000000,"High Volume","Low Volume")</f>
        <v>High Volume</v>
      </c>
    </row>
    <row r="1360" spans="1:16" x14ac:dyDescent="0.3">
      <c r="A1360" t="s">
        <v>2724</v>
      </c>
      <c r="B1360" t="s">
        <v>2725</v>
      </c>
      <c r="C1360">
        <v>815.75</v>
      </c>
      <c r="D1360">
        <v>818</v>
      </c>
      <c r="E1360">
        <v>767</v>
      </c>
      <c r="F1360">
        <v>771.65</v>
      </c>
      <c r="G1360">
        <v>811.6</v>
      </c>
      <c r="H1360">
        <v>27163</v>
      </c>
      <c r="I1360">
        <v>2285</v>
      </c>
      <c r="J1360">
        <v>20313922375</v>
      </c>
      <c r="K1360">
        <v>26325306</v>
      </c>
      <c r="L1360">
        <f>(Table1[[#This Row],[CLOSE_PRICE]] - Table1[[#This Row],[PREV_CL_PR]]) / Table1[[#This Row],[PREV_CL_PR]] * 100</f>
        <v>-4.9223755544603307</v>
      </c>
      <c r="M1360">
        <f>Table1[[#This Row],[HIGH_PRICE]]-Table1[[#This Row],[LOW_PRICE]]</f>
        <v>51</v>
      </c>
      <c r="N1360" t="str">
        <f>IF(Table1[[#This Row],[CLOSE_PRICE]]&gt;Table1[[#This Row],[OPEN_PRICE]],"Gain","Loss")</f>
        <v>Loss</v>
      </c>
      <c r="O1360" t="str">
        <f>IF(Table1[[#This Row],[MARKET_CAP]]&gt;200000000000,"Large Cap",
IF(Table1[[#This Row],[MARKET_CAP]]&gt;50000000000,"Mid Cap","Small Cap"))</f>
        <v>Small Cap</v>
      </c>
      <c r="P1360" t="str">
        <f>IF(Table1[[#This Row],[NET_TRDQTY]]&gt;1000000,"High Volume","Low Volume")</f>
        <v>Low Volume</v>
      </c>
    </row>
    <row r="1361" spans="1:16" x14ac:dyDescent="0.3">
      <c r="A1361" t="s">
        <v>2726</v>
      </c>
      <c r="B1361" t="s">
        <v>2727</v>
      </c>
      <c r="C1361">
        <v>237.75</v>
      </c>
      <c r="D1361">
        <v>239</v>
      </c>
      <c r="E1361">
        <v>220.6</v>
      </c>
      <c r="F1361">
        <v>222.5</v>
      </c>
      <c r="G1361">
        <v>237.75</v>
      </c>
      <c r="H1361">
        <v>26666</v>
      </c>
      <c r="I1361">
        <v>1535</v>
      </c>
      <c r="J1361">
        <v>2225038938</v>
      </c>
      <c r="K1361">
        <v>10000175</v>
      </c>
      <c r="L1361">
        <f>(Table1[[#This Row],[CLOSE_PRICE]] - Table1[[#This Row],[PREV_CL_PR]]) / Table1[[#This Row],[PREV_CL_PR]] * 100</f>
        <v>-6.4143007360672977</v>
      </c>
      <c r="M1361">
        <f>Table1[[#This Row],[HIGH_PRICE]]-Table1[[#This Row],[LOW_PRICE]]</f>
        <v>18.400000000000006</v>
      </c>
      <c r="N1361" t="str">
        <f>IF(Table1[[#This Row],[CLOSE_PRICE]]&gt;Table1[[#This Row],[OPEN_PRICE]],"Gain","Loss")</f>
        <v>Loss</v>
      </c>
      <c r="O1361" t="str">
        <f>IF(Table1[[#This Row],[MARKET_CAP]]&gt;200000000000,"Large Cap",
IF(Table1[[#This Row],[MARKET_CAP]]&gt;50000000000,"Mid Cap","Small Cap"))</f>
        <v>Small Cap</v>
      </c>
      <c r="P1361" t="str">
        <f>IF(Table1[[#This Row],[NET_TRDQTY]]&gt;1000000,"High Volume","Low Volume")</f>
        <v>Low Volume</v>
      </c>
    </row>
    <row r="1362" spans="1:16" x14ac:dyDescent="0.3">
      <c r="A1362" t="s">
        <v>2728</v>
      </c>
      <c r="B1362" t="s">
        <v>2729</v>
      </c>
      <c r="C1362">
        <v>1140</v>
      </c>
      <c r="D1362">
        <v>1141.8</v>
      </c>
      <c r="E1362">
        <v>1096.9000000000001</v>
      </c>
      <c r="F1362">
        <v>1110.5999999999999</v>
      </c>
      <c r="G1362">
        <v>1147.5</v>
      </c>
      <c r="H1362">
        <v>388532</v>
      </c>
      <c r="I1362">
        <v>20467</v>
      </c>
      <c r="J1362">
        <v>202000000000</v>
      </c>
      <c r="K1362">
        <v>181806170</v>
      </c>
      <c r="L1362">
        <f>(Table1[[#This Row],[CLOSE_PRICE]] - Table1[[#This Row],[PREV_CL_PR]]) / Table1[[#This Row],[PREV_CL_PR]] * 100</f>
        <v>-3.2156862745098116</v>
      </c>
      <c r="M1362">
        <f>Table1[[#This Row],[HIGH_PRICE]]-Table1[[#This Row],[LOW_PRICE]]</f>
        <v>44.899999999999864</v>
      </c>
      <c r="N1362" t="str">
        <f>IF(Table1[[#This Row],[CLOSE_PRICE]]&gt;Table1[[#This Row],[OPEN_PRICE]],"Gain","Loss")</f>
        <v>Loss</v>
      </c>
      <c r="O1362" t="str">
        <f>IF(Table1[[#This Row],[MARKET_CAP]]&gt;200000000000,"Large Cap",
IF(Table1[[#This Row],[MARKET_CAP]]&gt;50000000000,"Mid Cap","Small Cap"))</f>
        <v>Large Cap</v>
      </c>
      <c r="P1362" t="str">
        <f>IF(Table1[[#This Row],[NET_TRDQTY]]&gt;1000000,"High Volume","Low Volume")</f>
        <v>Low Volume</v>
      </c>
    </row>
    <row r="1363" spans="1:16" x14ac:dyDescent="0.3">
      <c r="A1363" t="s">
        <v>2730</v>
      </c>
      <c r="B1363" t="s">
        <v>2731</v>
      </c>
      <c r="C1363">
        <v>285.5</v>
      </c>
      <c r="D1363">
        <v>285.5</v>
      </c>
      <c r="E1363">
        <v>279.7</v>
      </c>
      <c r="F1363">
        <v>282.35000000000002</v>
      </c>
      <c r="G1363">
        <v>286.2</v>
      </c>
      <c r="H1363">
        <v>221290</v>
      </c>
      <c r="I1363">
        <v>6837</v>
      </c>
      <c r="J1363">
        <v>101000000000</v>
      </c>
      <c r="K1363">
        <v>357156153</v>
      </c>
      <c r="L1363">
        <f>(Table1[[#This Row],[CLOSE_PRICE]] - Table1[[#This Row],[PREV_CL_PR]]) / Table1[[#This Row],[PREV_CL_PR]] * 100</f>
        <v>-1.345213137665956</v>
      </c>
      <c r="M1363">
        <f>Table1[[#This Row],[HIGH_PRICE]]-Table1[[#This Row],[LOW_PRICE]]</f>
        <v>5.8000000000000114</v>
      </c>
      <c r="N1363" t="str">
        <f>IF(Table1[[#This Row],[CLOSE_PRICE]]&gt;Table1[[#This Row],[OPEN_PRICE]],"Gain","Loss")</f>
        <v>Loss</v>
      </c>
      <c r="O1363" t="str">
        <f>IF(Table1[[#This Row],[MARKET_CAP]]&gt;200000000000,"Large Cap",
IF(Table1[[#This Row],[MARKET_CAP]]&gt;50000000000,"Mid Cap","Small Cap"))</f>
        <v>Mid Cap</v>
      </c>
      <c r="P1363" t="str">
        <f>IF(Table1[[#This Row],[NET_TRDQTY]]&gt;1000000,"High Volume","Low Volume")</f>
        <v>Low Volume</v>
      </c>
    </row>
    <row r="1364" spans="1:16" x14ac:dyDescent="0.3">
      <c r="A1364" t="s">
        <v>2732</v>
      </c>
      <c r="B1364" t="s">
        <v>2733</v>
      </c>
      <c r="C1364">
        <v>235</v>
      </c>
      <c r="D1364">
        <v>236.9</v>
      </c>
      <c r="E1364">
        <v>232.9</v>
      </c>
      <c r="F1364">
        <v>234.75</v>
      </c>
      <c r="G1364">
        <v>240.6</v>
      </c>
      <c r="H1364">
        <v>4174364</v>
      </c>
      <c r="I1364">
        <v>46942</v>
      </c>
      <c r="J1364">
        <v>672000000000</v>
      </c>
      <c r="K1364">
        <v>2861722531</v>
      </c>
      <c r="L1364">
        <f>(Table1[[#This Row],[CLOSE_PRICE]] - Table1[[#This Row],[PREV_CL_PR]]) / Table1[[#This Row],[PREV_CL_PR]] * 100</f>
        <v>-2.4314214463840376</v>
      </c>
      <c r="M1364">
        <f>Table1[[#This Row],[HIGH_PRICE]]-Table1[[#This Row],[LOW_PRICE]]</f>
        <v>4</v>
      </c>
      <c r="N1364" t="str">
        <f>IF(Table1[[#This Row],[CLOSE_PRICE]]&gt;Table1[[#This Row],[OPEN_PRICE]],"Gain","Loss")</f>
        <v>Loss</v>
      </c>
      <c r="O1364" t="str">
        <f>IF(Table1[[#This Row],[MARKET_CAP]]&gt;200000000000,"Large Cap",
IF(Table1[[#This Row],[MARKET_CAP]]&gt;50000000000,"Mid Cap","Small Cap"))</f>
        <v>Large Cap</v>
      </c>
      <c r="P1364" t="str">
        <f>IF(Table1[[#This Row],[NET_TRDQTY]]&gt;1000000,"High Volume","Low Volume")</f>
        <v>High Volume</v>
      </c>
    </row>
    <row r="1365" spans="1:16" x14ac:dyDescent="0.3">
      <c r="A1365" t="s">
        <v>2734</v>
      </c>
      <c r="B1365" t="s">
        <v>2735</v>
      </c>
      <c r="C1365">
        <v>248</v>
      </c>
      <c r="D1365">
        <v>250.6</v>
      </c>
      <c r="E1365">
        <v>235</v>
      </c>
      <c r="F1365">
        <v>239.15</v>
      </c>
      <c r="G1365">
        <v>252.65</v>
      </c>
      <c r="H1365">
        <v>22205</v>
      </c>
      <c r="I1365">
        <v>863</v>
      </c>
      <c r="J1365">
        <v>8048252700</v>
      </c>
      <c r="K1365">
        <v>33653576</v>
      </c>
      <c r="L1365">
        <f>(Table1[[#This Row],[CLOSE_PRICE]] - Table1[[#This Row],[PREV_CL_PR]]) / Table1[[#This Row],[PREV_CL_PR]] * 100</f>
        <v>-5.3433603799722933</v>
      </c>
      <c r="M1365">
        <f>Table1[[#This Row],[HIGH_PRICE]]-Table1[[#This Row],[LOW_PRICE]]</f>
        <v>15.599999999999994</v>
      </c>
      <c r="N1365" t="str">
        <f>IF(Table1[[#This Row],[CLOSE_PRICE]]&gt;Table1[[#This Row],[OPEN_PRICE]],"Gain","Loss")</f>
        <v>Loss</v>
      </c>
      <c r="O1365" t="str">
        <f>IF(Table1[[#This Row],[MARKET_CAP]]&gt;200000000000,"Large Cap",
IF(Table1[[#This Row],[MARKET_CAP]]&gt;50000000000,"Mid Cap","Small Cap"))</f>
        <v>Small Cap</v>
      </c>
      <c r="P1365" t="str">
        <f>IF(Table1[[#This Row],[NET_TRDQTY]]&gt;1000000,"High Volume","Low Volume")</f>
        <v>Low Volume</v>
      </c>
    </row>
    <row r="1366" spans="1:16" x14ac:dyDescent="0.3">
      <c r="A1366" t="s">
        <v>2736</v>
      </c>
      <c r="B1366" t="s">
        <v>2737</v>
      </c>
      <c r="C1366">
        <v>55.06</v>
      </c>
      <c r="D1366">
        <v>55.51</v>
      </c>
      <c r="E1366">
        <v>54.01</v>
      </c>
      <c r="F1366">
        <v>54.1</v>
      </c>
      <c r="G1366">
        <v>56</v>
      </c>
      <c r="H1366">
        <v>3007</v>
      </c>
      <c r="I1366">
        <v>97</v>
      </c>
      <c r="J1366">
        <v>1140578939</v>
      </c>
      <c r="K1366">
        <v>21082790</v>
      </c>
      <c r="L1366">
        <f>(Table1[[#This Row],[CLOSE_PRICE]] - Table1[[#This Row],[PREV_CL_PR]]) / Table1[[#This Row],[PREV_CL_PR]] * 100</f>
        <v>-3.3928571428571406</v>
      </c>
      <c r="M1366">
        <f>Table1[[#This Row],[HIGH_PRICE]]-Table1[[#This Row],[LOW_PRICE]]</f>
        <v>1.5</v>
      </c>
      <c r="N1366" t="str">
        <f>IF(Table1[[#This Row],[CLOSE_PRICE]]&gt;Table1[[#This Row],[OPEN_PRICE]],"Gain","Loss")</f>
        <v>Loss</v>
      </c>
      <c r="O1366" t="str">
        <f>IF(Table1[[#This Row],[MARKET_CAP]]&gt;200000000000,"Large Cap",
IF(Table1[[#This Row],[MARKET_CAP]]&gt;50000000000,"Mid Cap","Small Cap"))</f>
        <v>Small Cap</v>
      </c>
      <c r="P1366" t="str">
        <f>IF(Table1[[#This Row],[NET_TRDQTY]]&gt;1000000,"High Volume","Low Volume")</f>
        <v>Low Volume</v>
      </c>
    </row>
    <row r="1367" spans="1:16" x14ac:dyDescent="0.3">
      <c r="A1367" t="s">
        <v>2738</v>
      </c>
      <c r="B1367" t="s">
        <v>2739</v>
      </c>
      <c r="C1367">
        <v>1420</v>
      </c>
      <c r="D1367">
        <v>1445.8</v>
      </c>
      <c r="E1367">
        <v>1391.2</v>
      </c>
      <c r="F1367">
        <v>1411.5</v>
      </c>
      <c r="G1367">
        <v>1445.8</v>
      </c>
      <c r="H1367">
        <v>556616</v>
      </c>
      <c r="I1367">
        <v>28950</v>
      </c>
      <c r="J1367">
        <v>513000000000</v>
      </c>
      <c r="K1367">
        <v>363602237</v>
      </c>
      <c r="L1367">
        <f>(Table1[[#This Row],[CLOSE_PRICE]] - Table1[[#This Row],[PREV_CL_PR]]) / Table1[[#This Row],[PREV_CL_PR]] * 100</f>
        <v>-2.3723889887951275</v>
      </c>
      <c r="M1367">
        <f>Table1[[#This Row],[HIGH_PRICE]]-Table1[[#This Row],[LOW_PRICE]]</f>
        <v>54.599999999999909</v>
      </c>
      <c r="N1367" t="str">
        <f>IF(Table1[[#This Row],[CLOSE_PRICE]]&gt;Table1[[#This Row],[OPEN_PRICE]],"Gain","Loss")</f>
        <v>Loss</v>
      </c>
      <c r="O1367" t="str">
        <f>IF(Table1[[#This Row],[MARKET_CAP]]&gt;200000000000,"Large Cap",
IF(Table1[[#This Row],[MARKET_CAP]]&gt;50000000000,"Mid Cap","Small Cap"))</f>
        <v>Large Cap</v>
      </c>
      <c r="P1367" t="str">
        <f>IF(Table1[[#This Row],[NET_TRDQTY]]&gt;1000000,"High Volume","Low Volume")</f>
        <v>Low Volume</v>
      </c>
    </row>
    <row r="1368" spans="1:16" x14ac:dyDescent="0.3">
      <c r="A1368" t="s">
        <v>2740</v>
      </c>
      <c r="B1368" t="s">
        <v>2741</v>
      </c>
      <c r="C1368">
        <v>86.9</v>
      </c>
      <c r="D1368">
        <v>86.9</v>
      </c>
      <c r="E1368">
        <v>81.09</v>
      </c>
      <c r="F1368">
        <v>83.14</v>
      </c>
      <c r="G1368">
        <v>87.8</v>
      </c>
      <c r="H1368">
        <v>109426</v>
      </c>
      <c r="I1368">
        <v>2068</v>
      </c>
      <c r="J1368">
        <v>4152881244</v>
      </c>
      <c r="K1368">
        <v>49950460</v>
      </c>
      <c r="L1368">
        <f>(Table1[[#This Row],[CLOSE_PRICE]] - Table1[[#This Row],[PREV_CL_PR]]) / Table1[[#This Row],[PREV_CL_PR]] * 100</f>
        <v>-5.3075170842824564</v>
      </c>
      <c r="M1368">
        <f>Table1[[#This Row],[HIGH_PRICE]]-Table1[[#This Row],[LOW_PRICE]]</f>
        <v>5.8100000000000023</v>
      </c>
      <c r="N1368" t="str">
        <f>IF(Table1[[#This Row],[CLOSE_PRICE]]&gt;Table1[[#This Row],[OPEN_PRICE]],"Gain","Loss")</f>
        <v>Loss</v>
      </c>
      <c r="O1368" t="str">
        <f>IF(Table1[[#This Row],[MARKET_CAP]]&gt;200000000000,"Large Cap",
IF(Table1[[#This Row],[MARKET_CAP]]&gt;50000000000,"Mid Cap","Small Cap"))</f>
        <v>Small Cap</v>
      </c>
      <c r="P1368" t="str">
        <f>IF(Table1[[#This Row],[NET_TRDQTY]]&gt;1000000,"High Volume","Low Volume")</f>
        <v>Low Volume</v>
      </c>
    </row>
    <row r="1369" spans="1:16" x14ac:dyDescent="0.3">
      <c r="A1369" t="s">
        <v>2742</v>
      </c>
      <c r="B1369" t="s">
        <v>2743</v>
      </c>
      <c r="C1369">
        <v>22.45</v>
      </c>
      <c r="D1369">
        <v>23.49</v>
      </c>
      <c r="E1369">
        <v>21</v>
      </c>
      <c r="F1369">
        <v>21.27</v>
      </c>
      <c r="G1369">
        <v>22.97</v>
      </c>
      <c r="H1369">
        <v>24363</v>
      </c>
      <c r="I1369">
        <v>701</v>
      </c>
      <c r="J1369">
        <v>664867231.5</v>
      </c>
      <c r="K1369">
        <v>31258450</v>
      </c>
      <c r="L1369">
        <f>(Table1[[#This Row],[CLOSE_PRICE]] - Table1[[#This Row],[PREV_CL_PR]]) / Table1[[#This Row],[PREV_CL_PR]] * 100</f>
        <v>-7.4009577710056558</v>
      </c>
      <c r="M1369">
        <f>Table1[[#This Row],[HIGH_PRICE]]-Table1[[#This Row],[LOW_PRICE]]</f>
        <v>2.4899999999999984</v>
      </c>
      <c r="N1369" t="str">
        <f>IF(Table1[[#This Row],[CLOSE_PRICE]]&gt;Table1[[#This Row],[OPEN_PRICE]],"Gain","Loss")</f>
        <v>Loss</v>
      </c>
      <c r="O1369" t="str">
        <f>IF(Table1[[#This Row],[MARKET_CAP]]&gt;200000000000,"Large Cap",
IF(Table1[[#This Row],[MARKET_CAP]]&gt;50000000000,"Mid Cap","Small Cap"))</f>
        <v>Small Cap</v>
      </c>
      <c r="P1369" t="str">
        <f>IF(Table1[[#This Row],[NET_TRDQTY]]&gt;1000000,"High Volume","Low Volume")</f>
        <v>Low Volume</v>
      </c>
    </row>
    <row r="1370" spans="1:16" x14ac:dyDescent="0.3">
      <c r="A1370" t="s">
        <v>2744</v>
      </c>
      <c r="B1370" t="s">
        <v>2745</v>
      </c>
      <c r="C1370">
        <v>6490</v>
      </c>
      <c r="D1370">
        <v>6535</v>
      </c>
      <c r="E1370">
        <v>6401</v>
      </c>
      <c r="F1370">
        <v>6445</v>
      </c>
      <c r="G1370">
        <v>6580</v>
      </c>
      <c r="H1370">
        <v>118364</v>
      </c>
      <c r="I1370">
        <v>25125</v>
      </c>
      <c r="J1370">
        <v>561000000000</v>
      </c>
      <c r="K1370">
        <v>87016901</v>
      </c>
      <c r="L1370">
        <f>(Table1[[#This Row],[CLOSE_PRICE]] - Table1[[#This Row],[PREV_CL_PR]]) / Table1[[#This Row],[PREV_CL_PR]] * 100</f>
        <v>-2.0516717325227964</v>
      </c>
      <c r="M1370">
        <f>Table1[[#This Row],[HIGH_PRICE]]-Table1[[#This Row],[LOW_PRICE]]</f>
        <v>134</v>
      </c>
      <c r="N1370" t="str">
        <f>IF(Table1[[#This Row],[CLOSE_PRICE]]&gt;Table1[[#This Row],[OPEN_PRICE]],"Gain","Loss")</f>
        <v>Loss</v>
      </c>
      <c r="O1370" t="str">
        <f>IF(Table1[[#This Row],[MARKET_CAP]]&gt;200000000000,"Large Cap",
IF(Table1[[#This Row],[MARKET_CAP]]&gt;50000000000,"Mid Cap","Small Cap"))</f>
        <v>Large Cap</v>
      </c>
      <c r="P1370" t="str">
        <f>IF(Table1[[#This Row],[NET_TRDQTY]]&gt;1000000,"High Volume","Low Volume")</f>
        <v>Low Volume</v>
      </c>
    </row>
    <row r="1371" spans="1:16" x14ac:dyDescent="0.3">
      <c r="A1371" t="s">
        <v>2746</v>
      </c>
      <c r="B1371" t="s">
        <v>2747</v>
      </c>
      <c r="C1371">
        <v>475.75</v>
      </c>
      <c r="D1371">
        <v>480.6</v>
      </c>
      <c r="E1371">
        <v>462.85</v>
      </c>
      <c r="F1371">
        <v>464.65</v>
      </c>
      <c r="G1371">
        <v>475.5</v>
      </c>
      <c r="H1371">
        <v>3239580</v>
      </c>
      <c r="I1371">
        <v>40061</v>
      </c>
      <c r="J1371">
        <v>756000000000</v>
      </c>
      <c r="K1371">
        <v>1626607791</v>
      </c>
      <c r="L1371">
        <f>(Table1[[#This Row],[CLOSE_PRICE]] - Table1[[#This Row],[PREV_CL_PR]]) / Table1[[#This Row],[PREV_CL_PR]] * 100</f>
        <v>-2.2818086225026337</v>
      </c>
      <c r="M1371">
        <f>Table1[[#This Row],[HIGH_PRICE]]-Table1[[#This Row],[LOW_PRICE]]</f>
        <v>17.75</v>
      </c>
      <c r="N1371" t="str">
        <f>IF(Table1[[#This Row],[CLOSE_PRICE]]&gt;Table1[[#This Row],[OPEN_PRICE]],"Gain","Loss")</f>
        <v>Loss</v>
      </c>
      <c r="O1371" t="str">
        <f>IF(Table1[[#This Row],[MARKET_CAP]]&gt;200000000000,"Large Cap",
IF(Table1[[#This Row],[MARKET_CAP]]&gt;50000000000,"Mid Cap","Small Cap"))</f>
        <v>Large Cap</v>
      </c>
      <c r="P1371" t="str">
        <f>IF(Table1[[#This Row],[NET_TRDQTY]]&gt;1000000,"High Volume","Low Volume")</f>
        <v>High Volume</v>
      </c>
    </row>
    <row r="1372" spans="1:16" x14ac:dyDescent="0.3">
      <c r="A1372" t="s">
        <v>2748</v>
      </c>
      <c r="B1372" t="s">
        <v>2749</v>
      </c>
      <c r="C1372">
        <v>41.2</v>
      </c>
      <c r="D1372">
        <v>41.2</v>
      </c>
      <c r="E1372">
        <v>38.75</v>
      </c>
      <c r="F1372">
        <v>39.1</v>
      </c>
      <c r="G1372">
        <v>41.4</v>
      </c>
      <c r="H1372">
        <v>50779</v>
      </c>
      <c r="I1372">
        <v>638</v>
      </c>
      <c r="J1372">
        <v>2032790623</v>
      </c>
      <c r="K1372">
        <v>51989530</v>
      </c>
      <c r="L1372">
        <f>(Table1[[#This Row],[CLOSE_PRICE]] - Table1[[#This Row],[PREV_CL_PR]]) / Table1[[#This Row],[PREV_CL_PR]] * 100</f>
        <v>-5.5555555555555491</v>
      </c>
      <c r="M1372">
        <f>Table1[[#This Row],[HIGH_PRICE]]-Table1[[#This Row],[LOW_PRICE]]</f>
        <v>2.4500000000000028</v>
      </c>
      <c r="N1372" t="str">
        <f>IF(Table1[[#This Row],[CLOSE_PRICE]]&gt;Table1[[#This Row],[OPEN_PRICE]],"Gain","Loss")</f>
        <v>Loss</v>
      </c>
      <c r="O1372" t="str">
        <f>IF(Table1[[#This Row],[MARKET_CAP]]&gt;200000000000,"Large Cap",
IF(Table1[[#This Row],[MARKET_CAP]]&gt;50000000000,"Mid Cap","Small Cap"))</f>
        <v>Small Cap</v>
      </c>
      <c r="P1372" t="str">
        <f>IF(Table1[[#This Row],[NET_TRDQTY]]&gt;1000000,"High Volume","Low Volume")</f>
        <v>Low Volume</v>
      </c>
    </row>
    <row r="1373" spans="1:16" x14ac:dyDescent="0.3">
      <c r="A1373" t="s">
        <v>2750</v>
      </c>
      <c r="B1373" t="s">
        <v>2751</v>
      </c>
      <c r="C1373">
        <v>24.47</v>
      </c>
      <c r="D1373">
        <v>24.5</v>
      </c>
      <c r="E1373">
        <v>23.12</v>
      </c>
      <c r="F1373">
        <v>23.32</v>
      </c>
      <c r="G1373">
        <v>24.66</v>
      </c>
      <c r="H1373">
        <v>48421423</v>
      </c>
      <c r="I1373">
        <v>64935</v>
      </c>
      <c r="J1373">
        <v>103000000000</v>
      </c>
      <c r="K1373">
        <v>4410829885</v>
      </c>
      <c r="L1373">
        <f>(Table1[[#This Row],[CLOSE_PRICE]] - Table1[[#This Row],[PREV_CL_PR]]) / Table1[[#This Row],[PREV_CL_PR]] * 100</f>
        <v>-5.4339010543390094</v>
      </c>
      <c r="M1373">
        <f>Table1[[#This Row],[HIGH_PRICE]]-Table1[[#This Row],[LOW_PRICE]]</f>
        <v>1.379999999999999</v>
      </c>
      <c r="N1373" t="str">
        <f>IF(Table1[[#This Row],[CLOSE_PRICE]]&gt;Table1[[#This Row],[OPEN_PRICE]],"Gain","Loss")</f>
        <v>Loss</v>
      </c>
      <c r="O1373" t="str">
        <f>IF(Table1[[#This Row],[MARKET_CAP]]&gt;200000000000,"Large Cap",
IF(Table1[[#This Row],[MARKET_CAP]]&gt;50000000000,"Mid Cap","Small Cap"))</f>
        <v>Mid Cap</v>
      </c>
      <c r="P1373" t="str">
        <f>IF(Table1[[#This Row],[NET_TRDQTY]]&gt;1000000,"High Volume","Low Volume")</f>
        <v>High Volume</v>
      </c>
    </row>
    <row r="1374" spans="1:16" x14ac:dyDescent="0.3">
      <c r="A1374" t="s">
        <v>2752</v>
      </c>
      <c r="B1374" t="s">
        <v>2753</v>
      </c>
      <c r="C1374">
        <v>1080</v>
      </c>
      <c r="D1374">
        <v>1114</v>
      </c>
      <c r="E1374">
        <v>1015</v>
      </c>
      <c r="F1374">
        <v>1024</v>
      </c>
      <c r="G1374">
        <v>1097.4000000000001</v>
      </c>
      <c r="H1374">
        <v>1856029</v>
      </c>
      <c r="I1374">
        <v>79012</v>
      </c>
      <c r="J1374">
        <v>84050674688</v>
      </c>
      <c r="K1374">
        <v>82080737</v>
      </c>
      <c r="L1374">
        <f>(Table1[[#This Row],[CLOSE_PRICE]] - Table1[[#This Row],[PREV_CL_PR]]) / Table1[[#This Row],[PREV_CL_PR]] * 100</f>
        <v>-6.6885365409148978</v>
      </c>
      <c r="M1374">
        <f>Table1[[#This Row],[HIGH_PRICE]]-Table1[[#This Row],[LOW_PRICE]]</f>
        <v>99</v>
      </c>
      <c r="N1374" t="str">
        <f>IF(Table1[[#This Row],[CLOSE_PRICE]]&gt;Table1[[#This Row],[OPEN_PRICE]],"Gain","Loss")</f>
        <v>Loss</v>
      </c>
      <c r="O1374" t="str">
        <f>IF(Table1[[#This Row],[MARKET_CAP]]&gt;200000000000,"Large Cap",
IF(Table1[[#This Row],[MARKET_CAP]]&gt;50000000000,"Mid Cap","Small Cap"))</f>
        <v>Mid Cap</v>
      </c>
      <c r="P1374" t="str">
        <f>IF(Table1[[#This Row],[NET_TRDQTY]]&gt;1000000,"High Volume","Low Volume")</f>
        <v>High Volume</v>
      </c>
    </row>
    <row r="1375" spans="1:16" x14ac:dyDescent="0.3">
      <c r="A1375" t="s">
        <v>2754</v>
      </c>
      <c r="B1375" t="s">
        <v>2755</v>
      </c>
      <c r="C1375">
        <v>97.2</v>
      </c>
      <c r="D1375">
        <v>97.21</v>
      </c>
      <c r="E1375">
        <v>92.2</v>
      </c>
      <c r="F1375">
        <v>93.73</v>
      </c>
      <c r="G1375">
        <v>98.2</v>
      </c>
      <c r="H1375">
        <v>38636</v>
      </c>
      <c r="I1375">
        <v>1075</v>
      </c>
      <c r="J1375">
        <v>2003123795</v>
      </c>
      <c r="K1375">
        <v>21371213</v>
      </c>
      <c r="L1375">
        <f>(Table1[[#This Row],[CLOSE_PRICE]] - Table1[[#This Row],[PREV_CL_PR]]) / Table1[[#This Row],[PREV_CL_PR]] * 100</f>
        <v>-4.551934826883909</v>
      </c>
      <c r="M1375">
        <f>Table1[[#This Row],[HIGH_PRICE]]-Table1[[#This Row],[LOW_PRICE]]</f>
        <v>5.0099999999999909</v>
      </c>
      <c r="N1375" t="str">
        <f>IF(Table1[[#This Row],[CLOSE_PRICE]]&gt;Table1[[#This Row],[OPEN_PRICE]],"Gain","Loss")</f>
        <v>Loss</v>
      </c>
      <c r="O1375" t="str">
        <f>IF(Table1[[#This Row],[MARKET_CAP]]&gt;200000000000,"Large Cap",
IF(Table1[[#This Row],[MARKET_CAP]]&gt;50000000000,"Mid Cap","Small Cap"))</f>
        <v>Small Cap</v>
      </c>
      <c r="P1375" t="str">
        <f>IF(Table1[[#This Row],[NET_TRDQTY]]&gt;1000000,"High Volume","Low Volume")</f>
        <v>Low Volume</v>
      </c>
    </row>
    <row r="1376" spans="1:16" x14ac:dyDescent="0.3">
      <c r="A1376" t="s">
        <v>2756</v>
      </c>
      <c r="B1376" t="s">
        <v>2757</v>
      </c>
      <c r="C1376">
        <v>72</v>
      </c>
      <c r="D1376">
        <v>72.72</v>
      </c>
      <c r="E1376">
        <v>68</v>
      </c>
      <c r="F1376">
        <v>68.45</v>
      </c>
      <c r="G1376">
        <v>72.05</v>
      </c>
      <c r="H1376">
        <v>147505</v>
      </c>
      <c r="I1376">
        <v>1189</v>
      </c>
      <c r="J1376">
        <v>12519541963</v>
      </c>
      <c r="K1376">
        <v>182900540</v>
      </c>
      <c r="L1376">
        <f>(Table1[[#This Row],[CLOSE_PRICE]] - Table1[[#This Row],[PREV_CL_PR]]) / Table1[[#This Row],[PREV_CL_PR]] * 100</f>
        <v>-4.9965301873698742</v>
      </c>
      <c r="M1376">
        <f>Table1[[#This Row],[HIGH_PRICE]]-Table1[[#This Row],[LOW_PRICE]]</f>
        <v>4.7199999999999989</v>
      </c>
      <c r="N1376" t="str">
        <f>IF(Table1[[#This Row],[CLOSE_PRICE]]&gt;Table1[[#This Row],[OPEN_PRICE]],"Gain","Loss")</f>
        <v>Loss</v>
      </c>
      <c r="O1376" t="str">
        <f>IF(Table1[[#This Row],[MARKET_CAP]]&gt;200000000000,"Large Cap",
IF(Table1[[#This Row],[MARKET_CAP]]&gt;50000000000,"Mid Cap","Small Cap"))</f>
        <v>Small Cap</v>
      </c>
      <c r="P1376" t="str">
        <f>IF(Table1[[#This Row],[NET_TRDQTY]]&gt;1000000,"High Volume","Low Volume")</f>
        <v>Low Volume</v>
      </c>
    </row>
    <row r="1377" spans="1:16" x14ac:dyDescent="0.3">
      <c r="A1377" t="s">
        <v>2758</v>
      </c>
      <c r="B1377" t="s">
        <v>2759</v>
      </c>
      <c r="C1377">
        <v>70</v>
      </c>
      <c r="D1377">
        <v>70</v>
      </c>
      <c r="E1377">
        <v>66.22</v>
      </c>
      <c r="F1377">
        <v>68.2</v>
      </c>
      <c r="G1377">
        <v>70.61</v>
      </c>
      <c r="H1377">
        <v>39859</v>
      </c>
      <c r="I1377">
        <v>681</v>
      </c>
      <c r="J1377">
        <v>2296665144</v>
      </c>
      <c r="K1377">
        <v>33675442</v>
      </c>
      <c r="L1377">
        <f>(Table1[[#This Row],[CLOSE_PRICE]] - Table1[[#This Row],[PREV_CL_PR]]) / Table1[[#This Row],[PREV_CL_PR]] * 100</f>
        <v>-3.4131142897606521</v>
      </c>
      <c r="M1377">
        <f>Table1[[#This Row],[HIGH_PRICE]]-Table1[[#This Row],[LOW_PRICE]]</f>
        <v>3.7800000000000011</v>
      </c>
      <c r="N1377" t="str">
        <f>IF(Table1[[#This Row],[CLOSE_PRICE]]&gt;Table1[[#This Row],[OPEN_PRICE]],"Gain","Loss")</f>
        <v>Loss</v>
      </c>
      <c r="O1377" t="str">
        <f>IF(Table1[[#This Row],[MARKET_CAP]]&gt;200000000000,"Large Cap",
IF(Table1[[#This Row],[MARKET_CAP]]&gt;50000000000,"Mid Cap","Small Cap"))</f>
        <v>Small Cap</v>
      </c>
      <c r="P1377" t="str">
        <f>IF(Table1[[#This Row],[NET_TRDQTY]]&gt;1000000,"High Volume","Low Volume")</f>
        <v>Low Volume</v>
      </c>
    </row>
    <row r="1378" spans="1:16" x14ac:dyDescent="0.3">
      <c r="A1378" t="s">
        <v>2760</v>
      </c>
      <c r="B1378" t="s">
        <v>2761</v>
      </c>
      <c r="C1378">
        <v>83</v>
      </c>
      <c r="D1378">
        <v>83</v>
      </c>
      <c r="E1378">
        <v>78.25</v>
      </c>
      <c r="F1378">
        <v>80.25</v>
      </c>
      <c r="G1378">
        <v>83.23</v>
      </c>
      <c r="H1378">
        <v>582539</v>
      </c>
      <c r="I1378">
        <v>2663</v>
      </c>
      <c r="J1378">
        <v>7728380672</v>
      </c>
      <c r="K1378">
        <v>96303809</v>
      </c>
      <c r="L1378">
        <f>(Table1[[#This Row],[CLOSE_PRICE]] - Table1[[#This Row],[PREV_CL_PR]]) / Table1[[#This Row],[PREV_CL_PR]] * 100</f>
        <v>-3.5804397452841572</v>
      </c>
      <c r="M1378">
        <f>Table1[[#This Row],[HIGH_PRICE]]-Table1[[#This Row],[LOW_PRICE]]</f>
        <v>4.75</v>
      </c>
      <c r="N1378" t="str">
        <f>IF(Table1[[#This Row],[CLOSE_PRICE]]&gt;Table1[[#This Row],[OPEN_PRICE]],"Gain","Loss")</f>
        <v>Loss</v>
      </c>
      <c r="O1378" t="str">
        <f>IF(Table1[[#This Row],[MARKET_CAP]]&gt;200000000000,"Large Cap",
IF(Table1[[#This Row],[MARKET_CAP]]&gt;50000000000,"Mid Cap","Small Cap"))</f>
        <v>Small Cap</v>
      </c>
      <c r="P1378" t="str">
        <f>IF(Table1[[#This Row],[NET_TRDQTY]]&gt;1000000,"High Volume","Low Volume")</f>
        <v>Low Volume</v>
      </c>
    </row>
    <row r="1379" spans="1:16" x14ac:dyDescent="0.3">
      <c r="A1379" t="s">
        <v>2762</v>
      </c>
      <c r="B1379" t="s">
        <v>2763</v>
      </c>
      <c r="C1379">
        <v>239.1</v>
      </c>
      <c r="D1379">
        <v>239.1</v>
      </c>
      <c r="E1379">
        <v>213.3</v>
      </c>
      <c r="F1379">
        <v>222.84</v>
      </c>
      <c r="G1379">
        <v>243.99</v>
      </c>
      <c r="H1379">
        <v>885923</v>
      </c>
      <c r="I1379">
        <v>14997</v>
      </c>
      <c r="J1379">
        <v>27557735897</v>
      </c>
      <c r="K1379">
        <v>123666020</v>
      </c>
      <c r="L1379">
        <f>(Table1[[#This Row],[CLOSE_PRICE]] - Table1[[#This Row],[PREV_CL_PR]]) / Table1[[#This Row],[PREV_CL_PR]] * 100</f>
        <v>-8.668388048690522</v>
      </c>
      <c r="M1379">
        <f>Table1[[#This Row],[HIGH_PRICE]]-Table1[[#This Row],[LOW_PRICE]]</f>
        <v>25.799999999999983</v>
      </c>
      <c r="N1379" t="str">
        <f>IF(Table1[[#This Row],[CLOSE_PRICE]]&gt;Table1[[#This Row],[OPEN_PRICE]],"Gain","Loss")</f>
        <v>Loss</v>
      </c>
      <c r="O1379" t="str">
        <f>IF(Table1[[#This Row],[MARKET_CAP]]&gt;200000000000,"Large Cap",
IF(Table1[[#This Row],[MARKET_CAP]]&gt;50000000000,"Mid Cap","Small Cap"))</f>
        <v>Small Cap</v>
      </c>
      <c r="P1379" t="str">
        <f>IF(Table1[[#This Row],[NET_TRDQTY]]&gt;1000000,"High Volume","Low Volume")</f>
        <v>Low Volume</v>
      </c>
    </row>
    <row r="1380" spans="1:16" x14ac:dyDescent="0.3">
      <c r="A1380" t="s">
        <v>2764</v>
      </c>
      <c r="B1380" t="s">
        <v>2765</v>
      </c>
      <c r="C1380">
        <v>14.5</v>
      </c>
      <c r="D1380">
        <v>14.79</v>
      </c>
      <c r="E1380">
        <v>14.27</v>
      </c>
      <c r="F1380">
        <v>14.5</v>
      </c>
      <c r="G1380">
        <v>14.27</v>
      </c>
      <c r="H1380">
        <v>35732</v>
      </c>
      <c r="I1380">
        <v>117</v>
      </c>
      <c r="J1380">
        <v>541720000</v>
      </c>
      <c r="K1380">
        <v>37360000</v>
      </c>
      <c r="L1380">
        <f>(Table1[[#This Row],[CLOSE_PRICE]] - Table1[[#This Row],[PREV_CL_PR]]) / Table1[[#This Row],[PREV_CL_PR]] * 100</f>
        <v>1.6117729502452729</v>
      </c>
      <c r="M1380">
        <f>Table1[[#This Row],[HIGH_PRICE]]-Table1[[#This Row],[LOW_PRICE]]</f>
        <v>0.51999999999999957</v>
      </c>
      <c r="N1380" t="str">
        <f>IF(Table1[[#This Row],[CLOSE_PRICE]]&gt;Table1[[#This Row],[OPEN_PRICE]],"Gain","Loss")</f>
        <v>Loss</v>
      </c>
      <c r="O1380" t="str">
        <f>IF(Table1[[#This Row],[MARKET_CAP]]&gt;200000000000,"Large Cap",
IF(Table1[[#This Row],[MARKET_CAP]]&gt;50000000000,"Mid Cap","Small Cap"))</f>
        <v>Small Cap</v>
      </c>
      <c r="P1380" t="str">
        <f>IF(Table1[[#This Row],[NET_TRDQTY]]&gt;1000000,"High Volume","Low Volume")</f>
        <v>Low Volume</v>
      </c>
    </row>
    <row r="1381" spans="1:16" x14ac:dyDescent="0.3">
      <c r="A1381" t="s">
        <v>2766</v>
      </c>
      <c r="B1381" t="s">
        <v>2767</v>
      </c>
      <c r="C1381">
        <v>43.84</v>
      </c>
      <c r="D1381">
        <v>43.84</v>
      </c>
      <c r="E1381">
        <v>41.75</v>
      </c>
      <c r="F1381">
        <v>43.1</v>
      </c>
      <c r="G1381">
        <v>44.52</v>
      </c>
      <c r="H1381">
        <v>1201739</v>
      </c>
      <c r="I1381">
        <v>6370</v>
      </c>
      <c r="J1381">
        <v>11331889195</v>
      </c>
      <c r="K1381">
        <v>262920863</v>
      </c>
      <c r="L1381">
        <f>(Table1[[#This Row],[CLOSE_PRICE]] - Table1[[#This Row],[PREV_CL_PR]]) / Table1[[#This Row],[PREV_CL_PR]] * 100</f>
        <v>-3.1895777178796081</v>
      </c>
      <c r="M1381">
        <f>Table1[[#This Row],[HIGH_PRICE]]-Table1[[#This Row],[LOW_PRICE]]</f>
        <v>2.0900000000000034</v>
      </c>
      <c r="N1381" t="str">
        <f>IF(Table1[[#This Row],[CLOSE_PRICE]]&gt;Table1[[#This Row],[OPEN_PRICE]],"Gain","Loss")</f>
        <v>Loss</v>
      </c>
      <c r="O1381" t="str">
        <f>IF(Table1[[#This Row],[MARKET_CAP]]&gt;200000000000,"Large Cap",
IF(Table1[[#This Row],[MARKET_CAP]]&gt;50000000000,"Mid Cap","Small Cap"))</f>
        <v>Small Cap</v>
      </c>
      <c r="P1381" t="str">
        <f>IF(Table1[[#This Row],[NET_TRDQTY]]&gt;1000000,"High Volume","Low Volume")</f>
        <v>High Volume</v>
      </c>
    </row>
    <row r="1382" spans="1:16" x14ac:dyDescent="0.3">
      <c r="A1382" t="s">
        <v>2768</v>
      </c>
      <c r="B1382" t="s">
        <v>2769</v>
      </c>
      <c r="C1382">
        <v>1415.5</v>
      </c>
      <c r="D1382">
        <v>1427.9</v>
      </c>
      <c r="E1382">
        <v>1356.6</v>
      </c>
      <c r="F1382">
        <v>1389.1</v>
      </c>
      <c r="G1382">
        <v>1456.4</v>
      </c>
      <c r="H1382">
        <v>269491</v>
      </c>
      <c r="I1382">
        <v>28093</v>
      </c>
      <c r="J1382">
        <v>159000000000</v>
      </c>
      <c r="K1382">
        <v>114585136</v>
      </c>
      <c r="L1382">
        <f>(Table1[[#This Row],[CLOSE_PRICE]] - Table1[[#This Row],[PREV_CL_PR]]) / Table1[[#This Row],[PREV_CL_PR]] * 100</f>
        <v>-4.6209832463609022</v>
      </c>
      <c r="M1382">
        <f>Table1[[#This Row],[HIGH_PRICE]]-Table1[[#This Row],[LOW_PRICE]]</f>
        <v>71.300000000000182</v>
      </c>
      <c r="N1382" t="str">
        <f>IF(Table1[[#This Row],[CLOSE_PRICE]]&gt;Table1[[#This Row],[OPEN_PRICE]],"Gain","Loss")</f>
        <v>Loss</v>
      </c>
      <c r="O1382" t="str">
        <f>IF(Table1[[#This Row],[MARKET_CAP]]&gt;200000000000,"Large Cap",
IF(Table1[[#This Row],[MARKET_CAP]]&gt;50000000000,"Mid Cap","Small Cap"))</f>
        <v>Mid Cap</v>
      </c>
      <c r="P1382" t="str">
        <f>IF(Table1[[#This Row],[NET_TRDQTY]]&gt;1000000,"High Volume","Low Volume")</f>
        <v>Low Volume</v>
      </c>
    </row>
    <row r="1383" spans="1:16" x14ac:dyDescent="0.3">
      <c r="A1383" t="s">
        <v>2770</v>
      </c>
      <c r="B1383" t="s">
        <v>2771</v>
      </c>
      <c r="C1383">
        <v>48.3</v>
      </c>
      <c r="D1383">
        <v>48.54</v>
      </c>
      <c r="E1383">
        <v>46.1</v>
      </c>
      <c r="F1383">
        <v>46.48</v>
      </c>
      <c r="G1383">
        <v>49.28</v>
      </c>
      <c r="H1383">
        <v>207477</v>
      </c>
      <c r="I1383">
        <v>1803</v>
      </c>
      <c r="J1383">
        <v>4941816395</v>
      </c>
      <c r="K1383">
        <v>106321351</v>
      </c>
      <c r="L1383">
        <f>(Table1[[#This Row],[CLOSE_PRICE]] - Table1[[#This Row],[PREV_CL_PR]]) / Table1[[#This Row],[PREV_CL_PR]] * 100</f>
        <v>-5.6818181818181905</v>
      </c>
      <c r="M1383">
        <f>Table1[[#This Row],[HIGH_PRICE]]-Table1[[#This Row],[LOW_PRICE]]</f>
        <v>2.4399999999999977</v>
      </c>
      <c r="N1383" t="str">
        <f>IF(Table1[[#This Row],[CLOSE_PRICE]]&gt;Table1[[#This Row],[OPEN_PRICE]],"Gain","Loss")</f>
        <v>Loss</v>
      </c>
      <c r="O1383" t="str">
        <f>IF(Table1[[#This Row],[MARKET_CAP]]&gt;200000000000,"Large Cap",
IF(Table1[[#This Row],[MARKET_CAP]]&gt;50000000000,"Mid Cap","Small Cap"))</f>
        <v>Small Cap</v>
      </c>
      <c r="P1383" t="str">
        <f>IF(Table1[[#This Row],[NET_TRDQTY]]&gt;1000000,"High Volume","Low Volume")</f>
        <v>Low Volume</v>
      </c>
    </row>
    <row r="1384" spans="1:16" x14ac:dyDescent="0.3">
      <c r="A1384" t="s">
        <v>2772</v>
      </c>
      <c r="B1384" t="s">
        <v>2773</v>
      </c>
      <c r="C1384">
        <v>234.7</v>
      </c>
      <c r="D1384">
        <v>235.25</v>
      </c>
      <c r="E1384">
        <v>219.05</v>
      </c>
      <c r="F1384">
        <v>221.55</v>
      </c>
      <c r="G1384">
        <v>238.8</v>
      </c>
      <c r="H1384">
        <v>124373</v>
      </c>
      <c r="I1384">
        <v>3171</v>
      </c>
      <c r="J1384">
        <v>5038705004</v>
      </c>
      <c r="K1384">
        <v>22742970</v>
      </c>
      <c r="L1384">
        <f>(Table1[[#This Row],[CLOSE_PRICE]] - Table1[[#This Row],[PREV_CL_PR]]) / Table1[[#This Row],[PREV_CL_PR]] * 100</f>
        <v>-7.2236180904522609</v>
      </c>
      <c r="M1384">
        <f>Table1[[#This Row],[HIGH_PRICE]]-Table1[[#This Row],[LOW_PRICE]]</f>
        <v>16.199999999999989</v>
      </c>
      <c r="N1384" t="str">
        <f>IF(Table1[[#This Row],[CLOSE_PRICE]]&gt;Table1[[#This Row],[OPEN_PRICE]],"Gain","Loss")</f>
        <v>Loss</v>
      </c>
      <c r="O1384" t="str">
        <f>IF(Table1[[#This Row],[MARKET_CAP]]&gt;200000000000,"Large Cap",
IF(Table1[[#This Row],[MARKET_CAP]]&gt;50000000000,"Mid Cap","Small Cap"))</f>
        <v>Small Cap</v>
      </c>
      <c r="P1384" t="str">
        <f>IF(Table1[[#This Row],[NET_TRDQTY]]&gt;1000000,"High Volume","Low Volume")</f>
        <v>Low Volume</v>
      </c>
    </row>
    <row r="1385" spans="1:16" x14ac:dyDescent="0.3">
      <c r="A1385" t="s">
        <v>2774</v>
      </c>
      <c r="B1385" t="s">
        <v>2775</v>
      </c>
      <c r="C1385">
        <v>327.60000000000002</v>
      </c>
      <c r="D1385">
        <v>339.8</v>
      </c>
      <c r="E1385">
        <v>305.3</v>
      </c>
      <c r="F1385">
        <v>323.45</v>
      </c>
      <c r="G1385">
        <v>334.2</v>
      </c>
      <c r="H1385">
        <v>821366</v>
      </c>
      <c r="I1385">
        <v>17938</v>
      </c>
      <c r="J1385">
        <v>28531403530</v>
      </c>
      <c r="K1385">
        <v>88209626</v>
      </c>
      <c r="L1385">
        <f>(Table1[[#This Row],[CLOSE_PRICE]] - Table1[[#This Row],[PREV_CL_PR]]) / Table1[[#This Row],[PREV_CL_PR]] * 100</f>
        <v>-3.2166367444643926</v>
      </c>
      <c r="M1385">
        <f>Table1[[#This Row],[HIGH_PRICE]]-Table1[[#This Row],[LOW_PRICE]]</f>
        <v>34.5</v>
      </c>
      <c r="N1385" t="str">
        <f>IF(Table1[[#This Row],[CLOSE_PRICE]]&gt;Table1[[#This Row],[OPEN_PRICE]],"Gain","Loss")</f>
        <v>Loss</v>
      </c>
      <c r="O1385" t="str">
        <f>IF(Table1[[#This Row],[MARKET_CAP]]&gt;200000000000,"Large Cap",
IF(Table1[[#This Row],[MARKET_CAP]]&gt;50000000000,"Mid Cap","Small Cap"))</f>
        <v>Small Cap</v>
      </c>
      <c r="P1385" t="str">
        <f>IF(Table1[[#This Row],[NET_TRDQTY]]&gt;1000000,"High Volume","Low Volume")</f>
        <v>Low Volume</v>
      </c>
    </row>
    <row r="1386" spans="1:16" x14ac:dyDescent="0.3">
      <c r="A1386" t="s">
        <v>2776</v>
      </c>
      <c r="B1386" t="s">
        <v>2777</v>
      </c>
      <c r="C1386">
        <v>148.81</v>
      </c>
      <c r="D1386">
        <v>153</v>
      </c>
      <c r="E1386">
        <v>144</v>
      </c>
      <c r="F1386">
        <v>144</v>
      </c>
      <c r="G1386">
        <v>148.81</v>
      </c>
      <c r="H1386">
        <v>24629</v>
      </c>
      <c r="I1386">
        <v>112</v>
      </c>
      <c r="J1386">
        <v>3817605888</v>
      </c>
      <c r="K1386">
        <v>26511152</v>
      </c>
      <c r="L1386">
        <f>(Table1[[#This Row],[CLOSE_PRICE]] - Table1[[#This Row],[PREV_CL_PR]]) / Table1[[#This Row],[PREV_CL_PR]] * 100</f>
        <v>-3.2323096566091003</v>
      </c>
      <c r="M1386">
        <f>Table1[[#This Row],[HIGH_PRICE]]-Table1[[#This Row],[LOW_PRICE]]</f>
        <v>9</v>
      </c>
      <c r="N1386" t="str">
        <f>IF(Table1[[#This Row],[CLOSE_PRICE]]&gt;Table1[[#This Row],[OPEN_PRICE]],"Gain","Loss")</f>
        <v>Loss</v>
      </c>
      <c r="O1386" t="str">
        <f>IF(Table1[[#This Row],[MARKET_CAP]]&gt;200000000000,"Large Cap",
IF(Table1[[#This Row],[MARKET_CAP]]&gt;50000000000,"Mid Cap","Small Cap"))</f>
        <v>Small Cap</v>
      </c>
      <c r="P1386" t="str">
        <f>IF(Table1[[#This Row],[NET_TRDQTY]]&gt;1000000,"High Volume","Low Volume")</f>
        <v>Low Volume</v>
      </c>
    </row>
    <row r="1387" spans="1:16" x14ac:dyDescent="0.3">
      <c r="A1387" t="s">
        <v>2778</v>
      </c>
      <c r="B1387" t="s">
        <v>2779</v>
      </c>
      <c r="C1387">
        <v>2.19</v>
      </c>
      <c r="D1387">
        <v>2.25</v>
      </c>
      <c r="E1387">
        <v>2.0499999999999998</v>
      </c>
      <c r="F1387">
        <v>2.14</v>
      </c>
      <c r="G1387">
        <v>2.23</v>
      </c>
      <c r="H1387">
        <v>329280</v>
      </c>
      <c r="I1387">
        <v>287</v>
      </c>
      <c r="J1387">
        <v>741350283.29999995</v>
      </c>
      <c r="K1387">
        <v>346425366</v>
      </c>
      <c r="L1387">
        <f>(Table1[[#This Row],[CLOSE_PRICE]] - Table1[[#This Row],[PREV_CL_PR]]) / Table1[[#This Row],[PREV_CL_PR]] * 100</f>
        <v>-4.0358744394618773</v>
      </c>
      <c r="M1387">
        <f>Table1[[#This Row],[HIGH_PRICE]]-Table1[[#This Row],[LOW_PRICE]]</f>
        <v>0.20000000000000018</v>
      </c>
      <c r="N1387" t="str">
        <f>IF(Table1[[#This Row],[CLOSE_PRICE]]&gt;Table1[[#This Row],[OPEN_PRICE]],"Gain","Loss")</f>
        <v>Loss</v>
      </c>
      <c r="O1387" t="str">
        <f>IF(Table1[[#This Row],[MARKET_CAP]]&gt;200000000000,"Large Cap",
IF(Table1[[#This Row],[MARKET_CAP]]&gt;50000000000,"Mid Cap","Small Cap"))</f>
        <v>Small Cap</v>
      </c>
      <c r="P1387" t="str">
        <f>IF(Table1[[#This Row],[NET_TRDQTY]]&gt;1000000,"High Volume","Low Volume")</f>
        <v>Low Volume</v>
      </c>
    </row>
    <row r="1388" spans="1:16" x14ac:dyDescent="0.3">
      <c r="A1388" t="s">
        <v>2780</v>
      </c>
      <c r="B1388" t="s">
        <v>2781</v>
      </c>
      <c r="C1388">
        <v>526.45000000000005</v>
      </c>
      <c r="D1388">
        <v>526.45000000000005</v>
      </c>
      <c r="E1388">
        <v>504.35</v>
      </c>
      <c r="F1388">
        <v>509.75</v>
      </c>
      <c r="G1388">
        <v>532.54999999999995</v>
      </c>
      <c r="H1388">
        <v>58722</v>
      </c>
      <c r="I1388">
        <v>3411</v>
      </c>
      <c r="J1388">
        <v>25854063774</v>
      </c>
      <c r="K1388">
        <v>50719105</v>
      </c>
      <c r="L1388">
        <f>(Table1[[#This Row],[CLOSE_PRICE]] - Table1[[#This Row],[PREV_CL_PR]]) / Table1[[#This Row],[PREV_CL_PR]] * 100</f>
        <v>-4.2812881419584929</v>
      </c>
      <c r="M1388">
        <f>Table1[[#This Row],[HIGH_PRICE]]-Table1[[#This Row],[LOW_PRICE]]</f>
        <v>22.100000000000023</v>
      </c>
      <c r="N1388" t="str">
        <f>IF(Table1[[#This Row],[CLOSE_PRICE]]&gt;Table1[[#This Row],[OPEN_PRICE]],"Gain","Loss")</f>
        <v>Loss</v>
      </c>
      <c r="O1388" t="str">
        <f>IF(Table1[[#This Row],[MARKET_CAP]]&gt;200000000000,"Large Cap",
IF(Table1[[#This Row],[MARKET_CAP]]&gt;50000000000,"Mid Cap","Small Cap"))</f>
        <v>Small Cap</v>
      </c>
      <c r="P1388" t="str">
        <f>IF(Table1[[#This Row],[NET_TRDQTY]]&gt;1000000,"High Volume","Low Volume")</f>
        <v>Low Volume</v>
      </c>
    </row>
    <row r="1389" spans="1:16" x14ac:dyDescent="0.3">
      <c r="A1389" t="s">
        <v>2782</v>
      </c>
      <c r="B1389" t="s">
        <v>2783</v>
      </c>
      <c r="C1389">
        <v>67.5</v>
      </c>
      <c r="D1389">
        <v>67.989999999999995</v>
      </c>
      <c r="E1389">
        <v>61.6</v>
      </c>
      <c r="F1389">
        <v>63.36</v>
      </c>
      <c r="G1389">
        <v>67.5</v>
      </c>
      <c r="H1389">
        <v>293335</v>
      </c>
      <c r="I1389">
        <v>1438</v>
      </c>
      <c r="J1389">
        <v>9950543222</v>
      </c>
      <c r="K1389">
        <v>157047715</v>
      </c>
      <c r="L1389">
        <f>(Table1[[#This Row],[CLOSE_PRICE]] - Table1[[#This Row],[PREV_CL_PR]]) / Table1[[#This Row],[PREV_CL_PR]] * 100</f>
        <v>-6.1333333333333346</v>
      </c>
      <c r="M1389">
        <f>Table1[[#This Row],[HIGH_PRICE]]-Table1[[#This Row],[LOW_PRICE]]</f>
        <v>6.3899999999999935</v>
      </c>
      <c r="N1389" t="str">
        <f>IF(Table1[[#This Row],[CLOSE_PRICE]]&gt;Table1[[#This Row],[OPEN_PRICE]],"Gain","Loss")</f>
        <v>Loss</v>
      </c>
      <c r="O1389" t="str">
        <f>IF(Table1[[#This Row],[MARKET_CAP]]&gt;200000000000,"Large Cap",
IF(Table1[[#This Row],[MARKET_CAP]]&gt;50000000000,"Mid Cap","Small Cap"))</f>
        <v>Small Cap</v>
      </c>
      <c r="P1389" t="str">
        <f>IF(Table1[[#This Row],[NET_TRDQTY]]&gt;1000000,"High Volume","Low Volume")</f>
        <v>Low Volume</v>
      </c>
    </row>
    <row r="1390" spans="1:16" x14ac:dyDescent="0.3">
      <c r="A1390" t="s">
        <v>2784</v>
      </c>
      <c r="B1390" t="s">
        <v>2785</v>
      </c>
      <c r="C1390">
        <v>5.04</v>
      </c>
      <c r="D1390">
        <v>5.12</v>
      </c>
      <c r="E1390">
        <v>4.91</v>
      </c>
      <c r="F1390">
        <v>4.9800000000000004</v>
      </c>
      <c r="G1390">
        <v>5.09</v>
      </c>
      <c r="H1390">
        <v>259797</v>
      </c>
      <c r="I1390">
        <v>758</v>
      </c>
      <c r="J1390">
        <v>366066179.69999999</v>
      </c>
      <c r="K1390">
        <v>73507265</v>
      </c>
      <c r="L1390">
        <f>(Table1[[#This Row],[CLOSE_PRICE]] - Table1[[#This Row],[PREV_CL_PR]]) / Table1[[#This Row],[PREV_CL_PR]] * 100</f>
        <v>-2.1611001964636429</v>
      </c>
      <c r="M1390">
        <f>Table1[[#This Row],[HIGH_PRICE]]-Table1[[#This Row],[LOW_PRICE]]</f>
        <v>0.20999999999999996</v>
      </c>
      <c r="N1390" t="str">
        <f>IF(Table1[[#This Row],[CLOSE_PRICE]]&gt;Table1[[#This Row],[OPEN_PRICE]],"Gain","Loss")</f>
        <v>Loss</v>
      </c>
      <c r="O1390" t="str">
        <f>IF(Table1[[#This Row],[MARKET_CAP]]&gt;200000000000,"Large Cap",
IF(Table1[[#This Row],[MARKET_CAP]]&gt;50000000000,"Mid Cap","Small Cap"))</f>
        <v>Small Cap</v>
      </c>
      <c r="P1390" t="str">
        <f>IF(Table1[[#This Row],[NET_TRDQTY]]&gt;1000000,"High Volume","Low Volume")</f>
        <v>Low Volume</v>
      </c>
    </row>
    <row r="1391" spans="1:16" x14ac:dyDescent="0.3">
      <c r="A1391" t="s">
        <v>2786</v>
      </c>
      <c r="B1391" t="s">
        <v>2787</v>
      </c>
      <c r="C1391">
        <v>273.95</v>
      </c>
      <c r="D1391">
        <v>273.95</v>
      </c>
      <c r="E1391">
        <v>253</v>
      </c>
      <c r="F1391">
        <v>256</v>
      </c>
      <c r="G1391">
        <v>275.10000000000002</v>
      </c>
      <c r="H1391">
        <v>14498</v>
      </c>
      <c r="I1391">
        <v>802</v>
      </c>
      <c r="J1391">
        <v>3762553856</v>
      </c>
      <c r="K1391">
        <v>14697476</v>
      </c>
      <c r="L1391">
        <f>(Table1[[#This Row],[CLOSE_PRICE]] - Table1[[#This Row],[PREV_CL_PR]]) / Table1[[#This Row],[PREV_CL_PR]] * 100</f>
        <v>-6.9429298436932099</v>
      </c>
      <c r="M1391">
        <f>Table1[[#This Row],[HIGH_PRICE]]-Table1[[#This Row],[LOW_PRICE]]</f>
        <v>20.949999999999989</v>
      </c>
      <c r="N1391" t="str">
        <f>IF(Table1[[#This Row],[CLOSE_PRICE]]&gt;Table1[[#This Row],[OPEN_PRICE]],"Gain","Loss")</f>
        <v>Loss</v>
      </c>
      <c r="O1391" t="str">
        <f>IF(Table1[[#This Row],[MARKET_CAP]]&gt;200000000000,"Large Cap",
IF(Table1[[#This Row],[MARKET_CAP]]&gt;50000000000,"Mid Cap","Small Cap"))</f>
        <v>Small Cap</v>
      </c>
      <c r="P1391" t="str">
        <f>IF(Table1[[#This Row],[NET_TRDQTY]]&gt;1000000,"High Volume","Low Volume")</f>
        <v>Low Volume</v>
      </c>
    </row>
    <row r="1392" spans="1:16" x14ac:dyDescent="0.3">
      <c r="A1392" t="s">
        <v>2788</v>
      </c>
      <c r="B1392" t="s">
        <v>2789</v>
      </c>
      <c r="C1392">
        <v>131.6</v>
      </c>
      <c r="D1392">
        <v>131.6</v>
      </c>
      <c r="E1392">
        <v>123.21</v>
      </c>
      <c r="F1392">
        <v>124.38</v>
      </c>
      <c r="G1392">
        <v>132.37</v>
      </c>
      <c r="H1392">
        <v>551274</v>
      </c>
      <c r="I1392">
        <v>7444</v>
      </c>
      <c r="J1392">
        <v>25555099004</v>
      </c>
      <c r="K1392">
        <v>205459873</v>
      </c>
      <c r="L1392">
        <f>(Table1[[#This Row],[CLOSE_PRICE]] - Table1[[#This Row],[PREV_CL_PR]]) / Table1[[#This Row],[PREV_CL_PR]] * 100</f>
        <v>-6.0361109012616216</v>
      </c>
      <c r="M1392">
        <f>Table1[[#This Row],[HIGH_PRICE]]-Table1[[#This Row],[LOW_PRICE]]</f>
        <v>8.39</v>
      </c>
      <c r="N1392" t="str">
        <f>IF(Table1[[#This Row],[CLOSE_PRICE]]&gt;Table1[[#This Row],[OPEN_PRICE]],"Gain","Loss")</f>
        <v>Loss</v>
      </c>
      <c r="O1392" t="str">
        <f>IF(Table1[[#This Row],[MARKET_CAP]]&gt;200000000000,"Large Cap",
IF(Table1[[#This Row],[MARKET_CAP]]&gt;50000000000,"Mid Cap","Small Cap"))</f>
        <v>Small Cap</v>
      </c>
      <c r="P1392" t="str">
        <f>IF(Table1[[#This Row],[NET_TRDQTY]]&gt;1000000,"High Volume","Low Volume")</f>
        <v>Low Volume</v>
      </c>
    </row>
    <row r="1393" spans="1:16" x14ac:dyDescent="0.3">
      <c r="A1393" t="s">
        <v>2790</v>
      </c>
      <c r="B1393" t="s">
        <v>2791</v>
      </c>
      <c r="C1393">
        <v>38.85</v>
      </c>
      <c r="D1393">
        <v>39.07</v>
      </c>
      <c r="E1393">
        <v>35.85</v>
      </c>
      <c r="F1393">
        <v>36.24</v>
      </c>
      <c r="G1393">
        <v>38.65</v>
      </c>
      <c r="H1393">
        <v>74454</v>
      </c>
      <c r="I1393">
        <v>1342</v>
      </c>
      <c r="J1393">
        <v>4335724608</v>
      </c>
      <c r="K1393">
        <v>119639200</v>
      </c>
      <c r="L1393">
        <f>(Table1[[#This Row],[CLOSE_PRICE]] - Table1[[#This Row],[PREV_CL_PR]]) / Table1[[#This Row],[PREV_CL_PR]] * 100</f>
        <v>-6.2354463130659683</v>
      </c>
      <c r="M1393">
        <f>Table1[[#This Row],[HIGH_PRICE]]-Table1[[#This Row],[LOW_PRICE]]</f>
        <v>3.2199999999999989</v>
      </c>
      <c r="N1393" t="str">
        <f>IF(Table1[[#This Row],[CLOSE_PRICE]]&gt;Table1[[#This Row],[OPEN_PRICE]],"Gain","Loss")</f>
        <v>Loss</v>
      </c>
      <c r="O1393" t="str">
        <f>IF(Table1[[#This Row],[MARKET_CAP]]&gt;200000000000,"Large Cap",
IF(Table1[[#This Row],[MARKET_CAP]]&gt;50000000000,"Mid Cap","Small Cap"))</f>
        <v>Small Cap</v>
      </c>
      <c r="P1393" t="str">
        <f>IF(Table1[[#This Row],[NET_TRDQTY]]&gt;1000000,"High Volume","Low Volume")</f>
        <v>Low Volume</v>
      </c>
    </row>
    <row r="1394" spans="1:16" x14ac:dyDescent="0.3">
      <c r="A1394" t="s">
        <v>2792</v>
      </c>
      <c r="B1394" t="s">
        <v>2793</v>
      </c>
      <c r="C1394">
        <v>166.34</v>
      </c>
      <c r="D1394">
        <v>166.34</v>
      </c>
      <c r="E1394">
        <v>159</v>
      </c>
      <c r="F1394">
        <v>159.97</v>
      </c>
      <c r="G1394">
        <v>166.3</v>
      </c>
      <c r="H1394">
        <v>106084</v>
      </c>
      <c r="I1394">
        <v>3944</v>
      </c>
      <c r="J1394">
        <v>34132142863</v>
      </c>
      <c r="K1394">
        <v>213365899</v>
      </c>
      <c r="L1394">
        <f>(Table1[[#This Row],[CLOSE_PRICE]] - Table1[[#This Row],[PREV_CL_PR]]) / Table1[[#This Row],[PREV_CL_PR]] * 100</f>
        <v>-3.8063740228502776</v>
      </c>
      <c r="M1394">
        <f>Table1[[#This Row],[HIGH_PRICE]]-Table1[[#This Row],[LOW_PRICE]]</f>
        <v>7.3400000000000034</v>
      </c>
      <c r="N1394" t="str">
        <f>IF(Table1[[#This Row],[CLOSE_PRICE]]&gt;Table1[[#This Row],[OPEN_PRICE]],"Gain","Loss")</f>
        <v>Loss</v>
      </c>
      <c r="O1394" t="str">
        <f>IF(Table1[[#This Row],[MARKET_CAP]]&gt;200000000000,"Large Cap",
IF(Table1[[#This Row],[MARKET_CAP]]&gt;50000000000,"Mid Cap","Small Cap"))</f>
        <v>Small Cap</v>
      </c>
      <c r="P1394" t="str">
        <f>IF(Table1[[#This Row],[NET_TRDQTY]]&gt;1000000,"High Volume","Low Volume")</f>
        <v>Low Volume</v>
      </c>
    </row>
    <row r="1395" spans="1:16" x14ac:dyDescent="0.3">
      <c r="A1395" t="s">
        <v>2794</v>
      </c>
      <c r="B1395" t="s">
        <v>2795</v>
      </c>
      <c r="C1395">
        <v>90</v>
      </c>
      <c r="D1395">
        <v>90.57</v>
      </c>
      <c r="E1395">
        <v>88.12</v>
      </c>
      <c r="F1395">
        <v>90</v>
      </c>
      <c r="G1395">
        <v>91.8</v>
      </c>
      <c r="H1395">
        <v>583891</v>
      </c>
      <c r="I1395">
        <v>2395</v>
      </c>
      <c r="J1395">
        <v>16073926200</v>
      </c>
      <c r="K1395">
        <v>178599180</v>
      </c>
      <c r="L1395">
        <f>(Table1[[#This Row],[CLOSE_PRICE]] - Table1[[#This Row],[PREV_CL_PR]]) / Table1[[#This Row],[PREV_CL_PR]] * 100</f>
        <v>-1.960784313725487</v>
      </c>
      <c r="M1395">
        <f>Table1[[#This Row],[HIGH_PRICE]]-Table1[[#This Row],[LOW_PRICE]]</f>
        <v>2.4499999999999886</v>
      </c>
      <c r="N1395" t="str">
        <f>IF(Table1[[#This Row],[CLOSE_PRICE]]&gt;Table1[[#This Row],[OPEN_PRICE]],"Gain","Loss")</f>
        <v>Loss</v>
      </c>
      <c r="O1395" t="str">
        <f>IF(Table1[[#This Row],[MARKET_CAP]]&gt;200000000000,"Large Cap",
IF(Table1[[#This Row],[MARKET_CAP]]&gt;50000000000,"Mid Cap","Small Cap"))</f>
        <v>Small Cap</v>
      </c>
      <c r="P1395" t="str">
        <f>IF(Table1[[#This Row],[NET_TRDQTY]]&gt;1000000,"High Volume","Low Volume")</f>
        <v>Low Volume</v>
      </c>
    </row>
    <row r="1396" spans="1:16" x14ac:dyDescent="0.3">
      <c r="A1396" t="s">
        <v>2796</v>
      </c>
      <c r="B1396" t="s">
        <v>2797</v>
      </c>
      <c r="C1396">
        <v>59.01</v>
      </c>
      <c r="D1396">
        <v>60.6</v>
      </c>
      <c r="E1396">
        <v>55.5</v>
      </c>
      <c r="F1396">
        <v>57.5</v>
      </c>
      <c r="G1396">
        <v>58.44</v>
      </c>
      <c r="H1396">
        <v>5284</v>
      </c>
      <c r="I1396">
        <v>255</v>
      </c>
      <c r="J1396">
        <v>575000000</v>
      </c>
      <c r="K1396">
        <v>10000000</v>
      </c>
      <c r="L1396">
        <f>(Table1[[#This Row],[CLOSE_PRICE]] - Table1[[#This Row],[PREV_CL_PR]]) / Table1[[#This Row],[PREV_CL_PR]] * 100</f>
        <v>-1.6084873374401059</v>
      </c>
      <c r="M1396">
        <f>Table1[[#This Row],[HIGH_PRICE]]-Table1[[#This Row],[LOW_PRICE]]</f>
        <v>5.1000000000000014</v>
      </c>
      <c r="N1396" t="str">
        <f>IF(Table1[[#This Row],[CLOSE_PRICE]]&gt;Table1[[#This Row],[OPEN_PRICE]],"Gain","Loss")</f>
        <v>Loss</v>
      </c>
      <c r="O1396" t="str">
        <f>IF(Table1[[#This Row],[MARKET_CAP]]&gt;200000000000,"Large Cap",
IF(Table1[[#This Row],[MARKET_CAP]]&gt;50000000000,"Mid Cap","Small Cap"))</f>
        <v>Small Cap</v>
      </c>
      <c r="P1396" t="str">
        <f>IF(Table1[[#This Row],[NET_TRDQTY]]&gt;1000000,"High Volume","Low Volume")</f>
        <v>Low Volume</v>
      </c>
    </row>
    <row r="1397" spans="1:16" x14ac:dyDescent="0.3">
      <c r="A1397" t="s">
        <v>2798</v>
      </c>
      <c r="B1397" t="s">
        <v>2799</v>
      </c>
      <c r="C1397">
        <v>15.5</v>
      </c>
      <c r="D1397">
        <v>15.78</v>
      </c>
      <c r="E1397">
        <v>14.8</v>
      </c>
      <c r="F1397">
        <v>15.02</v>
      </c>
      <c r="G1397">
        <v>15.67</v>
      </c>
      <c r="H1397">
        <v>653228</v>
      </c>
      <c r="I1397">
        <v>1698</v>
      </c>
      <c r="J1397">
        <v>3187031046</v>
      </c>
      <c r="K1397">
        <v>212185822</v>
      </c>
      <c r="L1397">
        <f>(Table1[[#This Row],[CLOSE_PRICE]] - Table1[[#This Row],[PREV_CL_PR]]) / Table1[[#This Row],[PREV_CL_PR]] * 100</f>
        <v>-4.1480536056158286</v>
      </c>
      <c r="M1397">
        <f>Table1[[#This Row],[HIGH_PRICE]]-Table1[[#This Row],[LOW_PRICE]]</f>
        <v>0.97999999999999865</v>
      </c>
      <c r="N1397" t="str">
        <f>IF(Table1[[#This Row],[CLOSE_PRICE]]&gt;Table1[[#This Row],[OPEN_PRICE]],"Gain","Loss")</f>
        <v>Loss</v>
      </c>
      <c r="O1397" t="str">
        <f>IF(Table1[[#This Row],[MARKET_CAP]]&gt;200000000000,"Large Cap",
IF(Table1[[#This Row],[MARKET_CAP]]&gt;50000000000,"Mid Cap","Small Cap"))</f>
        <v>Small Cap</v>
      </c>
      <c r="P1397" t="str">
        <f>IF(Table1[[#This Row],[NET_TRDQTY]]&gt;1000000,"High Volume","Low Volume")</f>
        <v>Low Volume</v>
      </c>
    </row>
    <row r="1398" spans="1:16" x14ac:dyDescent="0.3">
      <c r="A1398" t="s">
        <v>2800</v>
      </c>
      <c r="B1398" t="s">
        <v>2801</v>
      </c>
      <c r="C1398">
        <v>258.10000000000002</v>
      </c>
      <c r="D1398">
        <v>262.8</v>
      </c>
      <c r="E1398">
        <v>246.45</v>
      </c>
      <c r="F1398">
        <v>247.85</v>
      </c>
      <c r="G1398">
        <v>262.95</v>
      </c>
      <c r="H1398">
        <v>218273</v>
      </c>
      <c r="I1398">
        <v>6497</v>
      </c>
      <c r="J1398">
        <v>11352996281</v>
      </c>
      <c r="K1398">
        <v>45805916</v>
      </c>
      <c r="L1398">
        <f>(Table1[[#This Row],[CLOSE_PRICE]] - Table1[[#This Row],[PREV_CL_PR]]) / Table1[[#This Row],[PREV_CL_PR]] * 100</f>
        <v>-5.7425366039170926</v>
      </c>
      <c r="M1398">
        <f>Table1[[#This Row],[HIGH_PRICE]]-Table1[[#This Row],[LOW_PRICE]]</f>
        <v>16.350000000000023</v>
      </c>
      <c r="N1398" t="str">
        <f>IF(Table1[[#This Row],[CLOSE_PRICE]]&gt;Table1[[#This Row],[OPEN_PRICE]],"Gain","Loss")</f>
        <v>Loss</v>
      </c>
      <c r="O1398" t="str">
        <f>IF(Table1[[#This Row],[MARKET_CAP]]&gt;200000000000,"Large Cap",
IF(Table1[[#This Row],[MARKET_CAP]]&gt;50000000000,"Mid Cap","Small Cap"))</f>
        <v>Small Cap</v>
      </c>
      <c r="P1398" t="str">
        <f>IF(Table1[[#This Row],[NET_TRDQTY]]&gt;1000000,"High Volume","Low Volume")</f>
        <v>Low Volume</v>
      </c>
    </row>
    <row r="1399" spans="1:16" x14ac:dyDescent="0.3">
      <c r="A1399" t="s">
        <v>2802</v>
      </c>
      <c r="B1399" t="s">
        <v>2803</v>
      </c>
      <c r="C1399">
        <v>3584</v>
      </c>
      <c r="D1399">
        <v>3584</v>
      </c>
      <c r="E1399">
        <v>3262.5</v>
      </c>
      <c r="F1399">
        <v>3291.3</v>
      </c>
      <c r="G1399">
        <v>3604</v>
      </c>
      <c r="H1399">
        <v>21271</v>
      </c>
      <c r="I1399">
        <v>4026</v>
      </c>
      <c r="J1399">
        <v>19747800000</v>
      </c>
      <c r="K1399">
        <v>6000000</v>
      </c>
      <c r="L1399">
        <f>(Table1[[#This Row],[CLOSE_PRICE]] - Table1[[#This Row],[PREV_CL_PR]]) / Table1[[#This Row],[PREV_CL_PR]] * 100</f>
        <v>-8.6764705882352899</v>
      </c>
      <c r="M1399">
        <f>Table1[[#This Row],[HIGH_PRICE]]-Table1[[#This Row],[LOW_PRICE]]</f>
        <v>321.5</v>
      </c>
      <c r="N1399" t="str">
        <f>IF(Table1[[#This Row],[CLOSE_PRICE]]&gt;Table1[[#This Row],[OPEN_PRICE]],"Gain","Loss")</f>
        <v>Loss</v>
      </c>
      <c r="O1399" t="str">
        <f>IF(Table1[[#This Row],[MARKET_CAP]]&gt;200000000000,"Large Cap",
IF(Table1[[#This Row],[MARKET_CAP]]&gt;50000000000,"Mid Cap","Small Cap"))</f>
        <v>Small Cap</v>
      </c>
      <c r="P1399" t="str">
        <f>IF(Table1[[#This Row],[NET_TRDQTY]]&gt;1000000,"High Volume","Low Volume")</f>
        <v>Low Volume</v>
      </c>
    </row>
    <row r="1400" spans="1:16" x14ac:dyDescent="0.3">
      <c r="A1400" t="s">
        <v>2804</v>
      </c>
      <c r="B1400" t="s">
        <v>2805</v>
      </c>
      <c r="C1400">
        <v>567.04999999999995</v>
      </c>
      <c r="D1400">
        <v>575.5</v>
      </c>
      <c r="E1400">
        <v>558</v>
      </c>
      <c r="F1400">
        <v>570.29999999999995</v>
      </c>
      <c r="G1400">
        <v>569.5</v>
      </c>
      <c r="H1400">
        <v>117974</v>
      </c>
      <c r="I1400">
        <v>11352</v>
      </c>
      <c r="J1400">
        <v>78124957869</v>
      </c>
      <c r="K1400">
        <v>136989230</v>
      </c>
      <c r="L1400">
        <f>(Table1[[#This Row],[CLOSE_PRICE]] - Table1[[#This Row],[PREV_CL_PR]]) / Table1[[#This Row],[PREV_CL_PR]] * 100</f>
        <v>0.14047410008778832</v>
      </c>
      <c r="M1400">
        <f>Table1[[#This Row],[HIGH_PRICE]]-Table1[[#This Row],[LOW_PRICE]]</f>
        <v>17.5</v>
      </c>
      <c r="N1400" t="str">
        <f>IF(Table1[[#This Row],[CLOSE_PRICE]]&gt;Table1[[#This Row],[OPEN_PRICE]],"Gain","Loss")</f>
        <v>Gain</v>
      </c>
      <c r="O1400" t="str">
        <f>IF(Table1[[#This Row],[MARKET_CAP]]&gt;200000000000,"Large Cap",
IF(Table1[[#This Row],[MARKET_CAP]]&gt;50000000000,"Mid Cap","Small Cap"))</f>
        <v>Mid Cap</v>
      </c>
      <c r="P1400" t="str">
        <f>IF(Table1[[#This Row],[NET_TRDQTY]]&gt;1000000,"High Volume","Low Volume")</f>
        <v>Low Volume</v>
      </c>
    </row>
    <row r="1401" spans="1:16" x14ac:dyDescent="0.3">
      <c r="A1401" t="s">
        <v>2806</v>
      </c>
      <c r="B1401" t="s">
        <v>2807</v>
      </c>
      <c r="C1401">
        <v>4.75</v>
      </c>
      <c r="D1401">
        <v>4.75</v>
      </c>
      <c r="E1401">
        <v>4.75</v>
      </c>
      <c r="F1401">
        <v>4.75</v>
      </c>
      <c r="G1401">
        <v>4.99</v>
      </c>
      <c r="H1401">
        <v>347732</v>
      </c>
      <c r="I1401">
        <v>562</v>
      </c>
      <c r="J1401">
        <v>781726025</v>
      </c>
      <c r="K1401">
        <v>164573900</v>
      </c>
      <c r="L1401">
        <f>(Table1[[#This Row],[CLOSE_PRICE]] - Table1[[#This Row],[PREV_CL_PR]]) / Table1[[#This Row],[PREV_CL_PR]] * 100</f>
        <v>-4.8096192384769578</v>
      </c>
      <c r="M1401">
        <f>Table1[[#This Row],[HIGH_PRICE]]-Table1[[#This Row],[LOW_PRICE]]</f>
        <v>0</v>
      </c>
      <c r="N1401" t="str">
        <f>IF(Table1[[#This Row],[CLOSE_PRICE]]&gt;Table1[[#This Row],[OPEN_PRICE]],"Gain","Loss")</f>
        <v>Loss</v>
      </c>
      <c r="O1401" t="str">
        <f>IF(Table1[[#This Row],[MARKET_CAP]]&gt;200000000000,"Large Cap",
IF(Table1[[#This Row],[MARKET_CAP]]&gt;50000000000,"Mid Cap","Small Cap"))</f>
        <v>Small Cap</v>
      </c>
      <c r="P1401" t="str">
        <f>IF(Table1[[#This Row],[NET_TRDQTY]]&gt;1000000,"High Volume","Low Volume")</f>
        <v>Low Volume</v>
      </c>
    </row>
    <row r="1402" spans="1:16" x14ac:dyDescent="0.3">
      <c r="A1402" t="s">
        <v>2808</v>
      </c>
      <c r="B1402" t="s">
        <v>2809</v>
      </c>
      <c r="C1402">
        <v>41.65</v>
      </c>
      <c r="D1402">
        <v>41.65</v>
      </c>
      <c r="E1402">
        <v>39.51</v>
      </c>
      <c r="F1402">
        <v>39.75</v>
      </c>
      <c r="G1402">
        <v>42.08</v>
      </c>
      <c r="H1402">
        <v>42437</v>
      </c>
      <c r="I1402">
        <v>828</v>
      </c>
      <c r="J1402">
        <v>5335832346</v>
      </c>
      <c r="K1402">
        <v>134234776</v>
      </c>
      <c r="L1402">
        <f>(Table1[[#This Row],[CLOSE_PRICE]] - Table1[[#This Row],[PREV_CL_PR]]) / Table1[[#This Row],[PREV_CL_PR]] * 100</f>
        <v>-5.537072243346004</v>
      </c>
      <c r="M1402">
        <f>Table1[[#This Row],[HIGH_PRICE]]-Table1[[#This Row],[LOW_PRICE]]</f>
        <v>2.1400000000000006</v>
      </c>
      <c r="N1402" t="str">
        <f>IF(Table1[[#This Row],[CLOSE_PRICE]]&gt;Table1[[#This Row],[OPEN_PRICE]],"Gain","Loss")</f>
        <v>Loss</v>
      </c>
      <c r="O1402" t="str">
        <f>IF(Table1[[#This Row],[MARKET_CAP]]&gt;200000000000,"Large Cap",
IF(Table1[[#This Row],[MARKET_CAP]]&gt;50000000000,"Mid Cap","Small Cap"))</f>
        <v>Small Cap</v>
      </c>
      <c r="P1402" t="str">
        <f>IF(Table1[[#This Row],[NET_TRDQTY]]&gt;1000000,"High Volume","Low Volume")</f>
        <v>Low Volume</v>
      </c>
    </row>
    <row r="1403" spans="1:16" x14ac:dyDescent="0.3">
      <c r="A1403" t="s">
        <v>2810</v>
      </c>
      <c r="B1403" t="s">
        <v>2811</v>
      </c>
      <c r="C1403">
        <v>24.9</v>
      </c>
      <c r="D1403">
        <v>24.99</v>
      </c>
      <c r="E1403">
        <v>22.43</v>
      </c>
      <c r="F1403">
        <v>22.94</v>
      </c>
      <c r="G1403">
        <v>24.9</v>
      </c>
      <c r="H1403">
        <v>225477</v>
      </c>
      <c r="I1403">
        <v>1361</v>
      </c>
      <c r="J1403">
        <v>5891202107</v>
      </c>
      <c r="K1403">
        <v>256809159</v>
      </c>
      <c r="L1403">
        <f>(Table1[[#This Row],[CLOSE_PRICE]] - Table1[[#This Row],[PREV_CL_PR]]) / Table1[[#This Row],[PREV_CL_PR]] * 100</f>
        <v>-7.8714859437750899</v>
      </c>
      <c r="M1403">
        <f>Table1[[#This Row],[HIGH_PRICE]]-Table1[[#This Row],[LOW_PRICE]]</f>
        <v>2.5599999999999987</v>
      </c>
      <c r="N1403" t="str">
        <f>IF(Table1[[#This Row],[CLOSE_PRICE]]&gt;Table1[[#This Row],[OPEN_PRICE]],"Gain","Loss")</f>
        <v>Loss</v>
      </c>
      <c r="O1403" t="str">
        <f>IF(Table1[[#This Row],[MARKET_CAP]]&gt;200000000000,"Large Cap",
IF(Table1[[#This Row],[MARKET_CAP]]&gt;50000000000,"Mid Cap","Small Cap"))</f>
        <v>Small Cap</v>
      </c>
      <c r="P1403" t="str">
        <f>IF(Table1[[#This Row],[NET_TRDQTY]]&gt;1000000,"High Volume","Low Volume")</f>
        <v>Low Volume</v>
      </c>
    </row>
    <row r="1404" spans="1:16" x14ac:dyDescent="0.3">
      <c r="A1404" t="s">
        <v>2812</v>
      </c>
      <c r="B1404" t="s">
        <v>2813</v>
      </c>
      <c r="C1404">
        <v>310</v>
      </c>
      <c r="D1404">
        <v>310</v>
      </c>
      <c r="E1404">
        <v>292.64999999999998</v>
      </c>
      <c r="F1404">
        <v>296.3</v>
      </c>
      <c r="G1404">
        <v>314.5</v>
      </c>
      <c r="H1404">
        <v>1013398</v>
      </c>
      <c r="I1404">
        <v>13626</v>
      </c>
      <c r="J1404">
        <v>33771507768</v>
      </c>
      <c r="K1404">
        <v>113977414</v>
      </c>
      <c r="L1404">
        <f>(Table1[[#This Row],[CLOSE_PRICE]] - Table1[[#This Row],[PREV_CL_PR]]) / Table1[[#This Row],[PREV_CL_PR]] * 100</f>
        <v>-5.7869634340222538</v>
      </c>
      <c r="M1404">
        <f>Table1[[#This Row],[HIGH_PRICE]]-Table1[[#This Row],[LOW_PRICE]]</f>
        <v>17.350000000000023</v>
      </c>
      <c r="N1404" t="str">
        <f>IF(Table1[[#This Row],[CLOSE_PRICE]]&gt;Table1[[#This Row],[OPEN_PRICE]],"Gain","Loss")</f>
        <v>Loss</v>
      </c>
      <c r="O1404" t="str">
        <f>IF(Table1[[#This Row],[MARKET_CAP]]&gt;200000000000,"Large Cap",
IF(Table1[[#This Row],[MARKET_CAP]]&gt;50000000000,"Mid Cap","Small Cap"))</f>
        <v>Small Cap</v>
      </c>
      <c r="P1404" t="str">
        <f>IF(Table1[[#This Row],[NET_TRDQTY]]&gt;1000000,"High Volume","Low Volume")</f>
        <v>High Volume</v>
      </c>
    </row>
    <row r="1405" spans="1:16" x14ac:dyDescent="0.3">
      <c r="A1405" t="s">
        <v>2814</v>
      </c>
      <c r="B1405" t="s">
        <v>2815</v>
      </c>
      <c r="C1405">
        <v>11.43</v>
      </c>
      <c r="D1405">
        <v>11.64</v>
      </c>
      <c r="E1405">
        <v>11.11</v>
      </c>
      <c r="F1405">
        <v>11.3</v>
      </c>
      <c r="G1405">
        <v>11.43</v>
      </c>
      <c r="H1405">
        <v>16720</v>
      </c>
      <c r="I1405">
        <v>194</v>
      </c>
      <c r="J1405">
        <v>1033611000</v>
      </c>
      <c r="K1405">
        <v>91470000</v>
      </c>
      <c r="L1405">
        <f>(Table1[[#This Row],[CLOSE_PRICE]] - Table1[[#This Row],[PREV_CL_PR]]) / Table1[[#This Row],[PREV_CL_PR]] * 100</f>
        <v>-1.1373578302712075</v>
      </c>
      <c r="M1405">
        <f>Table1[[#This Row],[HIGH_PRICE]]-Table1[[#This Row],[LOW_PRICE]]</f>
        <v>0.53000000000000114</v>
      </c>
      <c r="N1405" t="str">
        <f>IF(Table1[[#This Row],[CLOSE_PRICE]]&gt;Table1[[#This Row],[OPEN_PRICE]],"Gain","Loss")</f>
        <v>Loss</v>
      </c>
      <c r="O1405" t="str">
        <f>IF(Table1[[#This Row],[MARKET_CAP]]&gt;200000000000,"Large Cap",
IF(Table1[[#This Row],[MARKET_CAP]]&gt;50000000000,"Mid Cap","Small Cap"))</f>
        <v>Small Cap</v>
      </c>
      <c r="P1405" t="str">
        <f>IF(Table1[[#This Row],[NET_TRDQTY]]&gt;1000000,"High Volume","Low Volume")</f>
        <v>Low Volume</v>
      </c>
    </row>
    <row r="1406" spans="1:16" x14ac:dyDescent="0.3">
      <c r="A1406" t="s">
        <v>2816</v>
      </c>
      <c r="B1406" t="s">
        <v>2817</v>
      </c>
      <c r="C1406">
        <v>160</v>
      </c>
      <c r="D1406">
        <v>160</v>
      </c>
      <c r="E1406">
        <v>153.81</v>
      </c>
      <c r="F1406">
        <v>155.38999999999999</v>
      </c>
      <c r="G1406">
        <v>164.36</v>
      </c>
      <c r="H1406">
        <v>507031</v>
      </c>
      <c r="I1406">
        <v>8435</v>
      </c>
      <c r="J1406">
        <v>33541137703</v>
      </c>
      <c r="K1406">
        <v>215851327</v>
      </c>
      <c r="L1406">
        <f>(Table1[[#This Row],[CLOSE_PRICE]] - Table1[[#This Row],[PREV_CL_PR]]) / Table1[[#This Row],[PREV_CL_PR]] * 100</f>
        <v>-5.4575322462886513</v>
      </c>
      <c r="M1406">
        <f>Table1[[#This Row],[HIGH_PRICE]]-Table1[[#This Row],[LOW_PRICE]]</f>
        <v>6.1899999999999977</v>
      </c>
      <c r="N1406" t="str">
        <f>IF(Table1[[#This Row],[CLOSE_PRICE]]&gt;Table1[[#This Row],[OPEN_PRICE]],"Gain","Loss")</f>
        <v>Loss</v>
      </c>
      <c r="O1406" t="str">
        <f>IF(Table1[[#This Row],[MARKET_CAP]]&gt;200000000000,"Large Cap",
IF(Table1[[#This Row],[MARKET_CAP]]&gt;50000000000,"Mid Cap","Small Cap"))</f>
        <v>Small Cap</v>
      </c>
      <c r="P1406" t="str">
        <f>IF(Table1[[#This Row],[NET_TRDQTY]]&gt;1000000,"High Volume","Low Volume")</f>
        <v>Low Volume</v>
      </c>
    </row>
    <row r="1407" spans="1:16" x14ac:dyDescent="0.3">
      <c r="A1407" t="s">
        <v>2818</v>
      </c>
      <c r="B1407" t="s">
        <v>2819</v>
      </c>
      <c r="C1407">
        <v>31845</v>
      </c>
      <c r="D1407">
        <v>31850</v>
      </c>
      <c r="E1407">
        <v>31130</v>
      </c>
      <c r="F1407">
        <v>31345</v>
      </c>
      <c r="G1407">
        <v>32005</v>
      </c>
      <c r="H1407">
        <v>18344</v>
      </c>
      <c r="I1407">
        <v>7514</v>
      </c>
      <c r="J1407">
        <v>350000000000</v>
      </c>
      <c r="K1407">
        <v>11153874</v>
      </c>
      <c r="L1407">
        <f>(Table1[[#This Row],[CLOSE_PRICE]] - Table1[[#This Row],[PREV_CL_PR]]) / Table1[[#This Row],[PREV_CL_PR]] * 100</f>
        <v>-2.0621777847211376</v>
      </c>
      <c r="M1407">
        <f>Table1[[#This Row],[HIGH_PRICE]]-Table1[[#This Row],[LOW_PRICE]]</f>
        <v>720</v>
      </c>
      <c r="N1407" t="str">
        <f>IF(Table1[[#This Row],[CLOSE_PRICE]]&gt;Table1[[#This Row],[OPEN_PRICE]],"Gain","Loss")</f>
        <v>Loss</v>
      </c>
      <c r="O1407" t="str">
        <f>IF(Table1[[#This Row],[MARKET_CAP]]&gt;200000000000,"Large Cap",
IF(Table1[[#This Row],[MARKET_CAP]]&gt;50000000000,"Mid Cap","Small Cap"))</f>
        <v>Large Cap</v>
      </c>
      <c r="P1407" t="str">
        <f>IF(Table1[[#This Row],[NET_TRDQTY]]&gt;1000000,"High Volume","Low Volume")</f>
        <v>Low Volume</v>
      </c>
    </row>
    <row r="1408" spans="1:16" x14ac:dyDescent="0.3">
      <c r="A1408" t="s">
        <v>2820</v>
      </c>
      <c r="B1408" t="s">
        <v>2821</v>
      </c>
      <c r="C1408">
        <v>34.29</v>
      </c>
      <c r="D1408">
        <v>35.5</v>
      </c>
      <c r="E1408">
        <v>32.19</v>
      </c>
      <c r="F1408">
        <v>34.200000000000003</v>
      </c>
      <c r="G1408">
        <v>35.07</v>
      </c>
      <c r="H1408">
        <v>7699976</v>
      </c>
      <c r="I1408">
        <v>14675</v>
      </c>
      <c r="J1408">
        <v>31105648091</v>
      </c>
      <c r="K1408">
        <v>909521874</v>
      </c>
      <c r="L1408">
        <f>(Table1[[#This Row],[CLOSE_PRICE]] - Table1[[#This Row],[PREV_CL_PR]]) / Table1[[#This Row],[PREV_CL_PR]] * 100</f>
        <v>-2.4807527801539706</v>
      </c>
      <c r="M1408">
        <f>Table1[[#This Row],[HIGH_PRICE]]-Table1[[#This Row],[LOW_PRICE]]</f>
        <v>3.3100000000000023</v>
      </c>
      <c r="N1408" t="str">
        <f>IF(Table1[[#This Row],[CLOSE_PRICE]]&gt;Table1[[#This Row],[OPEN_PRICE]],"Gain","Loss")</f>
        <v>Loss</v>
      </c>
      <c r="O1408" t="str">
        <f>IF(Table1[[#This Row],[MARKET_CAP]]&gt;200000000000,"Large Cap",
IF(Table1[[#This Row],[MARKET_CAP]]&gt;50000000000,"Mid Cap","Small Cap"))</f>
        <v>Small Cap</v>
      </c>
      <c r="P1408" t="str">
        <f>IF(Table1[[#This Row],[NET_TRDQTY]]&gt;1000000,"High Volume","Low Volume")</f>
        <v>High Volume</v>
      </c>
    </row>
    <row r="1409" spans="1:16" x14ac:dyDescent="0.3">
      <c r="A1409" t="s">
        <v>2822</v>
      </c>
      <c r="B1409" t="s">
        <v>2823</v>
      </c>
      <c r="C1409">
        <v>85.1</v>
      </c>
      <c r="D1409">
        <v>88.57</v>
      </c>
      <c r="E1409">
        <v>81.94</v>
      </c>
      <c r="F1409">
        <v>85.69</v>
      </c>
      <c r="G1409">
        <v>85.11</v>
      </c>
      <c r="H1409">
        <v>288760</v>
      </c>
      <c r="I1409">
        <v>3389</v>
      </c>
      <c r="J1409">
        <v>3851602689</v>
      </c>
      <c r="K1409">
        <v>44948100</v>
      </c>
      <c r="L1409">
        <f>(Table1[[#This Row],[CLOSE_PRICE]] - Table1[[#This Row],[PREV_CL_PR]]) / Table1[[#This Row],[PREV_CL_PR]] * 100</f>
        <v>0.6814710374809051</v>
      </c>
      <c r="M1409">
        <f>Table1[[#This Row],[HIGH_PRICE]]-Table1[[#This Row],[LOW_PRICE]]</f>
        <v>6.6299999999999955</v>
      </c>
      <c r="N1409" t="str">
        <f>IF(Table1[[#This Row],[CLOSE_PRICE]]&gt;Table1[[#This Row],[OPEN_PRICE]],"Gain","Loss")</f>
        <v>Gain</v>
      </c>
      <c r="O1409" t="str">
        <f>IF(Table1[[#This Row],[MARKET_CAP]]&gt;200000000000,"Large Cap",
IF(Table1[[#This Row],[MARKET_CAP]]&gt;50000000000,"Mid Cap","Small Cap"))</f>
        <v>Small Cap</v>
      </c>
      <c r="P1409" t="str">
        <f>IF(Table1[[#This Row],[NET_TRDQTY]]&gt;1000000,"High Volume","Low Volume")</f>
        <v>Low Volume</v>
      </c>
    </row>
    <row r="1410" spans="1:16" x14ac:dyDescent="0.3">
      <c r="A1410" t="s">
        <v>2824</v>
      </c>
      <c r="B1410" t="s">
        <v>2825</v>
      </c>
      <c r="C1410">
        <v>86.45</v>
      </c>
      <c r="D1410">
        <v>86.46</v>
      </c>
      <c r="E1410">
        <v>82.22</v>
      </c>
      <c r="F1410">
        <v>85.92</v>
      </c>
      <c r="G1410">
        <v>86.44</v>
      </c>
      <c r="H1410">
        <v>3876</v>
      </c>
      <c r="I1410">
        <v>94</v>
      </c>
      <c r="J1410">
        <v>859466523.89999998</v>
      </c>
      <c r="K1410">
        <v>10003102</v>
      </c>
      <c r="L1410">
        <f>(Table1[[#This Row],[CLOSE_PRICE]] - Table1[[#This Row],[PREV_CL_PR]]) / Table1[[#This Row],[PREV_CL_PR]] * 100</f>
        <v>-0.60157334567329479</v>
      </c>
      <c r="M1410">
        <f>Table1[[#This Row],[HIGH_PRICE]]-Table1[[#This Row],[LOW_PRICE]]</f>
        <v>4.2399999999999949</v>
      </c>
      <c r="N1410" t="str">
        <f>IF(Table1[[#This Row],[CLOSE_PRICE]]&gt;Table1[[#This Row],[OPEN_PRICE]],"Gain","Loss")</f>
        <v>Loss</v>
      </c>
      <c r="O1410" t="str">
        <f>IF(Table1[[#This Row],[MARKET_CAP]]&gt;200000000000,"Large Cap",
IF(Table1[[#This Row],[MARKET_CAP]]&gt;50000000000,"Mid Cap","Small Cap"))</f>
        <v>Small Cap</v>
      </c>
      <c r="P1410" t="str">
        <f>IF(Table1[[#This Row],[NET_TRDQTY]]&gt;1000000,"High Volume","Low Volume")</f>
        <v>Low Volume</v>
      </c>
    </row>
    <row r="1411" spans="1:16" x14ac:dyDescent="0.3">
      <c r="A1411" t="s">
        <v>2826</v>
      </c>
      <c r="B1411" t="s">
        <v>2827</v>
      </c>
      <c r="C1411">
        <v>28.5</v>
      </c>
      <c r="D1411">
        <v>28.81</v>
      </c>
      <c r="E1411">
        <v>27.55</v>
      </c>
      <c r="F1411">
        <v>27.65</v>
      </c>
      <c r="G1411">
        <v>28.95</v>
      </c>
      <c r="H1411">
        <v>23881</v>
      </c>
      <c r="I1411">
        <v>135</v>
      </c>
      <c r="J1411">
        <v>338230449.89999998</v>
      </c>
      <c r="K1411">
        <v>12232566</v>
      </c>
      <c r="L1411">
        <f>(Table1[[#This Row],[CLOSE_PRICE]] - Table1[[#This Row],[PREV_CL_PR]]) / Table1[[#This Row],[PREV_CL_PR]] * 100</f>
        <v>-4.4905008635578607</v>
      </c>
      <c r="M1411">
        <f>Table1[[#This Row],[HIGH_PRICE]]-Table1[[#This Row],[LOW_PRICE]]</f>
        <v>1.259999999999998</v>
      </c>
      <c r="N1411" t="str">
        <f>IF(Table1[[#This Row],[CLOSE_PRICE]]&gt;Table1[[#This Row],[OPEN_PRICE]],"Gain","Loss")</f>
        <v>Loss</v>
      </c>
      <c r="O1411" t="str">
        <f>IF(Table1[[#This Row],[MARKET_CAP]]&gt;200000000000,"Large Cap",
IF(Table1[[#This Row],[MARKET_CAP]]&gt;50000000000,"Mid Cap","Small Cap"))</f>
        <v>Small Cap</v>
      </c>
      <c r="P1411" t="str">
        <f>IF(Table1[[#This Row],[NET_TRDQTY]]&gt;1000000,"High Volume","Low Volume")</f>
        <v>Low Volume</v>
      </c>
    </row>
    <row r="1412" spans="1:16" x14ac:dyDescent="0.3">
      <c r="A1412" t="s">
        <v>2828</v>
      </c>
      <c r="B1412" t="s">
        <v>2829</v>
      </c>
      <c r="C1412">
        <v>323.10000000000002</v>
      </c>
      <c r="D1412">
        <v>329</v>
      </c>
      <c r="E1412">
        <v>317.95</v>
      </c>
      <c r="F1412">
        <v>322.05</v>
      </c>
      <c r="G1412">
        <v>329.65</v>
      </c>
      <c r="H1412">
        <v>120775</v>
      </c>
      <c r="I1412">
        <v>3130</v>
      </c>
      <c r="J1412">
        <v>19725802749</v>
      </c>
      <c r="K1412">
        <v>61250746</v>
      </c>
      <c r="L1412">
        <f>(Table1[[#This Row],[CLOSE_PRICE]] - Table1[[#This Row],[PREV_CL_PR]]) / Table1[[#This Row],[PREV_CL_PR]] * 100</f>
        <v>-2.3054755043227564</v>
      </c>
      <c r="M1412">
        <f>Table1[[#This Row],[HIGH_PRICE]]-Table1[[#This Row],[LOW_PRICE]]</f>
        <v>11.050000000000011</v>
      </c>
      <c r="N1412" t="str">
        <f>IF(Table1[[#This Row],[CLOSE_PRICE]]&gt;Table1[[#This Row],[OPEN_PRICE]],"Gain","Loss")</f>
        <v>Loss</v>
      </c>
      <c r="O1412" t="str">
        <f>IF(Table1[[#This Row],[MARKET_CAP]]&gt;200000000000,"Large Cap",
IF(Table1[[#This Row],[MARKET_CAP]]&gt;50000000000,"Mid Cap","Small Cap"))</f>
        <v>Small Cap</v>
      </c>
      <c r="P1412" t="str">
        <f>IF(Table1[[#This Row],[NET_TRDQTY]]&gt;1000000,"High Volume","Low Volume")</f>
        <v>Low Volume</v>
      </c>
    </row>
    <row r="1413" spans="1:16" x14ac:dyDescent="0.3">
      <c r="A1413" t="s">
        <v>2830</v>
      </c>
      <c r="B1413" t="s">
        <v>2831</v>
      </c>
      <c r="C1413">
        <v>258.7</v>
      </c>
      <c r="D1413">
        <v>260</v>
      </c>
      <c r="E1413">
        <v>252.55</v>
      </c>
      <c r="F1413">
        <v>253.15</v>
      </c>
      <c r="G1413">
        <v>262.60000000000002</v>
      </c>
      <c r="H1413">
        <v>44284</v>
      </c>
      <c r="I1413">
        <v>705</v>
      </c>
      <c r="J1413">
        <v>15313954334</v>
      </c>
      <c r="K1413">
        <v>60493598</v>
      </c>
      <c r="L1413">
        <f>(Table1[[#This Row],[CLOSE_PRICE]] - Table1[[#This Row],[PREV_CL_PR]]) / Table1[[#This Row],[PREV_CL_PR]] * 100</f>
        <v>-3.5986290936786047</v>
      </c>
      <c r="M1413">
        <f>Table1[[#This Row],[HIGH_PRICE]]-Table1[[#This Row],[LOW_PRICE]]</f>
        <v>7.4499999999999886</v>
      </c>
      <c r="N1413" t="str">
        <f>IF(Table1[[#This Row],[CLOSE_PRICE]]&gt;Table1[[#This Row],[OPEN_PRICE]],"Gain","Loss")</f>
        <v>Loss</v>
      </c>
      <c r="O1413" t="str">
        <f>IF(Table1[[#This Row],[MARKET_CAP]]&gt;200000000000,"Large Cap",
IF(Table1[[#This Row],[MARKET_CAP]]&gt;50000000000,"Mid Cap","Small Cap"))</f>
        <v>Small Cap</v>
      </c>
      <c r="P1413" t="str">
        <f>IF(Table1[[#This Row],[NET_TRDQTY]]&gt;1000000,"High Volume","Low Volume")</f>
        <v>Low Volume</v>
      </c>
    </row>
    <row r="1414" spans="1:16" x14ac:dyDescent="0.3">
      <c r="A1414" t="s">
        <v>2832</v>
      </c>
      <c r="B1414" t="s">
        <v>2833</v>
      </c>
      <c r="C1414">
        <v>282.95</v>
      </c>
      <c r="D1414">
        <v>282.95</v>
      </c>
      <c r="E1414">
        <v>262.3</v>
      </c>
      <c r="F1414">
        <v>266.45</v>
      </c>
      <c r="G1414">
        <v>276.10000000000002</v>
      </c>
      <c r="H1414">
        <v>324</v>
      </c>
      <c r="I1414">
        <v>27</v>
      </c>
      <c r="J1414">
        <v>4648699860</v>
      </c>
      <c r="K1414">
        <v>17446800</v>
      </c>
      <c r="L1414">
        <f>(Table1[[#This Row],[CLOSE_PRICE]] - Table1[[#This Row],[PREV_CL_PR]]) / Table1[[#This Row],[PREV_CL_PR]] * 100</f>
        <v>-3.495110467222033</v>
      </c>
      <c r="M1414">
        <f>Table1[[#This Row],[HIGH_PRICE]]-Table1[[#This Row],[LOW_PRICE]]</f>
        <v>20.649999999999977</v>
      </c>
      <c r="N1414" t="str">
        <f>IF(Table1[[#This Row],[CLOSE_PRICE]]&gt;Table1[[#This Row],[OPEN_PRICE]],"Gain","Loss")</f>
        <v>Loss</v>
      </c>
      <c r="O1414" t="str">
        <f>IF(Table1[[#This Row],[MARKET_CAP]]&gt;200000000000,"Large Cap",
IF(Table1[[#This Row],[MARKET_CAP]]&gt;50000000000,"Mid Cap","Small Cap"))</f>
        <v>Small Cap</v>
      </c>
      <c r="P1414" t="str">
        <f>IF(Table1[[#This Row],[NET_TRDQTY]]&gt;1000000,"High Volume","Low Volume")</f>
        <v>Low Volume</v>
      </c>
    </row>
    <row r="1415" spans="1:16" x14ac:dyDescent="0.3">
      <c r="A1415" t="s">
        <v>2834</v>
      </c>
      <c r="B1415" t="s">
        <v>2835</v>
      </c>
      <c r="C1415">
        <v>86.76</v>
      </c>
      <c r="D1415">
        <v>88.7</v>
      </c>
      <c r="E1415">
        <v>83</v>
      </c>
      <c r="F1415">
        <v>84.78</v>
      </c>
      <c r="G1415">
        <v>86.76</v>
      </c>
      <c r="H1415">
        <v>240725</v>
      </c>
      <c r="I1415">
        <v>318</v>
      </c>
      <c r="J1415">
        <v>1043187040</v>
      </c>
      <c r="K1415">
        <v>12304636</v>
      </c>
      <c r="L1415">
        <f>(Table1[[#This Row],[CLOSE_PRICE]] - Table1[[#This Row],[PREV_CL_PR]]) / Table1[[#This Row],[PREV_CL_PR]] * 100</f>
        <v>-2.282157676348552</v>
      </c>
      <c r="M1415">
        <f>Table1[[#This Row],[HIGH_PRICE]]-Table1[[#This Row],[LOW_PRICE]]</f>
        <v>5.7000000000000028</v>
      </c>
      <c r="N1415" t="str">
        <f>IF(Table1[[#This Row],[CLOSE_PRICE]]&gt;Table1[[#This Row],[OPEN_PRICE]],"Gain","Loss")</f>
        <v>Loss</v>
      </c>
      <c r="O1415" t="str">
        <f>IF(Table1[[#This Row],[MARKET_CAP]]&gt;200000000000,"Large Cap",
IF(Table1[[#This Row],[MARKET_CAP]]&gt;50000000000,"Mid Cap","Small Cap"))</f>
        <v>Small Cap</v>
      </c>
      <c r="P1415" t="str">
        <f>IF(Table1[[#This Row],[NET_TRDQTY]]&gt;1000000,"High Volume","Low Volume")</f>
        <v>Low Volume</v>
      </c>
    </row>
    <row r="1416" spans="1:16" x14ac:dyDescent="0.3">
      <c r="A1416" t="s">
        <v>2836</v>
      </c>
      <c r="B1416" t="s">
        <v>2837</v>
      </c>
      <c r="C1416">
        <v>34.22</v>
      </c>
      <c r="D1416">
        <v>34.29</v>
      </c>
      <c r="E1416">
        <v>32.119999999999997</v>
      </c>
      <c r="F1416">
        <v>32.29</v>
      </c>
      <c r="G1416">
        <v>34.76</v>
      </c>
      <c r="H1416">
        <v>1147192</v>
      </c>
      <c r="I1416">
        <v>4103</v>
      </c>
      <c r="J1416">
        <v>9855224894</v>
      </c>
      <c r="K1416">
        <v>305209814</v>
      </c>
      <c r="L1416">
        <f>(Table1[[#This Row],[CLOSE_PRICE]] - Table1[[#This Row],[PREV_CL_PR]]) / Table1[[#This Row],[PREV_CL_PR]] * 100</f>
        <v>-7.105868814729571</v>
      </c>
      <c r="M1416">
        <f>Table1[[#This Row],[HIGH_PRICE]]-Table1[[#This Row],[LOW_PRICE]]</f>
        <v>2.1700000000000017</v>
      </c>
      <c r="N1416" t="str">
        <f>IF(Table1[[#This Row],[CLOSE_PRICE]]&gt;Table1[[#This Row],[OPEN_PRICE]],"Gain","Loss")</f>
        <v>Loss</v>
      </c>
      <c r="O1416" t="str">
        <f>IF(Table1[[#This Row],[MARKET_CAP]]&gt;200000000000,"Large Cap",
IF(Table1[[#This Row],[MARKET_CAP]]&gt;50000000000,"Mid Cap","Small Cap"))</f>
        <v>Small Cap</v>
      </c>
      <c r="P1416" t="str">
        <f>IF(Table1[[#This Row],[NET_TRDQTY]]&gt;1000000,"High Volume","Low Volume")</f>
        <v>High Volume</v>
      </c>
    </row>
    <row r="1417" spans="1:16" x14ac:dyDescent="0.3">
      <c r="A1417" t="s">
        <v>2838</v>
      </c>
      <c r="B1417" t="s">
        <v>2839</v>
      </c>
      <c r="C1417">
        <v>109.5</v>
      </c>
      <c r="D1417">
        <v>110.4</v>
      </c>
      <c r="E1417">
        <v>105.78</v>
      </c>
      <c r="F1417">
        <v>106.25</v>
      </c>
      <c r="G1417">
        <v>110.77</v>
      </c>
      <c r="H1417">
        <v>4069332</v>
      </c>
      <c r="I1417">
        <v>35109</v>
      </c>
      <c r="J1417">
        <v>110000000000</v>
      </c>
      <c r="K1417">
        <v>1037968989</v>
      </c>
      <c r="L1417">
        <f>(Table1[[#This Row],[CLOSE_PRICE]] - Table1[[#This Row],[PREV_CL_PR]]) / Table1[[#This Row],[PREV_CL_PR]] * 100</f>
        <v>-4.0805272185609791</v>
      </c>
      <c r="M1417">
        <f>Table1[[#This Row],[HIGH_PRICE]]-Table1[[#This Row],[LOW_PRICE]]</f>
        <v>4.6200000000000045</v>
      </c>
      <c r="N1417" t="str">
        <f>IF(Table1[[#This Row],[CLOSE_PRICE]]&gt;Table1[[#This Row],[OPEN_PRICE]],"Gain","Loss")</f>
        <v>Loss</v>
      </c>
      <c r="O1417" t="str">
        <f>IF(Table1[[#This Row],[MARKET_CAP]]&gt;200000000000,"Large Cap",
IF(Table1[[#This Row],[MARKET_CAP]]&gt;50000000000,"Mid Cap","Small Cap"))</f>
        <v>Mid Cap</v>
      </c>
      <c r="P1417" t="str">
        <f>IF(Table1[[#This Row],[NET_TRDQTY]]&gt;1000000,"High Volume","Low Volume")</f>
        <v>High Volume</v>
      </c>
    </row>
    <row r="1418" spans="1:16" x14ac:dyDescent="0.3">
      <c r="A1418" t="s">
        <v>2840</v>
      </c>
      <c r="B1418" t="s">
        <v>2841</v>
      </c>
      <c r="C1418">
        <v>195.46</v>
      </c>
      <c r="D1418">
        <v>197.95</v>
      </c>
      <c r="E1418">
        <v>189</v>
      </c>
      <c r="F1418">
        <v>189.94</v>
      </c>
      <c r="G1418">
        <v>198.92</v>
      </c>
      <c r="H1418">
        <v>1318704</v>
      </c>
      <c r="I1418">
        <v>16443</v>
      </c>
      <c r="J1418">
        <v>23763308687</v>
      </c>
      <c r="K1418">
        <v>125109554</v>
      </c>
      <c r="L1418">
        <f>(Table1[[#This Row],[CLOSE_PRICE]] - Table1[[#This Row],[PREV_CL_PR]]) / Table1[[#This Row],[PREV_CL_PR]] * 100</f>
        <v>-4.5143776392519559</v>
      </c>
      <c r="M1418">
        <f>Table1[[#This Row],[HIGH_PRICE]]-Table1[[#This Row],[LOW_PRICE]]</f>
        <v>8.9499999999999886</v>
      </c>
      <c r="N1418" t="str">
        <f>IF(Table1[[#This Row],[CLOSE_PRICE]]&gt;Table1[[#This Row],[OPEN_PRICE]],"Gain","Loss")</f>
        <v>Loss</v>
      </c>
      <c r="O1418" t="str">
        <f>IF(Table1[[#This Row],[MARKET_CAP]]&gt;200000000000,"Large Cap",
IF(Table1[[#This Row],[MARKET_CAP]]&gt;50000000000,"Mid Cap","Small Cap"))</f>
        <v>Small Cap</v>
      </c>
      <c r="P1418" t="str">
        <f>IF(Table1[[#This Row],[NET_TRDQTY]]&gt;1000000,"High Volume","Low Volume")</f>
        <v>High Volume</v>
      </c>
    </row>
    <row r="1419" spans="1:16" x14ac:dyDescent="0.3">
      <c r="A1419" t="s">
        <v>2842</v>
      </c>
      <c r="B1419" t="s">
        <v>2843</v>
      </c>
      <c r="C1419">
        <v>625.15</v>
      </c>
      <c r="D1419">
        <v>625.5</v>
      </c>
      <c r="E1419">
        <v>580.5</v>
      </c>
      <c r="F1419">
        <v>584.6</v>
      </c>
      <c r="G1419">
        <v>627.20000000000005</v>
      </c>
      <c r="H1419">
        <v>925304</v>
      </c>
      <c r="I1419">
        <v>43435</v>
      </c>
      <c r="J1419">
        <v>47111353118</v>
      </c>
      <c r="K1419">
        <v>80587330</v>
      </c>
      <c r="L1419">
        <f>(Table1[[#This Row],[CLOSE_PRICE]] - Table1[[#This Row],[PREV_CL_PR]]) / Table1[[#This Row],[PREV_CL_PR]] * 100</f>
        <v>-6.7920918367346967</v>
      </c>
      <c r="M1419">
        <f>Table1[[#This Row],[HIGH_PRICE]]-Table1[[#This Row],[LOW_PRICE]]</f>
        <v>45</v>
      </c>
      <c r="N1419" t="str">
        <f>IF(Table1[[#This Row],[CLOSE_PRICE]]&gt;Table1[[#This Row],[OPEN_PRICE]],"Gain","Loss")</f>
        <v>Loss</v>
      </c>
      <c r="O1419" t="str">
        <f>IF(Table1[[#This Row],[MARKET_CAP]]&gt;200000000000,"Large Cap",
IF(Table1[[#This Row],[MARKET_CAP]]&gt;50000000000,"Mid Cap","Small Cap"))</f>
        <v>Small Cap</v>
      </c>
      <c r="P1419" t="str">
        <f>IF(Table1[[#This Row],[NET_TRDQTY]]&gt;1000000,"High Volume","Low Volume")</f>
        <v>Low Volume</v>
      </c>
    </row>
    <row r="1420" spans="1:16" x14ac:dyDescent="0.3">
      <c r="A1420" t="s">
        <v>2844</v>
      </c>
      <c r="B1420" t="s">
        <v>2845</v>
      </c>
      <c r="C1420">
        <v>198.01</v>
      </c>
      <c r="D1420">
        <v>198.01</v>
      </c>
      <c r="E1420">
        <v>185.5</v>
      </c>
      <c r="F1420">
        <v>187.82</v>
      </c>
      <c r="G1420">
        <v>199.16</v>
      </c>
      <c r="H1420">
        <v>535021</v>
      </c>
      <c r="I1420">
        <v>7497</v>
      </c>
      <c r="J1420">
        <v>81125254877</v>
      </c>
      <c r="K1420">
        <v>431930864</v>
      </c>
      <c r="L1420">
        <f>(Table1[[#This Row],[CLOSE_PRICE]] - Table1[[#This Row],[PREV_CL_PR]]) / Table1[[#This Row],[PREV_CL_PR]] * 100</f>
        <v>-5.6939144406507349</v>
      </c>
      <c r="M1420">
        <f>Table1[[#This Row],[HIGH_PRICE]]-Table1[[#This Row],[LOW_PRICE]]</f>
        <v>12.509999999999991</v>
      </c>
      <c r="N1420" t="str">
        <f>IF(Table1[[#This Row],[CLOSE_PRICE]]&gt;Table1[[#This Row],[OPEN_PRICE]],"Gain","Loss")</f>
        <v>Loss</v>
      </c>
      <c r="O1420" t="str">
        <f>IF(Table1[[#This Row],[MARKET_CAP]]&gt;200000000000,"Large Cap",
IF(Table1[[#This Row],[MARKET_CAP]]&gt;50000000000,"Mid Cap","Small Cap"))</f>
        <v>Mid Cap</v>
      </c>
      <c r="P1420" t="str">
        <f>IF(Table1[[#This Row],[NET_TRDQTY]]&gt;1000000,"High Volume","Low Volume")</f>
        <v>Low Volume</v>
      </c>
    </row>
    <row r="1421" spans="1:16" x14ac:dyDescent="0.3">
      <c r="A1421" t="s">
        <v>2846</v>
      </c>
      <c r="B1421" t="s">
        <v>2846</v>
      </c>
      <c r="C1421">
        <v>106.05</v>
      </c>
      <c r="D1421">
        <v>107.99</v>
      </c>
      <c r="E1421">
        <v>102.11</v>
      </c>
      <c r="F1421">
        <v>103.16</v>
      </c>
      <c r="G1421">
        <v>108.47</v>
      </c>
      <c r="H1421">
        <v>536198</v>
      </c>
      <c r="I1421">
        <v>5549</v>
      </c>
      <c r="J1421">
        <v>22011687217</v>
      </c>
      <c r="K1421">
        <v>213374246</v>
      </c>
      <c r="L1421">
        <f>(Table1[[#This Row],[CLOSE_PRICE]] - Table1[[#This Row],[PREV_CL_PR]]) / Table1[[#This Row],[PREV_CL_PR]] * 100</f>
        <v>-4.8953627731169931</v>
      </c>
      <c r="M1421">
        <f>Table1[[#This Row],[HIGH_PRICE]]-Table1[[#This Row],[LOW_PRICE]]</f>
        <v>5.8799999999999955</v>
      </c>
      <c r="N1421" t="str">
        <f>IF(Table1[[#This Row],[CLOSE_PRICE]]&gt;Table1[[#This Row],[OPEN_PRICE]],"Gain","Loss")</f>
        <v>Loss</v>
      </c>
      <c r="O1421" t="str">
        <f>IF(Table1[[#This Row],[MARKET_CAP]]&gt;200000000000,"Large Cap",
IF(Table1[[#This Row],[MARKET_CAP]]&gt;50000000000,"Mid Cap","Small Cap"))</f>
        <v>Small Cap</v>
      </c>
      <c r="P1421" t="str">
        <f>IF(Table1[[#This Row],[NET_TRDQTY]]&gt;1000000,"High Volume","Low Volume")</f>
        <v>Low Volume</v>
      </c>
    </row>
    <row r="1422" spans="1:16" x14ac:dyDescent="0.3">
      <c r="A1422" t="s">
        <v>2847</v>
      </c>
      <c r="B1422" t="s">
        <v>2848</v>
      </c>
      <c r="C1422">
        <v>6.41</v>
      </c>
      <c r="D1422">
        <v>6.55</v>
      </c>
      <c r="E1422">
        <v>6.06</v>
      </c>
      <c r="F1422">
        <v>6.51</v>
      </c>
      <c r="G1422">
        <v>6.53</v>
      </c>
      <c r="H1422">
        <v>6918065</v>
      </c>
      <c r="I1422">
        <v>1865</v>
      </c>
      <c r="J1422">
        <v>2833029417</v>
      </c>
      <c r="K1422">
        <v>435181170</v>
      </c>
      <c r="L1422">
        <f>(Table1[[#This Row],[CLOSE_PRICE]] - Table1[[#This Row],[PREV_CL_PR]]) / Table1[[#This Row],[PREV_CL_PR]] * 100</f>
        <v>-0.30627871362940984</v>
      </c>
      <c r="M1422">
        <f>Table1[[#This Row],[HIGH_PRICE]]-Table1[[#This Row],[LOW_PRICE]]</f>
        <v>0.49000000000000021</v>
      </c>
      <c r="N1422" t="str">
        <f>IF(Table1[[#This Row],[CLOSE_PRICE]]&gt;Table1[[#This Row],[OPEN_PRICE]],"Gain","Loss")</f>
        <v>Gain</v>
      </c>
      <c r="O1422" t="str">
        <f>IF(Table1[[#This Row],[MARKET_CAP]]&gt;200000000000,"Large Cap",
IF(Table1[[#This Row],[MARKET_CAP]]&gt;50000000000,"Mid Cap","Small Cap"))</f>
        <v>Small Cap</v>
      </c>
      <c r="P1422" t="str">
        <f>IF(Table1[[#This Row],[NET_TRDQTY]]&gt;1000000,"High Volume","Low Volume")</f>
        <v>High Volume</v>
      </c>
    </row>
    <row r="1423" spans="1:16" x14ac:dyDescent="0.3">
      <c r="A1423" t="s">
        <v>2849</v>
      </c>
      <c r="B1423" t="s">
        <v>2850</v>
      </c>
      <c r="C1423">
        <v>999</v>
      </c>
      <c r="D1423">
        <v>999.1</v>
      </c>
      <c r="E1423">
        <v>899.95</v>
      </c>
      <c r="F1423">
        <v>975.8</v>
      </c>
      <c r="G1423">
        <v>981.1</v>
      </c>
      <c r="H1423">
        <v>8248</v>
      </c>
      <c r="I1423">
        <v>1010</v>
      </c>
      <c r="J1423">
        <v>15402027200</v>
      </c>
      <c r="K1423">
        <v>15784000</v>
      </c>
      <c r="L1423">
        <f>(Table1[[#This Row],[CLOSE_PRICE]] - Table1[[#This Row],[PREV_CL_PR]]) / Table1[[#This Row],[PREV_CL_PR]] * 100</f>
        <v>-0.5402099684028201</v>
      </c>
      <c r="M1423">
        <f>Table1[[#This Row],[HIGH_PRICE]]-Table1[[#This Row],[LOW_PRICE]]</f>
        <v>99.149999999999977</v>
      </c>
      <c r="N1423" t="str">
        <f>IF(Table1[[#This Row],[CLOSE_PRICE]]&gt;Table1[[#This Row],[OPEN_PRICE]],"Gain","Loss")</f>
        <v>Loss</v>
      </c>
      <c r="O1423" t="str">
        <f>IF(Table1[[#This Row],[MARKET_CAP]]&gt;200000000000,"Large Cap",
IF(Table1[[#This Row],[MARKET_CAP]]&gt;50000000000,"Mid Cap","Small Cap"))</f>
        <v>Small Cap</v>
      </c>
      <c r="P1423" t="str">
        <f>IF(Table1[[#This Row],[NET_TRDQTY]]&gt;1000000,"High Volume","Low Volume")</f>
        <v>Low Volume</v>
      </c>
    </row>
    <row r="1424" spans="1:16" x14ac:dyDescent="0.3">
      <c r="A1424" t="s">
        <v>2851</v>
      </c>
      <c r="B1424" t="s">
        <v>2852</v>
      </c>
      <c r="C1424">
        <v>43.79</v>
      </c>
      <c r="D1424">
        <v>43.8</v>
      </c>
      <c r="E1424">
        <v>41.5</v>
      </c>
      <c r="F1424">
        <v>42.05</v>
      </c>
      <c r="G1424">
        <v>44.58</v>
      </c>
      <c r="H1424">
        <v>143770</v>
      </c>
      <c r="I1424">
        <v>1155</v>
      </c>
      <c r="J1424">
        <v>3748047738</v>
      </c>
      <c r="K1424">
        <v>89133121</v>
      </c>
      <c r="L1424">
        <f>(Table1[[#This Row],[CLOSE_PRICE]] - Table1[[#This Row],[PREV_CL_PR]]) / Table1[[#This Row],[PREV_CL_PR]] * 100</f>
        <v>-5.6751906684611964</v>
      </c>
      <c r="M1424">
        <f>Table1[[#This Row],[HIGH_PRICE]]-Table1[[#This Row],[LOW_PRICE]]</f>
        <v>2.2999999999999972</v>
      </c>
      <c r="N1424" t="str">
        <f>IF(Table1[[#This Row],[CLOSE_PRICE]]&gt;Table1[[#This Row],[OPEN_PRICE]],"Gain","Loss")</f>
        <v>Loss</v>
      </c>
      <c r="O1424" t="str">
        <f>IF(Table1[[#This Row],[MARKET_CAP]]&gt;200000000000,"Large Cap",
IF(Table1[[#This Row],[MARKET_CAP]]&gt;50000000000,"Mid Cap","Small Cap"))</f>
        <v>Small Cap</v>
      </c>
      <c r="P1424" t="str">
        <f>IF(Table1[[#This Row],[NET_TRDQTY]]&gt;1000000,"High Volume","Low Volume")</f>
        <v>Low Volume</v>
      </c>
    </row>
    <row r="1425" spans="1:16" x14ac:dyDescent="0.3">
      <c r="A1425" t="s">
        <v>2853</v>
      </c>
      <c r="B1425" t="s">
        <v>2854</v>
      </c>
      <c r="C1425">
        <v>471</v>
      </c>
      <c r="D1425">
        <v>472</v>
      </c>
      <c r="E1425">
        <v>460.4</v>
      </c>
      <c r="F1425">
        <v>463.3</v>
      </c>
      <c r="G1425">
        <v>474.6</v>
      </c>
      <c r="H1425">
        <v>1603263</v>
      </c>
      <c r="I1425">
        <v>30083</v>
      </c>
      <c r="J1425">
        <v>504000000000</v>
      </c>
      <c r="K1425">
        <v>1087828245</v>
      </c>
      <c r="L1425">
        <f>(Table1[[#This Row],[CLOSE_PRICE]] - Table1[[#This Row],[PREV_CL_PR]]) / Table1[[#This Row],[PREV_CL_PR]] * 100</f>
        <v>-2.3809523809523832</v>
      </c>
      <c r="M1425">
        <f>Table1[[#This Row],[HIGH_PRICE]]-Table1[[#This Row],[LOW_PRICE]]</f>
        <v>11.600000000000023</v>
      </c>
      <c r="N1425" t="str">
        <f>IF(Table1[[#This Row],[CLOSE_PRICE]]&gt;Table1[[#This Row],[OPEN_PRICE]],"Gain","Loss")</f>
        <v>Loss</v>
      </c>
      <c r="O1425" t="str">
        <f>IF(Table1[[#This Row],[MARKET_CAP]]&gt;200000000000,"Large Cap",
IF(Table1[[#This Row],[MARKET_CAP]]&gt;50000000000,"Mid Cap","Small Cap"))</f>
        <v>Large Cap</v>
      </c>
      <c r="P1425" t="str">
        <f>IF(Table1[[#This Row],[NET_TRDQTY]]&gt;1000000,"High Volume","Low Volume")</f>
        <v>High Volume</v>
      </c>
    </row>
    <row r="1426" spans="1:16" x14ac:dyDescent="0.3">
      <c r="A1426" t="s">
        <v>2855</v>
      </c>
      <c r="B1426" t="s">
        <v>2856</v>
      </c>
      <c r="C1426">
        <v>24.62</v>
      </c>
      <c r="D1426">
        <v>24.79</v>
      </c>
      <c r="E1426">
        <v>23.43</v>
      </c>
      <c r="F1426">
        <v>23.61</v>
      </c>
      <c r="G1426">
        <v>24.92</v>
      </c>
      <c r="H1426">
        <v>7719761</v>
      </c>
      <c r="I1426">
        <v>16552</v>
      </c>
      <c r="J1426">
        <v>23424471133</v>
      </c>
      <c r="K1426">
        <v>992141937</v>
      </c>
      <c r="L1426">
        <f>(Table1[[#This Row],[CLOSE_PRICE]] - Table1[[#This Row],[PREV_CL_PR]]) / Table1[[#This Row],[PREV_CL_PR]] * 100</f>
        <v>-5.2568218298555465</v>
      </c>
      <c r="M1426">
        <f>Table1[[#This Row],[HIGH_PRICE]]-Table1[[#This Row],[LOW_PRICE]]</f>
        <v>1.3599999999999994</v>
      </c>
      <c r="N1426" t="str">
        <f>IF(Table1[[#This Row],[CLOSE_PRICE]]&gt;Table1[[#This Row],[OPEN_PRICE]],"Gain","Loss")</f>
        <v>Loss</v>
      </c>
      <c r="O1426" t="str">
        <f>IF(Table1[[#This Row],[MARKET_CAP]]&gt;200000000000,"Large Cap",
IF(Table1[[#This Row],[MARKET_CAP]]&gt;50000000000,"Mid Cap","Small Cap"))</f>
        <v>Small Cap</v>
      </c>
      <c r="P1426" t="str">
        <f>IF(Table1[[#This Row],[NET_TRDQTY]]&gt;1000000,"High Volume","Low Volume")</f>
        <v>High Volume</v>
      </c>
    </row>
    <row r="1427" spans="1:16" x14ac:dyDescent="0.3">
      <c r="A1427" t="s">
        <v>2857</v>
      </c>
      <c r="B1427" t="s">
        <v>2858</v>
      </c>
      <c r="C1427">
        <v>168.22</v>
      </c>
      <c r="D1427">
        <v>168.22</v>
      </c>
      <c r="E1427">
        <v>158.05000000000001</v>
      </c>
      <c r="F1427">
        <v>159.04</v>
      </c>
      <c r="G1427">
        <v>167.38</v>
      </c>
      <c r="H1427">
        <v>237209</v>
      </c>
      <c r="I1427">
        <v>2694</v>
      </c>
      <c r="J1427">
        <v>5312019973</v>
      </c>
      <c r="K1427">
        <v>33400528</v>
      </c>
      <c r="L1427">
        <f>(Table1[[#This Row],[CLOSE_PRICE]] - Table1[[#This Row],[PREV_CL_PR]]) / Table1[[#This Row],[PREV_CL_PR]] * 100</f>
        <v>-4.9826741546182367</v>
      </c>
      <c r="M1427">
        <f>Table1[[#This Row],[HIGH_PRICE]]-Table1[[#This Row],[LOW_PRICE]]</f>
        <v>10.169999999999987</v>
      </c>
      <c r="N1427" t="str">
        <f>IF(Table1[[#This Row],[CLOSE_PRICE]]&gt;Table1[[#This Row],[OPEN_PRICE]],"Gain","Loss")</f>
        <v>Loss</v>
      </c>
      <c r="O1427" t="str">
        <f>IF(Table1[[#This Row],[MARKET_CAP]]&gt;200000000000,"Large Cap",
IF(Table1[[#This Row],[MARKET_CAP]]&gt;50000000000,"Mid Cap","Small Cap"))</f>
        <v>Small Cap</v>
      </c>
      <c r="P1427" t="str">
        <f>IF(Table1[[#This Row],[NET_TRDQTY]]&gt;1000000,"High Volume","Low Volume")</f>
        <v>Low Volume</v>
      </c>
    </row>
    <row r="1428" spans="1:16" x14ac:dyDescent="0.3">
      <c r="A1428" t="s">
        <v>2859</v>
      </c>
      <c r="B1428" t="s">
        <v>2860</v>
      </c>
      <c r="C1428">
        <v>9.3800000000000008</v>
      </c>
      <c r="D1428">
        <v>9.3800000000000008</v>
      </c>
      <c r="E1428">
        <v>8.81</v>
      </c>
      <c r="F1428">
        <v>9</v>
      </c>
      <c r="G1428">
        <v>9.3800000000000008</v>
      </c>
      <c r="H1428">
        <v>103861</v>
      </c>
      <c r="I1428">
        <v>439</v>
      </c>
      <c r="J1428">
        <v>626271714</v>
      </c>
      <c r="K1428">
        <v>69585746</v>
      </c>
      <c r="L1428">
        <f>(Table1[[#This Row],[CLOSE_PRICE]] - Table1[[#This Row],[PREV_CL_PR]]) / Table1[[#This Row],[PREV_CL_PR]] * 100</f>
        <v>-4.0511727078891333</v>
      </c>
      <c r="M1428">
        <f>Table1[[#This Row],[HIGH_PRICE]]-Table1[[#This Row],[LOW_PRICE]]</f>
        <v>0.57000000000000028</v>
      </c>
      <c r="N1428" t="str">
        <f>IF(Table1[[#This Row],[CLOSE_PRICE]]&gt;Table1[[#This Row],[OPEN_PRICE]],"Gain","Loss")</f>
        <v>Loss</v>
      </c>
      <c r="O1428" t="str">
        <f>IF(Table1[[#This Row],[MARKET_CAP]]&gt;200000000000,"Large Cap",
IF(Table1[[#This Row],[MARKET_CAP]]&gt;50000000000,"Mid Cap","Small Cap"))</f>
        <v>Small Cap</v>
      </c>
      <c r="P1428" t="str">
        <f>IF(Table1[[#This Row],[NET_TRDQTY]]&gt;1000000,"High Volume","Low Volume")</f>
        <v>Low Volume</v>
      </c>
    </row>
    <row r="1429" spans="1:16" x14ac:dyDescent="0.3">
      <c r="A1429" t="s">
        <v>2861</v>
      </c>
      <c r="B1429" t="s">
        <v>2862</v>
      </c>
      <c r="C1429">
        <v>401</v>
      </c>
      <c r="D1429">
        <v>401</v>
      </c>
      <c r="E1429">
        <v>370</v>
      </c>
      <c r="F1429">
        <v>373.9</v>
      </c>
      <c r="G1429">
        <v>400.15</v>
      </c>
      <c r="H1429">
        <v>31711</v>
      </c>
      <c r="I1429">
        <v>1540</v>
      </c>
      <c r="J1429">
        <v>9219219397</v>
      </c>
      <c r="K1429">
        <v>24656912</v>
      </c>
      <c r="L1429">
        <f>(Table1[[#This Row],[CLOSE_PRICE]] - Table1[[#This Row],[PREV_CL_PR]]) / Table1[[#This Row],[PREV_CL_PR]] * 100</f>
        <v>-6.5600399850056235</v>
      </c>
      <c r="M1429">
        <f>Table1[[#This Row],[HIGH_PRICE]]-Table1[[#This Row],[LOW_PRICE]]</f>
        <v>31</v>
      </c>
      <c r="N1429" t="str">
        <f>IF(Table1[[#This Row],[CLOSE_PRICE]]&gt;Table1[[#This Row],[OPEN_PRICE]],"Gain","Loss")</f>
        <v>Loss</v>
      </c>
      <c r="O1429" t="str">
        <f>IF(Table1[[#This Row],[MARKET_CAP]]&gt;200000000000,"Large Cap",
IF(Table1[[#This Row],[MARKET_CAP]]&gt;50000000000,"Mid Cap","Small Cap"))</f>
        <v>Small Cap</v>
      </c>
      <c r="P1429" t="str">
        <f>IF(Table1[[#This Row],[NET_TRDQTY]]&gt;1000000,"High Volume","Low Volume")</f>
        <v>Low Volume</v>
      </c>
    </row>
    <row r="1430" spans="1:16" x14ac:dyDescent="0.3">
      <c r="A1430" t="s">
        <v>2863</v>
      </c>
      <c r="B1430" t="s">
        <v>2864</v>
      </c>
      <c r="C1430">
        <v>18.440000000000001</v>
      </c>
      <c r="D1430">
        <v>18.440000000000001</v>
      </c>
      <c r="E1430">
        <v>16.899999999999999</v>
      </c>
      <c r="F1430">
        <v>17.25</v>
      </c>
      <c r="G1430">
        <v>18.11</v>
      </c>
      <c r="H1430">
        <v>136479</v>
      </c>
      <c r="I1430">
        <v>498</v>
      </c>
      <c r="J1430">
        <v>2406892500</v>
      </c>
      <c r="K1430">
        <v>139530000</v>
      </c>
      <c r="L1430">
        <f>(Table1[[#This Row],[CLOSE_PRICE]] - Table1[[#This Row],[PREV_CL_PR]]) / Table1[[#This Row],[PREV_CL_PR]] * 100</f>
        <v>-4.7487575924903336</v>
      </c>
      <c r="M1430">
        <f>Table1[[#This Row],[HIGH_PRICE]]-Table1[[#This Row],[LOW_PRICE]]</f>
        <v>1.5400000000000027</v>
      </c>
      <c r="N1430" t="str">
        <f>IF(Table1[[#This Row],[CLOSE_PRICE]]&gt;Table1[[#This Row],[OPEN_PRICE]],"Gain","Loss")</f>
        <v>Loss</v>
      </c>
      <c r="O1430" t="str">
        <f>IF(Table1[[#This Row],[MARKET_CAP]]&gt;200000000000,"Large Cap",
IF(Table1[[#This Row],[MARKET_CAP]]&gt;50000000000,"Mid Cap","Small Cap"))</f>
        <v>Small Cap</v>
      </c>
      <c r="P1430" t="str">
        <f>IF(Table1[[#This Row],[NET_TRDQTY]]&gt;1000000,"High Volume","Low Volume")</f>
        <v>Low Volume</v>
      </c>
    </row>
    <row r="1431" spans="1:16" x14ac:dyDescent="0.3">
      <c r="A1431" t="s">
        <v>2865</v>
      </c>
      <c r="B1431" t="s">
        <v>2866</v>
      </c>
      <c r="C1431">
        <v>1036</v>
      </c>
      <c r="D1431">
        <v>1040</v>
      </c>
      <c r="E1431">
        <v>987.1</v>
      </c>
      <c r="F1431">
        <v>992.8</v>
      </c>
      <c r="G1431">
        <v>1054.3</v>
      </c>
      <c r="H1431">
        <v>2770795</v>
      </c>
      <c r="I1431">
        <v>86892</v>
      </c>
      <c r="J1431">
        <v>635000000000</v>
      </c>
      <c r="K1431">
        <v>639539256</v>
      </c>
      <c r="L1431">
        <f>(Table1[[#This Row],[CLOSE_PRICE]] - Table1[[#This Row],[PREV_CL_PR]]) / Table1[[#This Row],[PREV_CL_PR]] * 100</f>
        <v>-5.8332542919472639</v>
      </c>
      <c r="M1431">
        <f>Table1[[#This Row],[HIGH_PRICE]]-Table1[[#This Row],[LOW_PRICE]]</f>
        <v>52.899999999999977</v>
      </c>
      <c r="N1431" t="str">
        <f>IF(Table1[[#This Row],[CLOSE_PRICE]]&gt;Table1[[#This Row],[OPEN_PRICE]],"Gain","Loss")</f>
        <v>Loss</v>
      </c>
      <c r="O1431" t="str">
        <f>IF(Table1[[#This Row],[MARKET_CAP]]&gt;200000000000,"Large Cap",
IF(Table1[[#This Row],[MARKET_CAP]]&gt;50000000000,"Mid Cap","Small Cap"))</f>
        <v>Large Cap</v>
      </c>
      <c r="P1431" t="str">
        <f>IF(Table1[[#This Row],[NET_TRDQTY]]&gt;1000000,"High Volume","Low Volume")</f>
        <v>High Volume</v>
      </c>
    </row>
    <row r="1432" spans="1:16" x14ac:dyDescent="0.3">
      <c r="A1432" t="s">
        <v>2867</v>
      </c>
      <c r="B1432" t="s">
        <v>2868</v>
      </c>
      <c r="C1432">
        <v>242.1</v>
      </c>
      <c r="D1432">
        <v>245.8</v>
      </c>
      <c r="E1432">
        <v>228.1</v>
      </c>
      <c r="F1432">
        <v>232.15</v>
      </c>
      <c r="G1432">
        <v>248.05</v>
      </c>
      <c r="H1432">
        <v>2009696</v>
      </c>
      <c r="I1432">
        <v>38060</v>
      </c>
      <c r="J1432">
        <v>91342343519</v>
      </c>
      <c r="K1432">
        <v>393462604</v>
      </c>
      <c r="L1432">
        <f>(Table1[[#This Row],[CLOSE_PRICE]] - Table1[[#This Row],[PREV_CL_PR]]) / Table1[[#This Row],[PREV_CL_PR]] * 100</f>
        <v>-6.409997984277366</v>
      </c>
      <c r="M1432">
        <f>Table1[[#This Row],[HIGH_PRICE]]-Table1[[#This Row],[LOW_PRICE]]</f>
        <v>17.700000000000017</v>
      </c>
      <c r="N1432" t="str">
        <f>IF(Table1[[#This Row],[CLOSE_PRICE]]&gt;Table1[[#This Row],[OPEN_PRICE]],"Gain","Loss")</f>
        <v>Loss</v>
      </c>
      <c r="O1432" t="str">
        <f>IF(Table1[[#This Row],[MARKET_CAP]]&gt;200000000000,"Large Cap",
IF(Table1[[#This Row],[MARKET_CAP]]&gt;50000000000,"Mid Cap","Small Cap"))</f>
        <v>Mid Cap</v>
      </c>
      <c r="P1432" t="str">
        <f>IF(Table1[[#This Row],[NET_TRDQTY]]&gt;1000000,"High Volume","Low Volume")</f>
        <v>High Volume</v>
      </c>
    </row>
    <row r="1433" spans="1:16" x14ac:dyDescent="0.3">
      <c r="A1433" t="s">
        <v>2869</v>
      </c>
      <c r="B1433" t="s">
        <v>2870</v>
      </c>
      <c r="C1433">
        <v>8.3000000000000007</v>
      </c>
      <c r="D1433">
        <v>8.3000000000000007</v>
      </c>
      <c r="E1433">
        <v>7.74</v>
      </c>
      <c r="F1433">
        <v>7.84</v>
      </c>
      <c r="G1433">
        <v>8.3000000000000007</v>
      </c>
      <c r="H1433">
        <v>54603861</v>
      </c>
      <c r="I1433">
        <v>38540</v>
      </c>
      <c r="J1433">
        <v>56829209847</v>
      </c>
      <c r="K1433">
        <v>7248623705</v>
      </c>
      <c r="L1433">
        <f>(Table1[[#This Row],[CLOSE_PRICE]] - Table1[[#This Row],[PREV_CL_PR]]) / Table1[[#This Row],[PREV_CL_PR]] * 100</f>
        <v>-5.5421686746988055</v>
      </c>
      <c r="M1433">
        <f>Table1[[#This Row],[HIGH_PRICE]]-Table1[[#This Row],[LOW_PRICE]]</f>
        <v>0.5600000000000005</v>
      </c>
      <c r="N1433" t="str">
        <f>IF(Table1[[#This Row],[CLOSE_PRICE]]&gt;Table1[[#This Row],[OPEN_PRICE]],"Gain","Loss")</f>
        <v>Loss</v>
      </c>
      <c r="O1433" t="str">
        <f>IF(Table1[[#This Row],[MARKET_CAP]]&gt;200000000000,"Large Cap",
IF(Table1[[#This Row],[MARKET_CAP]]&gt;50000000000,"Mid Cap","Small Cap"))</f>
        <v>Mid Cap</v>
      </c>
      <c r="P1433" t="str">
        <f>IF(Table1[[#This Row],[NET_TRDQTY]]&gt;1000000,"High Volume","Low Volume")</f>
        <v>High Volume</v>
      </c>
    </row>
    <row r="1434" spans="1:16" x14ac:dyDescent="0.3">
      <c r="A1434" t="s">
        <v>2871</v>
      </c>
      <c r="B1434" t="s">
        <v>2872</v>
      </c>
      <c r="C1434">
        <v>70.06</v>
      </c>
      <c r="D1434">
        <v>72.92</v>
      </c>
      <c r="E1434">
        <v>67.8</v>
      </c>
      <c r="F1434">
        <v>68.12</v>
      </c>
      <c r="G1434">
        <v>71.25</v>
      </c>
      <c r="H1434">
        <v>242372</v>
      </c>
      <c r="I1434">
        <v>2463</v>
      </c>
      <c r="J1434">
        <v>6467994000</v>
      </c>
      <c r="K1434">
        <v>94950000</v>
      </c>
      <c r="L1434">
        <f>(Table1[[#This Row],[CLOSE_PRICE]] - Table1[[#This Row],[PREV_CL_PR]]) / Table1[[#This Row],[PREV_CL_PR]] * 100</f>
        <v>-4.3929824561403441</v>
      </c>
      <c r="M1434">
        <f>Table1[[#This Row],[HIGH_PRICE]]-Table1[[#This Row],[LOW_PRICE]]</f>
        <v>5.1200000000000045</v>
      </c>
      <c r="N1434" t="str">
        <f>IF(Table1[[#This Row],[CLOSE_PRICE]]&gt;Table1[[#This Row],[OPEN_PRICE]],"Gain","Loss")</f>
        <v>Loss</v>
      </c>
      <c r="O1434" t="str">
        <f>IF(Table1[[#This Row],[MARKET_CAP]]&gt;200000000000,"Large Cap",
IF(Table1[[#This Row],[MARKET_CAP]]&gt;50000000000,"Mid Cap","Small Cap"))</f>
        <v>Small Cap</v>
      </c>
      <c r="P1434" t="str">
        <f>IF(Table1[[#This Row],[NET_TRDQTY]]&gt;1000000,"High Volume","Low Volume")</f>
        <v>Low Volume</v>
      </c>
    </row>
    <row r="1435" spans="1:16" x14ac:dyDescent="0.3">
      <c r="A1435" t="s">
        <v>2873</v>
      </c>
      <c r="B1435" t="s">
        <v>2874</v>
      </c>
      <c r="C1435">
        <v>257</v>
      </c>
      <c r="D1435">
        <v>257.85000000000002</v>
      </c>
      <c r="E1435">
        <v>246.05</v>
      </c>
      <c r="F1435">
        <v>253.85</v>
      </c>
      <c r="G1435">
        <v>260.8</v>
      </c>
      <c r="H1435">
        <v>151480</v>
      </c>
      <c r="I1435">
        <v>3410</v>
      </c>
      <c r="J1435">
        <v>35888902525</v>
      </c>
      <c r="K1435">
        <v>141378383</v>
      </c>
      <c r="L1435">
        <f>(Table1[[#This Row],[CLOSE_PRICE]] - Table1[[#This Row],[PREV_CL_PR]]) / Table1[[#This Row],[PREV_CL_PR]] * 100</f>
        <v>-2.6648773006135036</v>
      </c>
      <c r="M1435">
        <f>Table1[[#This Row],[HIGH_PRICE]]-Table1[[#This Row],[LOW_PRICE]]</f>
        <v>11.800000000000011</v>
      </c>
      <c r="N1435" t="str">
        <f>IF(Table1[[#This Row],[CLOSE_PRICE]]&gt;Table1[[#This Row],[OPEN_PRICE]],"Gain","Loss")</f>
        <v>Loss</v>
      </c>
      <c r="O1435" t="str">
        <f>IF(Table1[[#This Row],[MARKET_CAP]]&gt;200000000000,"Large Cap",
IF(Table1[[#This Row],[MARKET_CAP]]&gt;50000000000,"Mid Cap","Small Cap"))</f>
        <v>Small Cap</v>
      </c>
      <c r="P1435" t="str">
        <f>IF(Table1[[#This Row],[NET_TRDQTY]]&gt;1000000,"High Volume","Low Volume")</f>
        <v>Low Volume</v>
      </c>
    </row>
    <row r="1436" spans="1:16" x14ac:dyDescent="0.3">
      <c r="A1436" t="s">
        <v>2875</v>
      </c>
      <c r="B1436" t="s">
        <v>2876</v>
      </c>
      <c r="C1436">
        <v>15.99</v>
      </c>
      <c r="D1436">
        <v>15.99</v>
      </c>
      <c r="E1436">
        <v>14.1</v>
      </c>
      <c r="F1436">
        <v>14.27</v>
      </c>
      <c r="G1436">
        <v>15.76</v>
      </c>
      <c r="H1436">
        <v>22974</v>
      </c>
      <c r="I1436">
        <v>151</v>
      </c>
      <c r="J1436">
        <v>240234479.69999999</v>
      </c>
      <c r="K1436">
        <v>16834932</v>
      </c>
      <c r="L1436">
        <f>(Table1[[#This Row],[CLOSE_PRICE]] - Table1[[#This Row],[PREV_CL_PR]]) / Table1[[#This Row],[PREV_CL_PR]] * 100</f>
        <v>-9.4543147208121852</v>
      </c>
      <c r="M1436">
        <f>Table1[[#This Row],[HIGH_PRICE]]-Table1[[#This Row],[LOW_PRICE]]</f>
        <v>1.8900000000000006</v>
      </c>
      <c r="N1436" t="str">
        <f>IF(Table1[[#This Row],[CLOSE_PRICE]]&gt;Table1[[#This Row],[OPEN_PRICE]],"Gain","Loss")</f>
        <v>Loss</v>
      </c>
      <c r="O1436" t="str">
        <f>IF(Table1[[#This Row],[MARKET_CAP]]&gt;200000000000,"Large Cap",
IF(Table1[[#This Row],[MARKET_CAP]]&gt;50000000000,"Mid Cap","Small Cap"))</f>
        <v>Small Cap</v>
      </c>
      <c r="P1436" t="str">
        <f>IF(Table1[[#This Row],[NET_TRDQTY]]&gt;1000000,"High Volume","Low Volume")</f>
        <v>Low Volume</v>
      </c>
    </row>
    <row r="1437" spans="1:16" x14ac:dyDescent="0.3">
      <c r="A1437" t="s">
        <v>2877</v>
      </c>
      <c r="B1437" t="s">
        <v>2878</v>
      </c>
      <c r="C1437">
        <v>140</v>
      </c>
      <c r="D1437">
        <v>140</v>
      </c>
      <c r="E1437">
        <v>132.69999999999999</v>
      </c>
      <c r="F1437">
        <v>134.13999999999999</v>
      </c>
      <c r="G1437">
        <v>142.87</v>
      </c>
      <c r="H1437">
        <v>966894</v>
      </c>
      <c r="I1437">
        <v>8910</v>
      </c>
      <c r="J1437">
        <v>18101687426</v>
      </c>
      <c r="K1437">
        <v>134946231</v>
      </c>
      <c r="L1437">
        <f>(Table1[[#This Row],[CLOSE_PRICE]] - Table1[[#This Row],[PREV_CL_PR]]) / Table1[[#This Row],[PREV_CL_PR]] * 100</f>
        <v>-6.1104500594946574</v>
      </c>
      <c r="M1437">
        <f>Table1[[#This Row],[HIGH_PRICE]]-Table1[[#This Row],[LOW_PRICE]]</f>
        <v>7.3000000000000114</v>
      </c>
      <c r="N1437" t="str">
        <f>IF(Table1[[#This Row],[CLOSE_PRICE]]&gt;Table1[[#This Row],[OPEN_PRICE]],"Gain","Loss")</f>
        <v>Loss</v>
      </c>
      <c r="O1437" t="str">
        <f>IF(Table1[[#This Row],[MARKET_CAP]]&gt;200000000000,"Large Cap",
IF(Table1[[#This Row],[MARKET_CAP]]&gt;50000000000,"Mid Cap","Small Cap"))</f>
        <v>Small Cap</v>
      </c>
      <c r="P1437" t="str">
        <f>IF(Table1[[#This Row],[NET_TRDQTY]]&gt;1000000,"High Volume","Low Volume")</f>
        <v>Low Volume</v>
      </c>
    </row>
    <row r="1438" spans="1:16" x14ac:dyDescent="0.3">
      <c r="A1438" t="s">
        <v>2879</v>
      </c>
      <c r="B1438" t="s">
        <v>2880</v>
      </c>
      <c r="C1438">
        <v>15.11</v>
      </c>
      <c r="D1438">
        <v>15.34</v>
      </c>
      <c r="E1438">
        <v>14.62</v>
      </c>
      <c r="F1438">
        <v>14.75</v>
      </c>
      <c r="G1438">
        <v>15.6</v>
      </c>
      <c r="H1438">
        <v>468634</v>
      </c>
      <c r="I1438">
        <v>1289</v>
      </c>
      <c r="J1438">
        <v>4892991245</v>
      </c>
      <c r="K1438">
        <v>331728220</v>
      </c>
      <c r="L1438">
        <f>(Table1[[#This Row],[CLOSE_PRICE]] - Table1[[#This Row],[PREV_CL_PR]]) / Table1[[#This Row],[PREV_CL_PR]] * 100</f>
        <v>-5.4487179487179471</v>
      </c>
      <c r="M1438">
        <f>Table1[[#This Row],[HIGH_PRICE]]-Table1[[#This Row],[LOW_PRICE]]</f>
        <v>0.72000000000000064</v>
      </c>
      <c r="N1438" t="str">
        <f>IF(Table1[[#This Row],[CLOSE_PRICE]]&gt;Table1[[#This Row],[OPEN_PRICE]],"Gain","Loss")</f>
        <v>Loss</v>
      </c>
      <c r="O1438" t="str">
        <f>IF(Table1[[#This Row],[MARKET_CAP]]&gt;200000000000,"Large Cap",
IF(Table1[[#This Row],[MARKET_CAP]]&gt;50000000000,"Mid Cap","Small Cap"))</f>
        <v>Small Cap</v>
      </c>
      <c r="P1438" t="str">
        <f>IF(Table1[[#This Row],[NET_TRDQTY]]&gt;1000000,"High Volume","Low Volume")</f>
        <v>Low Volume</v>
      </c>
    </row>
    <row r="1439" spans="1:16" x14ac:dyDescent="0.3">
      <c r="A1439" t="s">
        <v>2881</v>
      </c>
      <c r="B1439" t="s">
        <v>2882</v>
      </c>
      <c r="C1439">
        <v>4688.8</v>
      </c>
      <c r="D1439">
        <v>4800.3999999999996</v>
      </c>
      <c r="E1439">
        <v>4639.3</v>
      </c>
      <c r="F1439">
        <v>4724.5</v>
      </c>
      <c r="G1439">
        <v>4716.7</v>
      </c>
      <c r="H1439">
        <v>1065192</v>
      </c>
      <c r="I1439">
        <v>70961</v>
      </c>
      <c r="J1439">
        <v>745000000000</v>
      </c>
      <c r="K1439">
        <v>157750000</v>
      </c>
      <c r="L1439">
        <f>(Table1[[#This Row],[CLOSE_PRICE]] - Table1[[#This Row],[PREV_CL_PR]]) / Table1[[#This Row],[PREV_CL_PR]] * 100</f>
        <v>0.16536985604342405</v>
      </c>
      <c r="M1439">
        <f>Table1[[#This Row],[HIGH_PRICE]]-Table1[[#This Row],[LOW_PRICE]]</f>
        <v>161.09999999999945</v>
      </c>
      <c r="N1439" t="str">
        <f>IF(Table1[[#This Row],[CLOSE_PRICE]]&gt;Table1[[#This Row],[OPEN_PRICE]],"Gain","Loss")</f>
        <v>Gain</v>
      </c>
      <c r="O1439" t="str">
        <f>IF(Table1[[#This Row],[MARKET_CAP]]&gt;200000000000,"Large Cap",
IF(Table1[[#This Row],[MARKET_CAP]]&gt;50000000000,"Mid Cap","Small Cap"))</f>
        <v>Large Cap</v>
      </c>
      <c r="P1439" t="str">
        <f>IF(Table1[[#This Row],[NET_TRDQTY]]&gt;1000000,"High Volume","Low Volume")</f>
        <v>High Volume</v>
      </c>
    </row>
    <row r="1440" spans="1:16" x14ac:dyDescent="0.3">
      <c r="A1440" t="s">
        <v>2883</v>
      </c>
      <c r="B1440" t="s">
        <v>2884</v>
      </c>
      <c r="C1440">
        <v>247.75</v>
      </c>
      <c r="D1440">
        <v>248.85</v>
      </c>
      <c r="E1440">
        <v>235.35</v>
      </c>
      <c r="F1440">
        <v>238.05</v>
      </c>
      <c r="G1440">
        <v>257.64999999999998</v>
      </c>
      <c r="H1440">
        <v>12355833</v>
      </c>
      <c r="I1440">
        <v>96471</v>
      </c>
      <c r="J1440">
        <v>357000000000</v>
      </c>
      <c r="K1440">
        <v>1500000088</v>
      </c>
      <c r="L1440">
        <f>(Table1[[#This Row],[CLOSE_PRICE]] - Table1[[#This Row],[PREV_CL_PR]]) / Table1[[#This Row],[PREV_CL_PR]] * 100</f>
        <v>-7.6072190956724111</v>
      </c>
      <c r="M1440">
        <f>Table1[[#This Row],[HIGH_PRICE]]-Table1[[#This Row],[LOW_PRICE]]</f>
        <v>13.5</v>
      </c>
      <c r="N1440" t="str">
        <f>IF(Table1[[#This Row],[CLOSE_PRICE]]&gt;Table1[[#This Row],[OPEN_PRICE]],"Gain","Loss")</f>
        <v>Loss</v>
      </c>
      <c r="O1440" t="str">
        <f>IF(Table1[[#This Row],[MARKET_CAP]]&gt;200000000000,"Large Cap",
IF(Table1[[#This Row],[MARKET_CAP]]&gt;50000000000,"Mid Cap","Small Cap"))</f>
        <v>Large Cap</v>
      </c>
      <c r="P1440" t="str">
        <f>IF(Table1[[#This Row],[NET_TRDQTY]]&gt;1000000,"High Volume","Low Volume")</f>
        <v>High Volume</v>
      </c>
    </row>
    <row r="1441" spans="1:16" x14ac:dyDescent="0.3">
      <c r="A1441" t="s">
        <v>2885</v>
      </c>
      <c r="B1441" t="s">
        <v>2886</v>
      </c>
      <c r="C1441">
        <v>4770</v>
      </c>
      <c r="D1441">
        <v>4770</v>
      </c>
      <c r="E1441">
        <v>4522</v>
      </c>
      <c r="F1441">
        <v>4560</v>
      </c>
      <c r="G1441">
        <v>4773.5</v>
      </c>
      <c r="H1441">
        <v>14382</v>
      </c>
      <c r="I1441">
        <v>4067</v>
      </c>
      <c r="J1441">
        <v>209000000000</v>
      </c>
      <c r="K1441">
        <v>45747732</v>
      </c>
      <c r="L1441">
        <f>(Table1[[#This Row],[CLOSE_PRICE]] - Table1[[#This Row],[PREV_CL_PR]]) / Table1[[#This Row],[PREV_CL_PR]] * 100</f>
        <v>-4.4726091966062631</v>
      </c>
      <c r="M1441">
        <f>Table1[[#This Row],[HIGH_PRICE]]-Table1[[#This Row],[LOW_PRICE]]</f>
        <v>248</v>
      </c>
      <c r="N1441" t="str">
        <f>IF(Table1[[#This Row],[CLOSE_PRICE]]&gt;Table1[[#This Row],[OPEN_PRICE]],"Gain","Loss")</f>
        <v>Loss</v>
      </c>
      <c r="O1441" t="str">
        <f>IF(Table1[[#This Row],[MARKET_CAP]]&gt;200000000000,"Large Cap",
IF(Table1[[#This Row],[MARKET_CAP]]&gt;50000000000,"Mid Cap","Small Cap"))</f>
        <v>Large Cap</v>
      </c>
      <c r="P1441" t="str">
        <f>IF(Table1[[#This Row],[NET_TRDQTY]]&gt;1000000,"High Volume","Low Volume")</f>
        <v>Low Volume</v>
      </c>
    </row>
    <row r="1442" spans="1:16" x14ac:dyDescent="0.3">
      <c r="A1442" t="s">
        <v>2887</v>
      </c>
      <c r="B1442" t="s">
        <v>2888</v>
      </c>
      <c r="C1442">
        <v>275</v>
      </c>
      <c r="D1442">
        <v>284.89999999999998</v>
      </c>
      <c r="E1442">
        <v>269.2</v>
      </c>
      <c r="F1442">
        <v>283.2</v>
      </c>
      <c r="G1442">
        <v>276.64999999999998</v>
      </c>
      <c r="H1442">
        <v>5534343</v>
      </c>
      <c r="I1442">
        <v>55442</v>
      </c>
      <c r="J1442">
        <v>220000000000</v>
      </c>
      <c r="K1442">
        <v>775990547</v>
      </c>
      <c r="L1442">
        <f>(Table1[[#This Row],[CLOSE_PRICE]] - Table1[[#This Row],[PREV_CL_PR]]) / Table1[[#This Row],[PREV_CL_PR]] * 100</f>
        <v>2.3676125067775211</v>
      </c>
      <c r="M1442">
        <f>Table1[[#This Row],[HIGH_PRICE]]-Table1[[#This Row],[LOW_PRICE]]</f>
        <v>15.699999999999989</v>
      </c>
      <c r="N1442" t="str">
        <f>IF(Table1[[#This Row],[CLOSE_PRICE]]&gt;Table1[[#This Row],[OPEN_PRICE]],"Gain","Loss")</f>
        <v>Gain</v>
      </c>
      <c r="O1442" t="str">
        <f>IF(Table1[[#This Row],[MARKET_CAP]]&gt;200000000000,"Large Cap",
IF(Table1[[#This Row],[MARKET_CAP]]&gt;50000000000,"Mid Cap","Small Cap"))</f>
        <v>Large Cap</v>
      </c>
      <c r="P1442" t="str">
        <f>IF(Table1[[#This Row],[NET_TRDQTY]]&gt;1000000,"High Volume","Low Volume")</f>
        <v>High Volume</v>
      </c>
    </row>
    <row r="1443" spans="1:16" x14ac:dyDescent="0.3">
      <c r="A1443" t="s">
        <v>2889</v>
      </c>
      <c r="B1443" t="s">
        <v>2890</v>
      </c>
      <c r="C1443">
        <v>27.25</v>
      </c>
      <c r="D1443">
        <v>27.94</v>
      </c>
      <c r="E1443">
        <v>26.12</v>
      </c>
      <c r="F1443">
        <v>26.61</v>
      </c>
      <c r="G1443">
        <v>27.31</v>
      </c>
      <c r="H1443">
        <v>652008</v>
      </c>
      <c r="I1443">
        <v>3549</v>
      </c>
      <c r="J1443">
        <v>17091159544</v>
      </c>
      <c r="K1443">
        <v>642283335</v>
      </c>
      <c r="L1443">
        <f>(Table1[[#This Row],[CLOSE_PRICE]] - Table1[[#This Row],[PREV_CL_PR]]) / Table1[[#This Row],[PREV_CL_PR]] * 100</f>
        <v>-2.5631636763090415</v>
      </c>
      <c r="M1443">
        <f>Table1[[#This Row],[HIGH_PRICE]]-Table1[[#This Row],[LOW_PRICE]]</f>
        <v>1.8200000000000003</v>
      </c>
      <c r="N1443" t="str">
        <f>IF(Table1[[#This Row],[CLOSE_PRICE]]&gt;Table1[[#This Row],[OPEN_PRICE]],"Gain","Loss")</f>
        <v>Loss</v>
      </c>
      <c r="O1443" t="str">
        <f>IF(Table1[[#This Row],[MARKET_CAP]]&gt;200000000000,"Large Cap",
IF(Table1[[#This Row],[MARKET_CAP]]&gt;50000000000,"Mid Cap","Small Cap"))</f>
        <v>Small Cap</v>
      </c>
      <c r="P1443" t="str">
        <f>IF(Table1[[#This Row],[NET_TRDQTY]]&gt;1000000,"High Volume","Low Volume")</f>
        <v>Low Volume</v>
      </c>
    </row>
    <row r="1444" spans="1:16" x14ac:dyDescent="0.3">
      <c r="A1444" t="s">
        <v>2891</v>
      </c>
      <c r="B1444" t="s">
        <v>2892</v>
      </c>
      <c r="C1444">
        <v>500</v>
      </c>
      <c r="D1444">
        <v>500</v>
      </c>
      <c r="E1444">
        <v>481.2</v>
      </c>
      <c r="F1444">
        <v>494.7</v>
      </c>
      <c r="G1444">
        <v>512.75</v>
      </c>
      <c r="H1444">
        <v>4164822</v>
      </c>
      <c r="I1444">
        <v>64021</v>
      </c>
      <c r="J1444">
        <v>141000000000</v>
      </c>
      <c r="K1444">
        <v>284964158</v>
      </c>
      <c r="L1444">
        <f>(Table1[[#This Row],[CLOSE_PRICE]] - Table1[[#This Row],[PREV_CL_PR]]) / Table1[[#This Row],[PREV_CL_PR]] * 100</f>
        <v>-3.520234032179427</v>
      </c>
      <c r="M1444">
        <f>Table1[[#This Row],[HIGH_PRICE]]-Table1[[#This Row],[LOW_PRICE]]</f>
        <v>18.800000000000011</v>
      </c>
      <c r="N1444" t="str">
        <f>IF(Table1[[#This Row],[CLOSE_PRICE]]&gt;Table1[[#This Row],[OPEN_PRICE]],"Gain","Loss")</f>
        <v>Loss</v>
      </c>
      <c r="O1444" t="str">
        <f>IF(Table1[[#This Row],[MARKET_CAP]]&gt;200000000000,"Large Cap",
IF(Table1[[#This Row],[MARKET_CAP]]&gt;50000000000,"Mid Cap","Small Cap"))</f>
        <v>Mid Cap</v>
      </c>
      <c r="P1444" t="str">
        <f>IF(Table1[[#This Row],[NET_TRDQTY]]&gt;1000000,"High Volume","Low Volume")</f>
        <v>High Volume</v>
      </c>
    </row>
    <row r="1445" spans="1:16" x14ac:dyDescent="0.3">
      <c r="A1445" t="s">
        <v>2893</v>
      </c>
      <c r="B1445" t="s">
        <v>2894</v>
      </c>
      <c r="C1445">
        <v>9707</v>
      </c>
      <c r="D1445">
        <v>9707</v>
      </c>
      <c r="E1445">
        <v>9402</v>
      </c>
      <c r="F1445">
        <v>9456</v>
      </c>
      <c r="G1445">
        <v>9707</v>
      </c>
      <c r="H1445">
        <v>13157</v>
      </c>
      <c r="I1445">
        <v>5795</v>
      </c>
      <c r="J1445">
        <v>307000000000</v>
      </c>
      <c r="K1445">
        <v>32460736</v>
      </c>
      <c r="L1445">
        <f>(Table1[[#This Row],[CLOSE_PRICE]] - Table1[[#This Row],[PREV_CL_PR]]) / Table1[[#This Row],[PREV_CL_PR]] * 100</f>
        <v>-2.5857628515504274</v>
      </c>
      <c r="M1445">
        <f>Table1[[#This Row],[HIGH_PRICE]]-Table1[[#This Row],[LOW_PRICE]]</f>
        <v>305</v>
      </c>
      <c r="N1445" t="str">
        <f>IF(Table1[[#This Row],[CLOSE_PRICE]]&gt;Table1[[#This Row],[OPEN_PRICE]],"Gain","Loss")</f>
        <v>Loss</v>
      </c>
      <c r="O1445" t="str">
        <f>IF(Table1[[#This Row],[MARKET_CAP]]&gt;200000000000,"Large Cap",
IF(Table1[[#This Row],[MARKET_CAP]]&gt;50000000000,"Mid Cap","Small Cap"))</f>
        <v>Large Cap</v>
      </c>
      <c r="P1445" t="str">
        <f>IF(Table1[[#This Row],[NET_TRDQTY]]&gt;1000000,"High Volume","Low Volume")</f>
        <v>Low Volume</v>
      </c>
    </row>
    <row r="1446" spans="1:16" x14ac:dyDescent="0.3">
      <c r="A1446" t="s">
        <v>2895</v>
      </c>
      <c r="B1446" t="s">
        <v>2896</v>
      </c>
      <c r="C1446">
        <v>4850</v>
      </c>
      <c r="D1446">
        <v>4850</v>
      </c>
      <c r="E1446">
        <v>4755</v>
      </c>
      <c r="F1446">
        <v>4821.2</v>
      </c>
      <c r="G1446">
        <v>4860.6000000000004</v>
      </c>
      <c r="H1446">
        <v>15834</v>
      </c>
      <c r="I1446">
        <v>3061</v>
      </c>
      <c r="J1446">
        <v>80028940498</v>
      </c>
      <c r="K1446">
        <v>16599382</v>
      </c>
      <c r="L1446">
        <f>(Table1[[#This Row],[CLOSE_PRICE]] - Table1[[#This Row],[PREV_CL_PR]]) / Table1[[#This Row],[PREV_CL_PR]] * 100</f>
        <v>-0.81059951446324618</v>
      </c>
      <c r="M1446">
        <f>Table1[[#This Row],[HIGH_PRICE]]-Table1[[#This Row],[LOW_PRICE]]</f>
        <v>95</v>
      </c>
      <c r="N1446" t="str">
        <f>IF(Table1[[#This Row],[CLOSE_PRICE]]&gt;Table1[[#This Row],[OPEN_PRICE]],"Gain","Loss")</f>
        <v>Loss</v>
      </c>
      <c r="O1446" t="str">
        <f>IF(Table1[[#This Row],[MARKET_CAP]]&gt;200000000000,"Large Cap",
IF(Table1[[#This Row],[MARKET_CAP]]&gt;50000000000,"Mid Cap","Small Cap"))</f>
        <v>Mid Cap</v>
      </c>
      <c r="P1446" t="str">
        <f>IF(Table1[[#This Row],[NET_TRDQTY]]&gt;1000000,"High Volume","Low Volume")</f>
        <v>Low Volume</v>
      </c>
    </row>
    <row r="1447" spans="1:16" x14ac:dyDescent="0.3">
      <c r="A1447" t="s">
        <v>2897</v>
      </c>
      <c r="B1447" t="s">
        <v>2898</v>
      </c>
      <c r="C1447">
        <v>1485.5</v>
      </c>
      <c r="D1447">
        <v>1485.5</v>
      </c>
      <c r="E1447">
        <v>1371.5</v>
      </c>
      <c r="F1447">
        <v>1385.4</v>
      </c>
      <c r="G1447">
        <v>1489.5</v>
      </c>
      <c r="H1447">
        <v>60200</v>
      </c>
      <c r="I1447">
        <v>10902</v>
      </c>
      <c r="J1447">
        <v>63778713572</v>
      </c>
      <c r="K1447">
        <v>46036317</v>
      </c>
      <c r="L1447">
        <f>(Table1[[#This Row],[CLOSE_PRICE]] - Table1[[#This Row],[PREV_CL_PR]]) / Table1[[#This Row],[PREV_CL_PR]] * 100</f>
        <v>-6.9889224572003972</v>
      </c>
      <c r="M1447">
        <f>Table1[[#This Row],[HIGH_PRICE]]-Table1[[#This Row],[LOW_PRICE]]</f>
        <v>114</v>
      </c>
      <c r="N1447" t="str">
        <f>IF(Table1[[#This Row],[CLOSE_PRICE]]&gt;Table1[[#This Row],[OPEN_PRICE]],"Gain","Loss")</f>
        <v>Loss</v>
      </c>
      <c r="O1447" t="str">
        <f>IF(Table1[[#This Row],[MARKET_CAP]]&gt;200000000000,"Large Cap",
IF(Table1[[#This Row],[MARKET_CAP]]&gt;50000000000,"Mid Cap","Small Cap"))</f>
        <v>Mid Cap</v>
      </c>
      <c r="P1447" t="str">
        <f>IF(Table1[[#This Row],[NET_TRDQTY]]&gt;1000000,"High Volume","Low Volume")</f>
        <v>Low Volume</v>
      </c>
    </row>
    <row r="1448" spans="1:16" x14ac:dyDescent="0.3">
      <c r="A1448" t="s">
        <v>2899</v>
      </c>
      <c r="B1448" t="s">
        <v>2900</v>
      </c>
      <c r="C1448">
        <v>1513.9</v>
      </c>
      <c r="D1448">
        <v>1529.9</v>
      </c>
      <c r="E1448">
        <v>1468.3</v>
      </c>
      <c r="F1448">
        <v>1477.4</v>
      </c>
      <c r="G1448">
        <v>1543.1</v>
      </c>
      <c r="H1448">
        <v>716638</v>
      </c>
      <c r="I1448">
        <v>58942</v>
      </c>
      <c r="J1448">
        <v>528000000000</v>
      </c>
      <c r="K1448">
        <v>357591260</v>
      </c>
      <c r="L1448">
        <f>(Table1[[#This Row],[CLOSE_PRICE]] - Table1[[#This Row],[PREV_CL_PR]]) / Table1[[#This Row],[PREV_CL_PR]] * 100</f>
        <v>-4.2576631456159566</v>
      </c>
      <c r="M1448">
        <f>Table1[[#This Row],[HIGH_PRICE]]-Table1[[#This Row],[LOW_PRICE]]</f>
        <v>61.600000000000136</v>
      </c>
      <c r="N1448" t="str">
        <f>IF(Table1[[#This Row],[CLOSE_PRICE]]&gt;Table1[[#This Row],[OPEN_PRICE]],"Gain","Loss")</f>
        <v>Loss</v>
      </c>
      <c r="O1448" t="str">
        <f>IF(Table1[[#This Row],[MARKET_CAP]]&gt;200000000000,"Large Cap",
IF(Table1[[#This Row],[MARKET_CAP]]&gt;50000000000,"Mid Cap","Small Cap"))</f>
        <v>Large Cap</v>
      </c>
      <c r="P1448" t="str">
        <f>IF(Table1[[#This Row],[NET_TRDQTY]]&gt;1000000,"High Volume","Low Volume")</f>
        <v>Low Volume</v>
      </c>
    </row>
    <row r="1449" spans="1:16" x14ac:dyDescent="0.3">
      <c r="A1449" t="s">
        <v>2901</v>
      </c>
      <c r="B1449" t="s">
        <v>2902</v>
      </c>
      <c r="C1449">
        <v>532</v>
      </c>
      <c r="D1449">
        <v>537.75</v>
      </c>
      <c r="E1449">
        <v>522</v>
      </c>
      <c r="F1449">
        <v>526.35</v>
      </c>
      <c r="G1449">
        <v>540.45000000000005</v>
      </c>
      <c r="H1449">
        <v>258082</v>
      </c>
      <c r="I1449">
        <v>8042</v>
      </c>
      <c r="J1449">
        <v>51509015763</v>
      </c>
      <c r="K1449">
        <v>97860769</v>
      </c>
      <c r="L1449">
        <f>(Table1[[#This Row],[CLOSE_PRICE]] - Table1[[#This Row],[PREV_CL_PR]]) / Table1[[#This Row],[PREV_CL_PR]] * 100</f>
        <v>-2.6089369969469924</v>
      </c>
      <c r="M1449">
        <f>Table1[[#This Row],[HIGH_PRICE]]-Table1[[#This Row],[LOW_PRICE]]</f>
        <v>15.75</v>
      </c>
      <c r="N1449" t="str">
        <f>IF(Table1[[#This Row],[CLOSE_PRICE]]&gt;Table1[[#This Row],[OPEN_PRICE]],"Gain","Loss")</f>
        <v>Loss</v>
      </c>
      <c r="O1449" t="str">
        <f>IF(Table1[[#This Row],[MARKET_CAP]]&gt;200000000000,"Large Cap",
IF(Table1[[#This Row],[MARKET_CAP]]&gt;50000000000,"Mid Cap","Small Cap"))</f>
        <v>Mid Cap</v>
      </c>
      <c r="P1449" t="str">
        <f>IF(Table1[[#This Row],[NET_TRDQTY]]&gt;1000000,"High Volume","Low Volume")</f>
        <v>Low Volume</v>
      </c>
    </row>
    <row r="1450" spans="1:16" x14ac:dyDescent="0.3">
      <c r="A1450" t="s">
        <v>2903</v>
      </c>
      <c r="B1450" t="s">
        <v>2904</v>
      </c>
      <c r="C1450">
        <v>96.02</v>
      </c>
      <c r="D1450">
        <v>98.4</v>
      </c>
      <c r="E1450">
        <v>93.01</v>
      </c>
      <c r="F1450">
        <v>94.85</v>
      </c>
      <c r="G1450">
        <v>100.4</v>
      </c>
      <c r="H1450">
        <v>42274</v>
      </c>
      <c r="I1450">
        <v>867</v>
      </c>
      <c r="J1450">
        <v>1691450565</v>
      </c>
      <c r="K1450">
        <v>17832900</v>
      </c>
      <c r="L1450">
        <f>(Table1[[#This Row],[CLOSE_PRICE]] - Table1[[#This Row],[PREV_CL_PR]]) / Table1[[#This Row],[PREV_CL_PR]] * 100</f>
        <v>-5.5278884462151501</v>
      </c>
      <c r="M1450">
        <f>Table1[[#This Row],[HIGH_PRICE]]-Table1[[#This Row],[LOW_PRICE]]</f>
        <v>5.3900000000000006</v>
      </c>
      <c r="N1450" t="str">
        <f>IF(Table1[[#This Row],[CLOSE_PRICE]]&gt;Table1[[#This Row],[OPEN_PRICE]],"Gain","Loss")</f>
        <v>Loss</v>
      </c>
      <c r="O1450" t="str">
        <f>IF(Table1[[#This Row],[MARKET_CAP]]&gt;200000000000,"Large Cap",
IF(Table1[[#This Row],[MARKET_CAP]]&gt;50000000000,"Mid Cap","Small Cap"))</f>
        <v>Small Cap</v>
      </c>
      <c r="P1450" t="str">
        <f>IF(Table1[[#This Row],[NET_TRDQTY]]&gt;1000000,"High Volume","Low Volume")</f>
        <v>Low Volume</v>
      </c>
    </row>
    <row r="1451" spans="1:16" x14ac:dyDescent="0.3">
      <c r="A1451" t="s">
        <v>2905</v>
      </c>
      <c r="B1451" t="s">
        <v>2906</v>
      </c>
      <c r="C1451">
        <v>2866</v>
      </c>
      <c r="D1451">
        <v>2890</v>
      </c>
      <c r="E1451">
        <v>2750.1</v>
      </c>
      <c r="F1451">
        <v>2762.6</v>
      </c>
      <c r="G1451">
        <v>2909.5</v>
      </c>
      <c r="H1451">
        <v>163588</v>
      </c>
      <c r="I1451">
        <v>19388</v>
      </c>
      <c r="J1451">
        <v>419000000000</v>
      </c>
      <c r="K1451">
        <v>151718118</v>
      </c>
      <c r="L1451">
        <f>(Table1[[#This Row],[CLOSE_PRICE]] - Table1[[#This Row],[PREV_CL_PR]]) / Table1[[#This Row],[PREV_CL_PR]] * 100</f>
        <v>-5.0489774875408173</v>
      </c>
      <c r="M1451">
        <f>Table1[[#This Row],[HIGH_PRICE]]-Table1[[#This Row],[LOW_PRICE]]</f>
        <v>139.90000000000009</v>
      </c>
      <c r="N1451" t="str">
        <f>IF(Table1[[#This Row],[CLOSE_PRICE]]&gt;Table1[[#This Row],[OPEN_PRICE]],"Gain","Loss")</f>
        <v>Loss</v>
      </c>
      <c r="O1451" t="str">
        <f>IF(Table1[[#This Row],[MARKET_CAP]]&gt;200000000000,"Large Cap",
IF(Table1[[#This Row],[MARKET_CAP]]&gt;50000000000,"Mid Cap","Small Cap"))</f>
        <v>Large Cap</v>
      </c>
      <c r="P1451" t="str">
        <f>IF(Table1[[#This Row],[NET_TRDQTY]]&gt;1000000,"High Volume","Low Volume")</f>
        <v>Low Volume</v>
      </c>
    </row>
    <row r="1452" spans="1:16" x14ac:dyDescent="0.3">
      <c r="A1452" t="s">
        <v>2907</v>
      </c>
      <c r="B1452" t="s">
        <v>2908</v>
      </c>
      <c r="C1452">
        <v>4615</v>
      </c>
      <c r="D1452">
        <v>4727.3999999999996</v>
      </c>
      <c r="E1452">
        <v>4481.2</v>
      </c>
      <c r="F1452">
        <v>4581.1000000000004</v>
      </c>
      <c r="G1452">
        <v>4738.6000000000004</v>
      </c>
      <c r="H1452">
        <v>6106</v>
      </c>
      <c r="I1452">
        <v>1910</v>
      </c>
      <c r="J1452">
        <v>50723084475</v>
      </c>
      <c r="K1452">
        <v>11072250</v>
      </c>
      <c r="L1452">
        <f>(Table1[[#This Row],[CLOSE_PRICE]] - Table1[[#This Row],[PREV_CL_PR]]) / Table1[[#This Row],[PREV_CL_PR]] * 100</f>
        <v>-3.3237665133161691</v>
      </c>
      <c r="M1452">
        <f>Table1[[#This Row],[HIGH_PRICE]]-Table1[[#This Row],[LOW_PRICE]]</f>
        <v>246.19999999999982</v>
      </c>
      <c r="N1452" t="str">
        <f>IF(Table1[[#This Row],[CLOSE_PRICE]]&gt;Table1[[#This Row],[OPEN_PRICE]],"Gain","Loss")</f>
        <v>Loss</v>
      </c>
      <c r="O1452" t="str">
        <f>IF(Table1[[#This Row],[MARKET_CAP]]&gt;200000000000,"Large Cap",
IF(Table1[[#This Row],[MARKET_CAP]]&gt;50000000000,"Mid Cap","Small Cap"))</f>
        <v>Mid Cap</v>
      </c>
      <c r="P1452" t="str">
        <f>IF(Table1[[#This Row],[NET_TRDQTY]]&gt;1000000,"High Volume","Low Volume")</f>
        <v>Low Volume</v>
      </c>
    </row>
    <row r="1453" spans="1:16" x14ac:dyDescent="0.3">
      <c r="A1453" t="s">
        <v>2909</v>
      </c>
      <c r="B1453" t="s">
        <v>2910</v>
      </c>
      <c r="C1453">
        <v>7.8</v>
      </c>
      <c r="D1453">
        <v>7.8</v>
      </c>
      <c r="E1453">
        <v>6.94</v>
      </c>
      <c r="F1453">
        <v>7.01</v>
      </c>
      <c r="G1453">
        <v>7.44</v>
      </c>
      <c r="H1453">
        <v>203868</v>
      </c>
      <c r="I1453">
        <v>630</v>
      </c>
      <c r="J1453">
        <v>1647350000</v>
      </c>
      <c r="K1453">
        <v>235000000</v>
      </c>
      <c r="L1453">
        <f>(Table1[[#This Row],[CLOSE_PRICE]] - Table1[[#This Row],[PREV_CL_PR]]) / Table1[[#This Row],[PREV_CL_PR]] * 100</f>
        <v>-5.779569892473126</v>
      </c>
      <c r="M1453">
        <f>Table1[[#This Row],[HIGH_PRICE]]-Table1[[#This Row],[LOW_PRICE]]</f>
        <v>0.85999999999999943</v>
      </c>
      <c r="N1453" t="str">
        <f>IF(Table1[[#This Row],[CLOSE_PRICE]]&gt;Table1[[#This Row],[OPEN_PRICE]],"Gain","Loss")</f>
        <v>Loss</v>
      </c>
      <c r="O1453" t="str">
        <f>IF(Table1[[#This Row],[MARKET_CAP]]&gt;200000000000,"Large Cap",
IF(Table1[[#This Row],[MARKET_CAP]]&gt;50000000000,"Mid Cap","Small Cap"))</f>
        <v>Small Cap</v>
      </c>
      <c r="P1453" t="str">
        <f>IF(Table1[[#This Row],[NET_TRDQTY]]&gt;1000000,"High Volume","Low Volume")</f>
        <v>Low Volume</v>
      </c>
    </row>
    <row r="1454" spans="1:16" x14ac:dyDescent="0.3">
      <c r="A1454" t="s">
        <v>2911</v>
      </c>
      <c r="B1454" t="s">
        <v>2912</v>
      </c>
      <c r="C1454">
        <v>164.97</v>
      </c>
      <c r="D1454">
        <v>166.39</v>
      </c>
      <c r="E1454">
        <v>158.1</v>
      </c>
      <c r="F1454">
        <v>160.63999999999999</v>
      </c>
      <c r="G1454">
        <v>164.47</v>
      </c>
      <c r="H1454">
        <v>755528</v>
      </c>
      <c r="I1454">
        <v>15914</v>
      </c>
      <c r="J1454">
        <v>184000000000</v>
      </c>
      <c r="K1454">
        <v>1148276377</v>
      </c>
      <c r="L1454">
        <f>(Table1[[#This Row],[CLOSE_PRICE]] - Table1[[#This Row],[PREV_CL_PR]]) / Table1[[#This Row],[PREV_CL_PR]] * 100</f>
        <v>-2.3286921627044523</v>
      </c>
      <c r="M1454">
        <f>Table1[[#This Row],[HIGH_PRICE]]-Table1[[#This Row],[LOW_PRICE]]</f>
        <v>8.289999999999992</v>
      </c>
      <c r="N1454" t="str">
        <f>IF(Table1[[#This Row],[CLOSE_PRICE]]&gt;Table1[[#This Row],[OPEN_PRICE]],"Gain","Loss")</f>
        <v>Loss</v>
      </c>
      <c r="O1454" t="str">
        <f>IF(Table1[[#This Row],[MARKET_CAP]]&gt;200000000000,"Large Cap",
IF(Table1[[#This Row],[MARKET_CAP]]&gt;50000000000,"Mid Cap","Small Cap"))</f>
        <v>Mid Cap</v>
      </c>
      <c r="P1454" t="str">
        <f>IF(Table1[[#This Row],[NET_TRDQTY]]&gt;1000000,"High Volume","Low Volume")</f>
        <v>Low Volume</v>
      </c>
    </row>
    <row r="1455" spans="1:16" x14ac:dyDescent="0.3">
      <c r="A1455" t="s">
        <v>2913</v>
      </c>
      <c r="B1455" t="s">
        <v>2914</v>
      </c>
      <c r="C1455">
        <v>24.93</v>
      </c>
      <c r="D1455">
        <v>24.93</v>
      </c>
      <c r="E1455">
        <v>22.8</v>
      </c>
      <c r="F1455">
        <v>23.15</v>
      </c>
      <c r="G1455">
        <v>24.93</v>
      </c>
      <c r="H1455">
        <v>96881</v>
      </c>
      <c r="I1455">
        <v>400</v>
      </c>
      <c r="J1455">
        <v>713186494.79999995</v>
      </c>
      <c r="K1455">
        <v>30807192</v>
      </c>
      <c r="L1455">
        <f>(Table1[[#This Row],[CLOSE_PRICE]] - Table1[[#This Row],[PREV_CL_PR]]) / Table1[[#This Row],[PREV_CL_PR]] * 100</f>
        <v>-7.1399919775371075</v>
      </c>
      <c r="M1455">
        <f>Table1[[#This Row],[HIGH_PRICE]]-Table1[[#This Row],[LOW_PRICE]]</f>
        <v>2.129999999999999</v>
      </c>
      <c r="N1455" t="str">
        <f>IF(Table1[[#This Row],[CLOSE_PRICE]]&gt;Table1[[#This Row],[OPEN_PRICE]],"Gain","Loss")</f>
        <v>Loss</v>
      </c>
      <c r="O1455" t="str">
        <f>IF(Table1[[#This Row],[MARKET_CAP]]&gt;200000000000,"Large Cap",
IF(Table1[[#This Row],[MARKET_CAP]]&gt;50000000000,"Mid Cap","Small Cap"))</f>
        <v>Small Cap</v>
      </c>
      <c r="P1455" t="str">
        <f>IF(Table1[[#This Row],[NET_TRDQTY]]&gt;1000000,"High Volume","Low Volume")</f>
        <v>Low Volume</v>
      </c>
    </row>
    <row r="1456" spans="1:16" x14ac:dyDescent="0.3">
      <c r="A1456" t="s">
        <v>2915</v>
      </c>
      <c r="B1456" t="s">
        <v>2916</v>
      </c>
      <c r="C1456">
        <v>1799.8</v>
      </c>
      <c r="D1456">
        <v>1834.3</v>
      </c>
      <c r="E1456">
        <v>1739.2</v>
      </c>
      <c r="F1456">
        <v>1823.6</v>
      </c>
      <c r="G1456">
        <v>1845.9</v>
      </c>
      <c r="H1456">
        <v>377194</v>
      </c>
      <c r="I1456">
        <v>26042</v>
      </c>
      <c r="J1456">
        <v>413000000000</v>
      </c>
      <c r="K1456">
        <v>226677700</v>
      </c>
      <c r="L1456">
        <f>(Table1[[#This Row],[CLOSE_PRICE]] - Table1[[#This Row],[PREV_CL_PR]]) / Table1[[#This Row],[PREV_CL_PR]] * 100</f>
        <v>-1.2080827780486583</v>
      </c>
      <c r="M1456">
        <f>Table1[[#This Row],[HIGH_PRICE]]-Table1[[#This Row],[LOW_PRICE]]</f>
        <v>95.099999999999909</v>
      </c>
      <c r="N1456" t="str">
        <f>IF(Table1[[#This Row],[CLOSE_PRICE]]&gt;Table1[[#This Row],[OPEN_PRICE]],"Gain","Loss")</f>
        <v>Gain</v>
      </c>
      <c r="O1456" t="str">
        <f>IF(Table1[[#This Row],[MARKET_CAP]]&gt;200000000000,"Large Cap",
IF(Table1[[#This Row],[MARKET_CAP]]&gt;50000000000,"Mid Cap","Small Cap"))</f>
        <v>Large Cap</v>
      </c>
      <c r="P1456" t="str">
        <f>IF(Table1[[#This Row],[NET_TRDQTY]]&gt;1000000,"High Volume","Low Volume")</f>
        <v>Low Volume</v>
      </c>
    </row>
    <row r="1457" spans="1:16" x14ac:dyDescent="0.3">
      <c r="A1457" t="s">
        <v>2917</v>
      </c>
      <c r="B1457" t="s">
        <v>2918</v>
      </c>
      <c r="C1457">
        <v>770</v>
      </c>
      <c r="D1457">
        <v>773.95</v>
      </c>
      <c r="E1457">
        <v>730</v>
      </c>
      <c r="F1457">
        <v>734.4</v>
      </c>
      <c r="G1457">
        <v>775.9</v>
      </c>
      <c r="H1457">
        <v>50585</v>
      </c>
      <c r="I1457">
        <v>3728</v>
      </c>
      <c r="J1457">
        <v>27652795027</v>
      </c>
      <c r="K1457">
        <v>37653588</v>
      </c>
      <c r="L1457">
        <f>(Table1[[#This Row],[CLOSE_PRICE]] - Table1[[#This Row],[PREV_CL_PR]]) / Table1[[#This Row],[PREV_CL_PR]] * 100</f>
        <v>-5.3486274004382013</v>
      </c>
      <c r="M1457">
        <f>Table1[[#This Row],[HIGH_PRICE]]-Table1[[#This Row],[LOW_PRICE]]</f>
        <v>43.950000000000045</v>
      </c>
      <c r="N1457" t="str">
        <f>IF(Table1[[#This Row],[CLOSE_PRICE]]&gt;Table1[[#This Row],[OPEN_PRICE]],"Gain","Loss")</f>
        <v>Loss</v>
      </c>
      <c r="O1457" t="str">
        <f>IF(Table1[[#This Row],[MARKET_CAP]]&gt;200000000000,"Large Cap",
IF(Table1[[#This Row],[MARKET_CAP]]&gt;50000000000,"Mid Cap","Small Cap"))</f>
        <v>Small Cap</v>
      </c>
      <c r="P1457" t="str">
        <f>IF(Table1[[#This Row],[NET_TRDQTY]]&gt;1000000,"High Volume","Low Volume")</f>
        <v>Low Volume</v>
      </c>
    </row>
    <row r="1458" spans="1:16" x14ac:dyDescent="0.3">
      <c r="A1458" t="s">
        <v>2919</v>
      </c>
      <c r="B1458" t="s">
        <v>2920</v>
      </c>
      <c r="C1458">
        <v>1450</v>
      </c>
      <c r="D1458">
        <v>1450</v>
      </c>
      <c r="E1458">
        <v>1383</v>
      </c>
      <c r="F1458">
        <v>1401.5</v>
      </c>
      <c r="G1458">
        <v>1453</v>
      </c>
      <c r="H1458">
        <v>11170</v>
      </c>
      <c r="I1458">
        <v>1286</v>
      </c>
      <c r="J1458">
        <v>19095717800</v>
      </c>
      <c r="K1458">
        <v>13625200</v>
      </c>
      <c r="L1458">
        <f>(Table1[[#This Row],[CLOSE_PRICE]] - Table1[[#This Row],[PREV_CL_PR]]) / Table1[[#This Row],[PREV_CL_PR]] * 100</f>
        <v>-3.5443909153475568</v>
      </c>
      <c r="M1458">
        <f>Table1[[#This Row],[HIGH_PRICE]]-Table1[[#This Row],[LOW_PRICE]]</f>
        <v>67</v>
      </c>
      <c r="N1458" t="str">
        <f>IF(Table1[[#This Row],[CLOSE_PRICE]]&gt;Table1[[#This Row],[OPEN_PRICE]],"Gain","Loss")</f>
        <v>Loss</v>
      </c>
      <c r="O1458" t="str">
        <f>IF(Table1[[#This Row],[MARKET_CAP]]&gt;200000000000,"Large Cap",
IF(Table1[[#This Row],[MARKET_CAP]]&gt;50000000000,"Mid Cap","Small Cap"))</f>
        <v>Small Cap</v>
      </c>
      <c r="P1458" t="str">
        <f>IF(Table1[[#This Row],[NET_TRDQTY]]&gt;1000000,"High Volume","Low Volume")</f>
        <v>Low Volume</v>
      </c>
    </row>
    <row r="1459" spans="1:16" x14ac:dyDescent="0.3">
      <c r="A1459" t="s">
        <v>2921</v>
      </c>
      <c r="B1459" t="s">
        <v>2922</v>
      </c>
      <c r="C1459">
        <v>842</v>
      </c>
      <c r="D1459">
        <v>842.05</v>
      </c>
      <c r="E1459">
        <v>805</v>
      </c>
      <c r="F1459">
        <v>805</v>
      </c>
      <c r="G1459">
        <v>845</v>
      </c>
      <c r="H1459">
        <v>390</v>
      </c>
      <c r="I1459">
        <v>32</v>
      </c>
      <c r="J1459">
        <v>2492182595</v>
      </c>
      <c r="K1459">
        <v>3095879</v>
      </c>
      <c r="L1459">
        <f>(Table1[[#This Row],[CLOSE_PRICE]] - Table1[[#This Row],[PREV_CL_PR]]) / Table1[[#This Row],[PREV_CL_PR]] * 100</f>
        <v>-4.7337278106508878</v>
      </c>
      <c r="M1459">
        <f>Table1[[#This Row],[HIGH_PRICE]]-Table1[[#This Row],[LOW_PRICE]]</f>
        <v>37.049999999999955</v>
      </c>
      <c r="N1459" t="str">
        <f>IF(Table1[[#This Row],[CLOSE_PRICE]]&gt;Table1[[#This Row],[OPEN_PRICE]],"Gain","Loss")</f>
        <v>Loss</v>
      </c>
      <c r="O1459" t="str">
        <f>IF(Table1[[#This Row],[MARKET_CAP]]&gt;200000000000,"Large Cap",
IF(Table1[[#This Row],[MARKET_CAP]]&gt;50000000000,"Mid Cap","Small Cap"))</f>
        <v>Small Cap</v>
      </c>
      <c r="P1459" t="str">
        <f>IF(Table1[[#This Row],[NET_TRDQTY]]&gt;1000000,"High Volume","Low Volume")</f>
        <v>Low Volume</v>
      </c>
    </row>
    <row r="1460" spans="1:16" x14ac:dyDescent="0.3">
      <c r="A1460" t="s">
        <v>2923</v>
      </c>
      <c r="B1460" t="s">
        <v>2924</v>
      </c>
      <c r="C1460">
        <v>130.53</v>
      </c>
      <c r="D1460">
        <v>134.25</v>
      </c>
      <c r="E1460">
        <v>126.2</v>
      </c>
      <c r="F1460">
        <v>129.03</v>
      </c>
      <c r="G1460">
        <v>133.82</v>
      </c>
      <c r="H1460">
        <v>40394</v>
      </c>
      <c r="I1460">
        <v>443</v>
      </c>
      <c r="J1460">
        <v>3353386476</v>
      </c>
      <c r="K1460">
        <v>25989200</v>
      </c>
      <c r="L1460">
        <f>(Table1[[#This Row],[CLOSE_PRICE]] - Table1[[#This Row],[PREV_CL_PR]]) / Table1[[#This Row],[PREV_CL_PR]] * 100</f>
        <v>-3.5794350620236082</v>
      </c>
      <c r="M1460">
        <f>Table1[[#This Row],[HIGH_PRICE]]-Table1[[#This Row],[LOW_PRICE]]</f>
        <v>8.0499999999999972</v>
      </c>
      <c r="N1460" t="str">
        <f>IF(Table1[[#This Row],[CLOSE_PRICE]]&gt;Table1[[#This Row],[OPEN_PRICE]],"Gain","Loss")</f>
        <v>Loss</v>
      </c>
      <c r="O1460" t="str">
        <f>IF(Table1[[#This Row],[MARKET_CAP]]&gt;200000000000,"Large Cap",
IF(Table1[[#This Row],[MARKET_CAP]]&gt;50000000000,"Mid Cap","Small Cap"))</f>
        <v>Small Cap</v>
      </c>
      <c r="P1460" t="str">
        <f>IF(Table1[[#This Row],[NET_TRDQTY]]&gt;1000000,"High Volume","Low Volume")</f>
        <v>Low Volume</v>
      </c>
    </row>
    <row r="1461" spans="1:16" x14ac:dyDescent="0.3">
      <c r="A1461" t="s">
        <v>2925</v>
      </c>
      <c r="B1461" t="s">
        <v>2926</v>
      </c>
      <c r="C1461">
        <v>203.5</v>
      </c>
      <c r="D1461">
        <v>203.5</v>
      </c>
      <c r="E1461">
        <v>184.4</v>
      </c>
      <c r="F1461">
        <v>189.99</v>
      </c>
      <c r="G1461">
        <v>203.87</v>
      </c>
      <c r="H1461">
        <v>275034</v>
      </c>
      <c r="I1461">
        <v>5575</v>
      </c>
      <c r="J1461">
        <v>10435176621</v>
      </c>
      <c r="K1461">
        <v>54924873</v>
      </c>
      <c r="L1461">
        <f>(Table1[[#This Row],[CLOSE_PRICE]] - Table1[[#This Row],[PREV_CL_PR]]) / Table1[[#This Row],[PREV_CL_PR]] * 100</f>
        <v>-6.8082601657919239</v>
      </c>
      <c r="M1461">
        <f>Table1[[#This Row],[HIGH_PRICE]]-Table1[[#This Row],[LOW_PRICE]]</f>
        <v>19.099999999999994</v>
      </c>
      <c r="N1461" t="str">
        <f>IF(Table1[[#This Row],[CLOSE_PRICE]]&gt;Table1[[#This Row],[OPEN_PRICE]],"Gain","Loss")</f>
        <v>Loss</v>
      </c>
      <c r="O1461" t="str">
        <f>IF(Table1[[#This Row],[MARKET_CAP]]&gt;200000000000,"Large Cap",
IF(Table1[[#This Row],[MARKET_CAP]]&gt;50000000000,"Mid Cap","Small Cap"))</f>
        <v>Small Cap</v>
      </c>
      <c r="P1461" t="str">
        <f>IF(Table1[[#This Row],[NET_TRDQTY]]&gt;1000000,"High Volume","Low Volume")</f>
        <v>Low Volume</v>
      </c>
    </row>
    <row r="1462" spans="1:16" x14ac:dyDescent="0.3">
      <c r="A1462" t="s">
        <v>2927</v>
      </c>
      <c r="B1462" t="s">
        <v>2928</v>
      </c>
      <c r="C1462">
        <v>32.25</v>
      </c>
      <c r="D1462">
        <v>33.57</v>
      </c>
      <c r="E1462">
        <v>31.06</v>
      </c>
      <c r="F1462">
        <v>31.38</v>
      </c>
      <c r="G1462">
        <v>33.19</v>
      </c>
      <c r="H1462">
        <v>89137</v>
      </c>
      <c r="I1462">
        <v>2889</v>
      </c>
      <c r="J1462">
        <v>1372940208</v>
      </c>
      <c r="K1462">
        <v>43752078</v>
      </c>
      <c r="L1462">
        <f>(Table1[[#This Row],[CLOSE_PRICE]] - Table1[[#This Row],[PREV_CL_PR]]) / Table1[[#This Row],[PREV_CL_PR]] * 100</f>
        <v>-5.4534498342874329</v>
      </c>
      <c r="M1462">
        <f>Table1[[#This Row],[HIGH_PRICE]]-Table1[[#This Row],[LOW_PRICE]]</f>
        <v>2.5100000000000016</v>
      </c>
      <c r="N1462" t="str">
        <f>IF(Table1[[#This Row],[CLOSE_PRICE]]&gt;Table1[[#This Row],[OPEN_PRICE]],"Gain","Loss")</f>
        <v>Loss</v>
      </c>
      <c r="O1462" t="str">
        <f>IF(Table1[[#This Row],[MARKET_CAP]]&gt;200000000000,"Large Cap",
IF(Table1[[#This Row],[MARKET_CAP]]&gt;50000000000,"Mid Cap","Small Cap"))</f>
        <v>Small Cap</v>
      </c>
      <c r="P1462" t="str">
        <f>IF(Table1[[#This Row],[NET_TRDQTY]]&gt;1000000,"High Volume","Low Volume")</f>
        <v>Low Volume</v>
      </c>
    </row>
    <row r="1463" spans="1:16" x14ac:dyDescent="0.3">
      <c r="A1463" t="s">
        <v>2929</v>
      </c>
      <c r="B1463" t="s">
        <v>2930</v>
      </c>
      <c r="C1463">
        <v>67.599999999999994</v>
      </c>
      <c r="D1463">
        <v>68.2</v>
      </c>
      <c r="E1463">
        <v>63.32</v>
      </c>
      <c r="F1463">
        <v>64.73</v>
      </c>
      <c r="G1463">
        <v>68.55</v>
      </c>
      <c r="H1463">
        <v>309507</v>
      </c>
      <c r="I1463">
        <v>2922</v>
      </c>
      <c r="J1463">
        <v>11652055974</v>
      </c>
      <c r="K1463">
        <v>180010134</v>
      </c>
      <c r="L1463">
        <f>(Table1[[#This Row],[CLOSE_PRICE]] - Table1[[#This Row],[PREV_CL_PR]]) / Table1[[#This Row],[PREV_CL_PR]] * 100</f>
        <v>-5.5725747629467444</v>
      </c>
      <c r="M1463">
        <f>Table1[[#This Row],[HIGH_PRICE]]-Table1[[#This Row],[LOW_PRICE]]</f>
        <v>4.8800000000000026</v>
      </c>
      <c r="N1463" t="str">
        <f>IF(Table1[[#This Row],[CLOSE_PRICE]]&gt;Table1[[#This Row],[OPEN_PRICE]],"Gain","Loss")</f>
        <v>Loss</v>
      </c>
      <c r="O1463" t="str">
        <f>IF(Table1[[#This Row],[MARKET_CAP]]&gt;200000000000,"Large Cap",
IF(Table1[[#This Row],[MARKET_CAP]]&gt;50000000000,"Mid Cap","Small Cap"))</f>
        <v>Small Cap</v>
      </c>
      <c r="P1463" t="str">
        <f>IF(Table1[[#This Row],[NET_TRDQTY]]&gt;1000000,"High Volume","Low Volume")</f>
        <v>Low Volume</v>
      </c>
    </row>
    <row r="1464" spans="1:16" x14ac:dyDescent="0.3">
      <c r="A1464" t="s">
        <v>2931</v>
      </c>
      <c r="B1464" t="s">
        <v>2932</v>
      </c>
      <c r="C1464">
        <v>786</v>
      </c>
      <c r="D1464">
        <v>787.95</v>
      </c>
      <c r="E1464">
        <v>737.05</v>
      </c>
      <c r="F1464">
        <v>750.75</v>
      </c>
      <c r="G1464">
        <v>791.9</v>
      </c>
      <c r="H1464">
        <v>1251948</v>
      </c>
      <c r="I1464">
        <v>44448</v>
      </c>
      <c r="J1464">
        <v>196000000000</v>
      </c>
      <c r="K1464">
        <v>260508563</v>
      </c>
      <c r="L1464">
        <f>(Table1[[#This Row],[CLOSE_PRICE]] - Table1[[#This Row],[PREV_CL_PR]]) / Table1[[#This Row],[PREV_CL_PR]] * 100</f>
        <v>-5.1963631771688323</v>
      </c>
      <c r="M1464">
        <f>Table1[[#This Row],[HIGH_PRICE]]-Table1[[#This Row],[LOW_PRICE]]</f>
        <v>50.900000000000091</v>
      </c>
      <c r="N1464" t="str">
        <f>IF(Table1[[#This Row],[CLOSE_PRICE]]&gt;Table1[[#This Row],[OPEN_PRICE]],"Gain","Loss")</f>
        <v>Loss</v>
      </c>
      <c r="O1464" t="str">
        <f>IF(Table1[[#This Row],[MARKET_CAP]]&gt;200000000000,"Large Cap",
IF(Table1[[#This Row],[MARKET_CAP]]&gt;50000000000,"Mid Cap","Small Cap"))</f>
        <v>Mid Cap</v>
      </c>
      <c r="P1464" t="str">
        <f>IF(Table1[[#This Row],[NET_TRDQTY]]&gt;1000000,"High Volume","Low Volume")</f>
        <v>High Volume</v>
      </c>
    </row>
    <row r="1465" spans="1:16" x14ac:dyDescent="0.3">
      <c r="A1465" t="s">
        <v>2933</v>
      </c>
      <c r="B1465" t="s">
        <v>2934</v>
      </c>
      <c r="C1465">
        <v>20.420000000000002</v>
      </c>
      <c r="D1465">
        <v>21.82</v>
      </c>
      <c r="E1465">
        <v>18.760000000000002</v>
      </c>
      <c r="F1465">
        <v>19.059999999999999</v>
      </c>
      <c r="G1465">
        <v>21</v>
      </c>
      <c r="H1465">
        <v>12756</v>
      </c>
      <c r="I1465">
        <v>390</v>
      </c>
      <c r="J1465">
        <v>275741020</v>
      </c>
      <c r="K1465">
        <v>14467000</v>
      </c>
      <c r="L1465">
        <f>(Table1[[#This Row],[CLOSE_PRICE]] - Table1[[#This Row],[PREV_CL_PR]]) / Table1[[#This Row],[PREV_CL_PR]] * 100</f>
        <v>-9.2380952380952444</v>
      </c>
      <c r="M1465">
        <f>Table1[[#This Row],[HIGH_PRICE]]-Table1[[#This Row],[LOW_PRICE]]</f>
        <v>3.0599999999999987</v>
      </c>
      <c r="N1465" t="str">
        <f>IF(Table1[[#This Row],[CLOSE_PRICE]]&gt;Table1[[#This Row],[OPEN_PRICE]],"Gain","Loss")</f>
        <v>Loss</v>
      </c>
      <c r="O1465" t="str">
        <f>IF(Table1[[#This Row],[MARKET_CAP]]&gt;200000000000,"Large Cap",
IF(Table1[[#This Row],[MARKET_CAP]]&gt;50000000000,"Mid Cap","Small Cap"))</f>
        <v>Small Cap</v>
      </c>
      <c r="P1465" t="str">
        <f>IF(Table1[[#This Row],[NET_TRDQTY]]&gt;1000000,"High Volume","Low Volume")</f>
        <v>Low Volume</v>
      </c>
    </row>
    <row r="1466" spans="1:16" x14ac:dyDescent="0.3">
      <c r="A1466" t="s">
        <v>2935</v>
      </c>
      <c r="B1466" t="s">
        <v>2936</v>
      </c>
      <c r="C1466">
        <v>185</v>
      </c>
      <c r="D1466">
        <v>185.65</v>
      </c>
      <c r="E1466">
        <v>172.8</v>
      </c>
      <c r="F1466">
        <v>173.62</v>
      </c>
      <c r="G1466">
        <v>186.21</v>
      </c>
      <c r="H1466">
        <v>664925</v>
      </c>
      <c r="I1466">
        <v>14134</v>
      </c>
      <c r="J1466">
        <v>44540329827</v>
      </c>
      <c r="K1466">
        <v>256539165</v>
      </c>
      <c r="L1466">
        <f>(Table1[[#This Row],[CLOSE_PRICE]] - Table1[[#This Row],[PREV_CL_PR]]) / Table1[[#This Row],[PREV_CL_PR]] * 100</f>
        <v>-6.7611836099027993</v>
      </c>
      <c r="M1466">
        <f>Table1[[#This Row],[HIGH_PRICE]]-Table1[[#This Row],[LOW_PRICE]]</f>
        <v>12.849999999999994</v>
      </c>
      <c r="N1466" t="str">
        <f>IF(Table1[[#This Row],[CLOSE_PRICE]]&gt;Table1[[#This Row],[OPEN_PRICE]],"Gain","Loss")</f>
        <v>Loss</v>
      </c>
      <c r="O1466" t="str">
        <f>IF(Table1[[#This Row],[MARKET_CAP]]&gt;200000000000,"Large Cap",
IF(Table1[[#This Row],[MARKET_CAP]]&gt;50000000000,"Mid Cap","Small Cap"))</f>
        <v>Small Cap</v>
      </c>
      <c r="P1466" t="str">
        <f>IF(Table1[[#This Row],[NET_TRDQTY]]&gt;1000000,"High Volume","Low Volume")</f>
        <v>Low Volume</v>
      </c>
    </row>
    <row r="1467" spans="1:16" x14ac:dyDescent="0.3">
      <c r="A1467" t="s">
        <v>2937</v>
      </c>
      <c r="B1467" t="s">
        <v>2938</v>
      </c>
      <c r="C1467">
        <v>564.95000000000005</v>
      </c>
      <c r="D1467">
        <v>564.95000000000005</v>
      </c>
      <c r="E1467">
        <v>546.45000000000005</v>
      </c>
      <c r="F1467">
        <v>551.75</v>
      </c>
      <c r="G1467">
        <v>570.20000000000005</v>
      </c>
      <c r="H1467">
        <v>288487</v>
      </c>
      <c r="I1467">
        <v>12605</v>
      </c>
      <c r="J1467">
        <v>74877072733</v>
      </c>
      <c r="K1467">
        <v>135708333</v>
      </c>
      <c r="L1467">
        <f>(Table1[[#This Row],[CLOSE_PRICE]] - Table1[[#This Row],[PREV_CL_PR]]) / Table1[[#This Row],[PREV_CL_PR]] * 100</f>
        <v>-3.2357067695545498</v>
      </c>
      <c r="M1467">
        <f>Table1[[#This Row],[HIGH_PRICE]]-Table1[[#This Row],[LOW_PRICE]]</f>
        <v>18.5</v>
      </c>
      <c r="N1467" t="str">
        <f>IF(Table1[[#This Row],[CLOSE_PRICE]]&gt;Table1[[#This Row],[OPEN_PRICE]],"Gain","Loss")</f>
        <v>Loss</v>
      </c>
      <c r="O1467" t="str">
        <f>IF(Table1[[#This Row],[MARKET_CAP]]&gt;200000000000,"Large Cap",
IF(Table1[[#This Row],[MARKET_CAP]]&gt;50000000000,"Mid Cap","Small Cap"))</f>
        <v>Mid Cap</v>
      </c>
      <c r="P1467" t="str">
        <f>IF(Table1[[#This Row],[NET_TRDQTY]]&gt;1000000,"High Volume","Low Volume")</f>
        <v>Low Volume</v>
      </c>
    </row>
    <row r="1468" spans="1:16" x14ac:dyDescent="0.3">
      <c r="A1468" t="s">
        <v>2939</v>
      </c>
      <c r="B1468" t="s">
        <v>2940</v>
      </c>
      <c r="C1468">
        <v>363</v>
      </c>
      <c r="D1468">
        <v>368.2</v>
      </c>
      <c r="E1468">
        <v>331</v>
      </c>
      <c r="F1468">
        <v>341.15</v>
      </c>
      <c r="G1468">
        <v>368.3</v>
      </c>
      <c r="H1468">
        <v>87264</v>
      </c>
      <c r="I1468">
        <v>4003</v>
      </c>
      <c r="J1468">
        <v>10813909160</v>
      </c>
      <c r="K1468">
        <v>31698400</v>
      </c>
      <c r="L1468">
        <f>(Table1[[#This Row],[CLOSE_PRICE]] - Table1[[#This Row],[PREV_CL_PR]]) / Table1[[#This Row],[PREV_CL_PR]] * 100</f>
        <v>-7.3717078468639787</v>
      </c>
      <c r="M1468">
        <f>Table1[[#This Row],[HIGH_PRICE]]-Table1[[#This Row],[LOW_PRICE]]</f>
        <v>37.199999999999989</v>
      </c>
      <c r="N1468" t="str">
        <f>IF(Table1[[#This Row],[CLOSE_PRICE]]&gt;Table1[[#This Row],[OPEN_PRICE]],"Gain","Loss")</f>
        <v>Loss</v>
      </c>
      <c r="O1468" t="str">
        <f>IF(Table1[[#This Row],[MARKET_CAP]]&gt;200000000000,"Large Cap",
IF(Table1[[#This Row],[MARKET_CAP]]&gt;50000000000,"Mid Cap","Small Cap"))</f>
        <v>Small Cap</v>
      </c>
      <c r="P1468" t="str">
        <f>IF(Table1[[#This Row],[NET_TRDQTY]]&gt;1000000,"High Volume","Low Volume")</f>
        <v>Low Volume</v>
      </c>
    </row>
    <row r="1469" spans="1:16" x14ac:dyDescent="0.3">
      <c r="A1469" t="s">
        <v>2941</v>
      </c>
      <c r="B1469" t="s">
        <v>2942</v>
      </c>
      <c r="C1469">
        <v>1027</v>
      </c>
      <c r="D1469">
        <v>1059</v>
      </c>
      <c r="E1469">
        <v>980.5</v>
      </c>
      <c r="F1469">
        <v>1022.9</v>
      </c>
      <c r="G1469">
        <v>1049.4000000000001</v>
      </c>
      <c r="H1469">
        <v>246645</v>
      </c>
      <c r="I1469">
        <v>13691</v>
      </c>
      <c r="J1469">
        <v>31209987289</v>
      </c>
      <c r="K1469">
        <v>30511279</v>
      </c>
      <c r="L1469">
        <f>(Table1[[#This Row],[CLOSE_PRICE]] - Table1[[#This Row],[PREV_CL_PR]]) / Table1[[#This Row],[PREV_CL_PR]] * 100</f>
        <v>-2.5252525252525357</v>
      </c>
      <c r="M1469">
        <f>Table1[[#This Row],[HIGH_PRICE]]-Table1[[#This Row],[LOW_PRICE]]</f>
        <v>78.5</v>
      </c>
      <c r="N1469" t="str">
        <f>IF(Table1[[#This Row],[CLOSE_PRICE]]&gt;Table1[[#This Row],[OPEN_PRICE]],"Gain","Loss")</f>
        <v>Loss</v>
      </c>
      <c r="O1469" t="str">
        <f>IF(Table1[[#This Row],[MARKET_CAP]]&gt;200000000000,"Large Cap",
IF(Table1[[#This Row],[MARKET_CAP]]&gt;50000000000,"Mid Cap","Small Cap"))</f>
        <v>Small Cap</v>
      </c>
      <c r="P1469" t="str">
        <f>IF(Table1[[#This Row],[NET_TRDQTY]]&gt;1000000,"High Volume","Low Volume")</f>
        <v>Low Volume</v>
      </c>
    </row>
    <row r="1470" spans="1:16" x14ac:dyDescent="0.3">
      <c r="A1470" t="s">
        <v>2943</v>
      </c>
      <c r="B1470" t="s">
        <v>2944</v>
      </c>
      <c r="C1470">
        <v>212</v>
      </c>
      <c r="D1470">
        <v>216.2</v>
      </c>
      <c r="E1470">
        <v>206.15</v>
      </c>
      <c r="F1470">
        <v>210.16</v>
      </c>
      <c r="G1470">
        <v>213.66</v>
      </c>
      <c r="H1470">
        <v>5387</v>
      </c>
      <c r="I1470">
        <v>220</v>
      </c>
      <c r="J1470">
        <v>2229797600</v>
      </c>
      <c r="K1470">
        <v>10610000</v>
      </c>
      <c r="L1470">
        <f>(Table1[[#This Row],[CLOSE_PRICE]] - Table1[[#This Row],[PREV_CL_PR]]) / Table1[[#This Row],[PREV_CL_PR]] * 100</f>
        <v>-1.638116633904334</v>
      </c>
      <c r="M1470">
        <f>Table1[[#This Row],[HIGH_PRICE]]-Table1[[#This Row],[LOW_PRICE]]</f>
        <v>10.049999999999983</v>
      </c>
      <c r="N1470" t="str">
        <f>IF(Table1[[#This Row],[CLOSE_PRICE]]&gt;Table1[[#This Row],[OPEN_PRICE]],"Gain","Loss")</f>
        <v>Loss</v>
      </c>
      <c r="O1470" t="str">
        <f>IF(Table1[[#This Row],[MARKET_CAP]]&gt;200000000000,"Large Cap",
IF(Table1[[#This Row],[MARKET_CAP]]&gt;50000000000,"Mid Cap","Small Cap"))</f>
        <v>Small Cap</v>
      </c>
      <c r="P1470" t="str">
        <f>IF(Table1[[#This Row],[NET_TRDQTY]]&gt;1000000,"High Volume","Low Volume")</f>
        <v>Low Volume</v>
      </c>
    </row>
    <row r="1471" spans="1:16" x14ac:dyDescent="0.3">
      <c r="A1471" t="s">
        <v>2945</v>
      </c>
      <c r="B1471" t="s">
        <v>2946</v>
      </c>
      <c r="C1471">
        <v>810</v>
      </c>
      <c r="D1471">
        <v>822</v>
      </c>
      <c r="E1471">
        <v>791.65</v>
      </c>
      <c r="F1471">
        <v>799.95</v>
      </c>
      <c r="G1471">
        <v>828.2</v>
      </c>
      <c r="H1471">
        <v>83212</v>
      </c>
      <c r="I1471">
        <v>3641</v>
      </c>
      <c r="J1471">
        <v>24801649800</v>
      </c>
      <c r="K1471">
        <v>31004000</v>
      </c>
      <c r="L1471">
        <f>(Table1[[#This Row],[CLOSE_PRICE]] - Table1[[#This Row],[PREV_CL_PR]]) / Table1[[#This Row],[PREV_CL_PR]] * 100</f>
        <v>-3.4110118328906056</v>
      </c>
      <c r="M1471">
        <f>Table1[[#This Row],[HIGH_PRICE]]-Table1[[#This Row],[LOW_PRICE]]</f>
        <v>30.350000000000023</v>
      </c>
      <c r="N1471" t="str">
        <f>IF(Table1[[#This Row],[CLOSE_PRICE]]&gt;Table1[[#This Row],[OPEN_PRICE]],"Gain","Loss")</f>
        <v>Loss</v>
      </c>
      <c r="O1471" t="str">
        <f>IF(Table1[[#This Row],[MARKET_CAP]]&gt;200000000000,"Large Cap",
IF(Table1[[#This Row],[MARKET_CAP]]&gt;50000000000,"Mid Cap","Small Cap"))</f>
        <v>Small Cap</v>
      </c>
      <c r="P1471" t="str">
        <f>IF(Table1[[#This Row],[NET_TRDQTY]]&gt;1000000,"High Volume","Low Volume")</f>
        <v>Low Volume</v>
      </c>
    </row>
    <row r="1472" spans="1:16" x14ac:dyDescent="0.3">
      <c r="A1472" t="s">
        <v>2947</v>
      </c>
      <c r="B1472" t="s">
        <v>2948</v>
      </c>
      <c r="C1472">
        <v>1485</v>
      </c>
      <c r="D1472">
        <v>1485</v>
      </c>
      <c r="E1472">
        <v>1427.8</v>
      </c>
      <c r="F1472">
        <v>1434.4</v>
      </c>
      <c r="G1472">
        <v>1497.1</v>
      </c>
      <c r="H1472">
        <v>1887266</v>
      </c>
      <c r="I1472">
        <v>48904</v>
      </c>
      <c r="J1472">
        <v>664000000000</v>
      </c>
      <c r="K1472">
        <v>462674740</v>
      </c>
      <c r="L1472">
        <f>(Table1[[#This Row],[CLOSE_PRICE]] - Table1[[#This Row],[PREV_CL_PR]]) / Table1[[#This Row],[PREV_CL_PR]] * 100</f>
        <v>-4.1880969875091729</v>
      </c>
      <c r="M1472">
        <f>Table1[[#This Row],[HIGH_PRICE]]-Table1[[#This Row],[LOW_PRICE]]</f>
        <v>57.200000000000045</v>
      </c>
      <c r="N1472" t="str">
        <f>IF(Table1[[#This Row],[CLOSE_PRICE]]&gt;Table1[[#This Row],[OPEN_PRICE]],"Gain","Loss")</f>
        <v>Loss</v>
      </c>
      <c r="O1472" t="str">
        <f>IF(Table1[[#This Row],[MARKET_CAP]]&gt;200000000000,"Large Cap",
IF(Table1[[#This Row],[MARKET_CAP]]&gt;50000000000,"Mid Cap","Small Cap"))</f>
        <v>Large Cap</v>
      </c>
      <c r="P1472" t="str">
        <f>IF(Table1[[#This Row],[NET_TRDQTY]]&gt;1000000,"High Volume","Low Volume")</f>
        <v>High Volume</v>
      </c>
    </row>
    <row r="1473" spans="1:16" x14ac:dyDescent="0.3">
      <c r="A1473" t="s">
        <v>2949</v>
      </c>
      <c r="B1473" t="s">
        <v>2950</v>
      </c>
      <c r="C1473">
        <v>7100</v>
      </c>
      <c r="D1473">
        <v>7100</v>
      </c>
      <c r="E1473">
        <v>6750</v>
      </c>
      <c r="F1473">
        <v>6795</v>
      </c>
      <c r="G1473">
        <v>7171</v>
      </c>
      <c r="H1473">
        <v>652615</v>
      </c>
      <c r="I1473">
        <v>83728</v>
      </c>
      <c r="J1473">
        <v>1020000000000</v>
      </c>
      <c r="K1473">
        <v>150538473</v>
      </c>
      <c r="L1473">
        <f>(Table1[[#This Row],[CLOSE_PRICE]] - Table1[[#This Row],[PREV_CL_PR]]) / Table1[[#This Row],[PREV_CL_PR]] * 100</f>
        <v>-5.2433412355320037</v>
      </c>
      <c r="M1473">
        <f>Table1[[#This Row],[HIGH_PRICE]]-Table1[[#This Row],[LOW_PRICE]]</f>
        <v>350</v>
      </c>
      <c r="N1473" t="str">
        <f>IF(Table1[[#This Row],[CLOSE_PRICE]]&gt;Table1[[#This Row],[OPEN_PRICE]],"Gain","Loss")</f>
        <v>Loss</v>
      </c>
      <c r="O1473" t="str">
        <f>IF(Table1[[#This Row],[MARKET_CAP]]&gt;200000000000,"Large Cap",
IF(Table1[[#This Row],[MARKET_CAP]]&gt;50000000000,"Mid Cap","Small Cap"))</f>
        <v>Large Cap</v>
      </c>
      <c r="P1473" t="str">
        <f>IF(Table1[[#This Row],[NET_TRDQTY]]&gt;1000000,"High Volume","Low Volume")</f>
        <v>Low Volume</v>
      </c>
    </row>
    <row r="1474" spans="1:16" x14ac:dyDescent="0.3">
      <c r="A1474" t="s">
        <v>2951</v>
      </c>
      <c r="B1474" t="s">
        <v>2952</v>
      </c>
      <c r="C1474">
        <v>1227.2</v>
      </c>
      <c r="D1474">
        <v>1234</v>
      </c>
      <c r="E1474">
        <v>1195.5999999999999</v>
      </c>
      <c r="F1474">
        <v>1206.0999999999999</v>
      </c>
      <c r="G1474">
        <v>1240.9000000000001</v>
      </c>
      <c r="H1474">
        <v>182938</v>
      </c>
      <c r="I1474">
        <v>16822</v>
      </c>
      <c r="J1474">
        <v>122000000000</v>
      </c>
      <c r="K1474">
        <v>101359490</v>
      </c>
      <c r="L1474">
        <f>(Table1[[#This Row],[CLOSE_PRICE]] - Table1[[#This Row],[PREV_CL_PR]]) / Table1[[#This Row],[PREV_CL_PR]] * 100</f>
        <v>-2.8044161495688757</v>
      </c>
      <c r="M1474">
        <f>Table1[[#This Row],[HIGH_PRICE]]-Table1[[#This Row],[LOW_PRICE]]</f>
        <v>38.400000000000091</v>
      </c>
      <c r="N1474" t="str">
        <f>IF(Table1[[#This Row],[CLOSE_PRICE]]&gt;Table1[[#This Row],[OPEN_PRICE]],"Gain","Loss")</f>
        <v>Loss</v>
      </c>
      <c r="O1474" t="str">
        <f>IF(Table1[[#This Row],[MARKET_CAP]]&gt;200000000000,"Large Cap",
IF(Table1[[#This Row],[MARKET_CAP]]&gt;50000000000,"Mid Cap","Small Cap"))</f>
        <v>Mid Cap</v>
      </c>
      <c r="P1474" t="str">
        <f>IF(Table1[[#This Row],[NET_TRDQTY]]&gt;1000000,"High Volume","Low Volume")</f>
        <v>Low Volume</v>
      </c>
    </row>
    <row r="1475" spans="1:16" x14ac:dyDescent="0.3">
      <c r="A1475" t="s">
        <v>2953</v>
      </c>
      <c r="B1475" t="s">
        <v>2954</v>
      </c>
      <c r="C1475">
        <v>841</v>
      </c>
      <c r="D1475">
        <v>847.75</v>
      </c>
      <c r="E1475">
        <v>802.05</v>
      </c>
      <c r="F1475">
        <v>808.95</v>
      </c>
      <c r="G1475">
        <v>852.55</v>
      </c>
      <c r="H1475">
        <v>98717</v>
      </c>
      <c r="I1475">
        <v>5292</v>
      </c>
      <c r="J1475">
        <v>25394932135</v>
      </c>
      <c r="K1475">
        <v>31392462</v>
      </c>
      <c r="L1475">
        <f>(Table1[[#This Row],[CLOSE_PRICE]] - Table1[[#This Row],[PREV_CL_PR]]) / Table1[[#This Row],[PREV_CL_PR]] * 100</f>
        <v>-5.1140695560377587</v>
      </c>
      <c r="M1475">
        <f>Table1[[#This Row],[HIGH_PRICE]]-Table1[[#This Row],[LOW_PRICE]]</f>
        <v>45.700000000000045</v>
      </c>
      <c r="N1475" t="str">
        <f>IF(Table1[[#This Row],[CLOSE_PRICE]]&gt;Table1[[#This Row],[OPEN_PRICE]],"Gain","Loss")</f>
        <v>Loss</v>
      </c>
      <c r="O1475" t="str">
        <f>IF(Table1[[#This Row],[MARKET_CAP]]&gt;200000000000,"Large Cap",
IF(Table1[[#This Row],[MARKET_CAP]]&gt;50000000000,"Mid Cap","Small Cap"))</f>
        <v>Small Cap</v>
      </c>
      <c r="P1475" t="str">
        <f>IF(Table1[[#This Row],[NET_TRDQTY]]&gt;1000000,"High Volume","Low Volume")</f>
        <v>Low Volume</v>
      </c>
    </row>
    <row r="1476" spans="1:16" x14ac:dyDescent="0.3">
      <c r="A1476" t="s">
        <v>2955</v>
      </c>
      <c r="B1476" t="s">
        <v>2956</v>
      </c>
      <c r="C1476">
        <v>274.60000000000002</v>
      </c>
      <c r="D1476">
        <v>275</v>
      </c>
      <c r="E1476">
        <v>260.60000000000002</v>
      </c>
      <c r="F1476">
        <v>262.35000000000002</v>
      </c>
      <c r="G1476">
        <v>275</v>
      </c>
      <c r="H1476">
        <v>22943</v>
      </c>
      <c r="I1476">
        <v>736</v>
      </c>
      <c r="J1476">
        <v>2255794962</v>
      </c>
      <c r="K1476">
        <v>8598418</v>
      </c>
      <c r="L1476">
        <f>(Table1[[#This Row],[CLOSE_PRICE]] - Table1[[#This Row],[PREV_CL_PR]]) / Table1[[#This Row],[PREV_CL_PR]] * 100</f>
        <v>-4.5999999999999917</v>
      </c>
      <c r="M1476">
        <f>Table1[[#This Row],[HIGH_PRICE]]-Table1[[#This Row],[LOW_PRICE]]</f>
        <v>14.399999999999977</v>
      </c>
      <c r="N1476" t="str">
        <f>IF(Table1[[#This Row],[CLOSE_PRICE]]&gt;Table1[[#This Row],[OPEN_PRICE]],"Gain","Loss")</f>
        <v>Loss</v>
      </c>
      <c r="O1476" t="str">
        <f>IF(Table1[[#This Row],[MARKET_CAP]]&gt;200000000000,"Large Cap",
IF(Table1[[#This Row],[MARKET_CAP]]&gt;50000000000,"Mid Cap","Small Cap"))</f>
        <v>Small Cap</v>
      </c>
      <c r="P1476" t="str">
        <f>IF(Table1[[#This Row],[NET_TRDQTY]]&gt;1000000,"High Volume","Low Volume")</f>
        <v>Low Volume</v>
      </c>
    </row>
    <row r="1477" spans="1:16" x14ac:dyDescent="0.3">
      <c r="A1477" t="s">
        <v>2957</v>
      </c>
      <c r="B1477" t="s">
        <v>2958</v>
      </c>
      <c r="C1477">
        <v>389.9</v>
      </c>
      <c r="D1477">
        <v>389.9</v>
      </c>
      <c r="E1477">
        <v>369.2</v>
      </c>
      <c r="F1477">
        <v>376.2</v>
      </c>
      <c r="G1477">
        <v>393.6</v>
      </c>
      <c r="H1477">
        <v>1464914</v>
      </c>
      <c r="I1477">
        <v>31517</v>
      </c>
      <c r="J1477">
        <v>306000000000</v>
      </c>
      <c r="K1477">
        <v>812586815</v>
      </c>
      <c r="L1477">
        <f>(Table1[[#This Row],[CLOSE_PRICE]] - Table1[[#This Row],[PREV_CL_PR]]) / Table1[[#This Row],[PREV_CL_PR]] * 100</f>
        <v>-4.4207317073170813</v>
      </c>
      <c r="M1477">
        <f>Table1[[#This Row],[HIGH_PRICE]]-Table1[[#This Row],[LOW_PRICE]]</f>
        <v>20.699999999999989</v>
      </c>
      <c r="N1477" t="str">
        <f>IF(Table1[[#This Row],[CLOSE_PRICE]]&gt;Table1[[#This Row],[OPEN_PRICE]],"Gain","Loss")</f>
        <v>Loss</v>
      </c>
      <c r="O1477" t="str">
        <f>IF(Table1[[#This Row],[MARKET_CAP]]&gt;200000000000,"Large Cap",
IF(Table1[[#This Row],[MARKET_CAP]]&gt;50000000000,"Mid Cap","Small Cap"))</f>
        <v>Large Cap</v>
      </c>
      <c r="P1477" t="str">
        <f>IF(Table1[[#This Row],[NET_TRDQTY]]&gt;1000000,"High Volume","Low Volume")</f>
        <v>High Volume</v>
      </c>
    </row>
    <row r="1478" spans="1:16" x14ac:dyDescent="0.3">
      <c r="A1478" t="s">
        <v>2959</v>
      </c>
      <c r="B1478" t="s">
        <v>2960</v>
      </c>
      <c r="C1478">
        <v>24845</v>
      </c>
      <c r="D1478">
        <v>24970</v>
      </c>
      <c r="E1478">
        <v>23970</v>
      </c>
      <c r="F1478">
        <v>24255</v>
      </c>
      <c r="G1478">
        <v>25025</v>
      </c>
      <c r="H1478">
        <v>131323</v>
      </c>
      <c r="I1478">
        <v>28846</v>
      </c>
      <c r="J1478">
        <v>1080000000000</v>
      </c>
      <c r="K1478">
        <v>44572363</v>
      </c>
      <c r="L1478">
        <f>(Table1[[#This Row],[CLOSE_PRICE]] - Table1[[#This Row],[PREV_CL_PR]]) / Table1[[#This Row],[PREV_CL_PR]] * 100</f>
        <v>-3.0769230769230771</v>
      </c>
      <c r="M1478">
        <f>Table1[[#This Row],[HIGH_PRICE]]-Table1[[#This Row],[LOW_PRICE]]</f>
        <v>1000</v>
      </c>
      <c r="N1478" t="str">
        <f>IF(Table1[[#This Row],[CLOSE_PRICE]]&gt;Table1[[#This Row],[OPEN_PRICE]],"Gain","Loss")</f>
        <v>Loss</v>
      </c>
      <c r="O1478" t="str">
        <f>IF(Table1[[#This Row],[MARKET_CAP]]&gt;200000000000,"Large Cap",
IF(Table1[[#This Row],[MARKET_CAP]]&gt;50000000000,"Mid Cap","Small Cap"))</f>
        <v>Large Cap</v>
      </c>
      <c r="P1478" t="str">
        <f>IF(Table1[[#This Row],[NET_TRDQTY]]&gt;1000000,"High Volume","Low Volume")</f>
        <v>Low Volume</v>
      </c>
    </row>
    <row r="1479" spans="1:16" x14ac:dyDescent="0.3">
      <c r="A1479" t="s">
        <v>2961</v>
      </c>
      <c r="B1479" t="s">
        <v>2962</v>
      </c>
      <c r="C1479">
        <v>1955</v>
      </c>
      <c r="D1479">
        <v>1970</v>
      </c>
      <c r="E1479">
        <v>1840</v>
      </c>
      <c r="F1479">
        <v>1856.3</v>
      </c>
      <c r="G1479">
        <v>1994</v>
      </c>
      <c r="H1479">
        <v>113732</v>
      </c>
      <c r="I1479">
        <v>13656</v>
      </c>
      <c r="J1479">
        <v>58689322840</v>
      </c>
      <c r="K1479">
        <v>31616292</v>
      </c>
      <c r="L1479">
        <f>(Table1[[#This Row],[CLOSE_PRICE]] - Table1[[#This Row],[PREV_CL_PR]]) / Table1[[#This Row],[PREV_CL_PR]] * 100</f>
        <v>-6.9057171514543656</v>
      </c>
      <c r="M1479">
        <f>Table1[[#This Row],[HIGH_PRICE]]-Table1[[#This Row],[LOW_PRICE]]</f>
        <v>130</v>
      </c>
      <c r="N1479" t="str">
        <f>IF(Table1[[#This Row],[CLOSE_PRICE]]&gt;Table1[[#This Row],[OPEN_PRICE]],"Gain","Loss")</f>
        <v>Loss</v>
      </c>
      <c r="O1479" t="str">
        <f>IF(Table1[[#This Row],[MARKET_CAP]]&gt;200000000000,"Large Cap",
IF(Table1[[#This Row],[MARKET_CAP]]&gt;50000000000,"Mid Cap","Small Cap"))</f>
        <v>Mid Cap</v>
      </c>
      <c r="P1479" t="str">
        <f>IF(Table1[[#This Row],[NET_TRDQTY]]&gt;1000000,"High Volume","Low Volume")</f>
        <v>Low Volume</v>
      </c>
    </row>
    <row r="1480" spans="1:16" x14ac:dyDescent="0.3">
      <c r="A1480" t="s">
        <v>2963</v>
      </c>
      <c r="B1480" t="s">
        <v>2964</v>
      </c>
      <c r="C1480">
        <v>197.78</v>
      </c>
      <c r="D1480">
        <v>203.99</v>
      </c>
      <c r="E1480">
        <v>190</v>
      </c>
      <c r="F1480">
        <v>190.14</v>
      </c>
      <c r="G1480">
        <v>197.78</v>
      </c>
      <c r="H1480">
        <v>20131</v>
      </c>
      <c r="I1480">
        <v>1171</v>
      </c>
      <c r="J1480">
        <v>2683839410</v>
      </c>
      <c r="K1480">
        <v>14115070</v>
      </c>
      <c r="L1480">
        <f>(Table1[[#This Row],[CLOSE_PRICE]] - Table1[[#This Row],[PREV_CL_PR]]) / Table1[[#This Row],[PREV_CL_PR]] * 100</f>
        <v>-3.8628779451916349</v>
      </c>
      <c r="M1480">
        <f>Table1[[#This Row],[HIGH_PRICE]]-Table1[[#This Row],[LOW_PRICE]]</f>
        <v>13.990000000000009</v>
      </c>
      <c r="N1480" t="str">
        <f>IF(Table1[[#This Row],[CLOSE_PRICE]]&gt;Table1[[#This Row],[OPEN_PRICE]],"Gain","Loss")</f>
        <v>Loss</v>
      </c>
      <c r="O1480" t="str">
        <f>IF(Table1[[#This Row],[MARKET_CAP]]&gt;200000000000,"Large Cap",
IF(Table1[[#This Row],[MARKET_CAP]]&gt;50000000000,"Mid Cap","Small Cap"))</f>
        <v>Small Cap</v>
      </c>
      <c r="P1480" t="str">
        <f>IF(Table1[[#This Row],[NET_TRDQTY]]&gt;1000000,"High Volume","Low Volume")</f>
        <v>Low Volume</v>
      </c>
    </row>
    <row r="1481" spans="1:16" x14ac:dyDescent="0.3">
      <c r="A1481" t="s">
        <v>2965</v>
      </c>
      <c r="B1481" t="s">
        <v>2966</v>
      </c>
      <c r="C1481">
        <v>186</v>
      </c>
      <c r="D1481">
        <v>187.21</v>
      </c>
      <c r="E1481">
        <v>181.26</v>
      </c>
      <c r="F1481">
        <v>185.27</v>
      </c>
      <c r="G1481">
        <v>189.33</v>
      </c>
      <c r="H1481">
        <v>101185</v>
      </c>
      <c r="I1481">
        <v>3026</v>
      </c>
      <c r="J1481">
        <v>4431353446</v>
      </c>
      <c r="K1481">
        <v>23918354</v>
      </c>
      <c r="L1481">
        <f>(Table1[[#This Row],[CLOSE_PRICE]] - Table1[[#This Row],[PREV_CL_PR]]) / Table1[[#This Row],[PREV_CL_PR]] * 100</f>
        <v>-2.144403950773782</v>
      </c>
      <c r="M1481">
        <f>Table1[[#This Row],[HIGH_PRICE]]-Table1[[#This Row],[LOW_PRICE]]</f>
        <v>5.9500000000000171</v>
      </c>
      <c r="N1481" t="str">
        <f>IF(Table1[[#This Row],[CLOSE_PRICE]]&gt;Table1[[#This Row],[OPEN_PRICE]],"Gain","Loss")</f>
        <v>Loss</v>
      </c>
      <c r="O1481" t="str">
        <f>IF(Table1[[#This Row],[MARKET_CAP]]&gt;200000000000,"Large Cap",
IF(Table1[[#This Row],[MARKET_CAP]]&gt;50000000000,"Mid Cap","Small Cap"))</f>
        <v>Small Cap</v>
      </c>
      <c r="P1481" t="str">
        <f>IF(Table1[[#This Row],[NET_TRDQTY]]&gt;1000000,"High Volume","Low Volume")</f>
        <v>Low Volume</v>
      </c>
    </row>
    <row r="1482" spans="1:16" x14ac:dyDescent="0.3">
      <c r="A1482" t="s">
        <v>2967</v>
      </c>
      <c r="B1482" t="s">
        <v>2968</v>
      </c>
      <c r="C1482">
        <v>137</v>
      </c>
      <c r="D1482">
        <v>137.01</v>
      </c>
      <c r="E1482">
        <v>132.30000000000001</v>
      </c>
      <c r="F1482">
        <v>133.27000000000001</v>
      </c>
      <c r="G1482">
        <v>138.35</v>
      </c>
      <c r="H1482">
        <v>3582231</v>
      </c>
      <c r="I1482">
        <v>38688</v>
      </c>
      <c r="J1482">
        <v>177000000000</v>
      </c>
      <c r="K1482">
        <v>1329248130</v>
      </c>
      <c r="L1482">
        <f>(Table1[[#This Row],[CLOSE_PRICE]] - Table1[[#This Row],[PREV_CL_PR]]) / Table1[[#This Row],[PREV_CL_PR]] * 100</f>
        <v>-3.671846765449934</v>
      </c>
      <c r="M1482">
        <f>Table1[[#This Row],[HIGH_PRICE]]-Table1[[#This Row],[LOW_PRICE]]</f>
        <v>4.7099999999999795</v>
      </c>
      <c r="N1482" t="str">
        <f>IF(Table1[[#This Row],[CLOSE_PRICE]]&gt;Table1[[#This Row],[OPEN_PRICE]],"Gain","Loss")</f>
        <v>Loss</v>
      </c>
      <c r="O1482" t="str">
        <f>IF(Table1[[#This Row],[MARKET_CAP]]&gt;200000000000,"Large Cap",
IF(Table1[[#This Row],[MARKET_CAP]]&gt;50000000000,"Mid Cap","Small Cap"))</f>
        <v>Mid Cap</v>
      </c>
      <c r="P1482" t="str">
        <f>IF(Table1[[#This Row],[NET_TRDQTY]]&gt;1000000,"High Volume","Low Volume")</f>
        <v>High Volume</v>
      </c>
    </row>
    <row r="1483" spans="1:16" x14ac:dyDescent="0.3">
      <c r="A1483" t="s">
        <v>2969</v>
      </c>
      <c r="B1483" t="s">
        <v>2970</v>
      </c>
      <c r="C1483">
        <v>154.15</v>
      </c>
      <c r="D1483">
        <v>154.15</v>
      </c>
      <c r="E1483">
        <v>146.1</v>
      </c>
      <c r="F1483">
        <v>147.76</v>
      </c>
      <c r="G1483">
        <v>157.4</v>
      </c>
      <c r="H1483">
        <v>59222</v>
      </c>
      <c r="I1483">
        <v>916</v>
      </c>
      <c r="J1483">
        <v>20229161261</v>
      </c>
      <c r="K1483">
        <v>136905531</v>
      </c>
      <c r="L1483">
        <f>(Table1[[#This Row],[CLOSE_PRICE]] - Table1[[#This Row],[PREV_CL_PR]]) / Table1[[#This Row],[PREV_CL_PR]] * 100</f>
        <v>-6.1245235069885728</v>
      </c>
      <c r="M1483">
        <f>Table1[[#This Row],[HIGH_PRICE]]-Table1[[#This Row],[LOW_PRICE]]</f>
        <v>8.0500000000000114</v>
      </c>
      <c r="N1483" t="str">
        <f>IF(Table1[[#This Row],[CLOSE_PRICE]]&gt;Table1[[#This Row],[OPEN_PRICE]],"Gain","Loss")</f>
        <v>Loss</v>
      </c>
      <c r="O1483" t="str">
        <f>IF(Table1[[#This Row],[MARKET_CAP]]&gt;200000000000,"Large Cap",
IF(Table1[[#This Row],[MARKET_CAP]]&gt;50000000000,"Mid Cap","Small Cap"))</f>
        <v>Small Cap</v>
      </c>
      <c r="P1483" t="str">
        <f>IF(Table1[[#This Row],[NET_TRDQTY]]&gt;1000000,"High Volume","Low Volume")</f>
        <v>Low Volume</v>
      </c>
    </row>
    <row r="1484" spans="1:16" x14ac:dyDescent="0.3">
      <c r="A1484" t="s">
        <v>2971</v>
      </c>
      <c r="B1484" t="s">
        <v>2972</v>
      </c>
      <c r="C1484">
        <v>19.25</v>
      </c>
      <c r="D1484">
        <v>20</v>
      </c>
      <c r="E1484">
        <v>18</v>
      </c>
      <c r="F1484">
        <v>18.04</v>
      </c>
      <c r="G1484">
        <v>19.43</v>
      </c>
      <c r="H1484">
        <v>93706</v>
      </c>
      <c r="I1484">
        <v>441</v>
      </c>
      <c r="J1484">
        <v>1261641670</v>
      </c>
      <c r="K1484">
        <v>69935791</v>
      </c>
      <c r="L1484">
        <f>(Table1[[#This Row],[CLOSE_PRICE]] - Table1[[#This Row],[PREV_CL_PR]]) / Table1[[#This Row],[PREV_CL_PR]] * 100</f>
        <v>-7.1538857436953194</v>
      </c>
      <c r="M1484">
        <f>Table1[[#This Row],[HIGH_PRICE]]-Table1[[#This Row],[LOW_PRICE]]</f>
        <v>2</v>
      </c>
      <c r="N1484" t="str">
        <f>IF(Table1[[#This Row],[CLOSE_PRICE]]&gt;Table1[[#This Row],[OPEN_PRICE]],"Gain","Loss")</f>
        <v>Loss</v>
      </c>
      <c r="O1484" t="str">
        <f>IF(Table1[[#This Row],[MARKET_CAP]]&gt;200000000000,"Large Cap",
IF(Table1[[#This Row],[MARKET_CAP]]&gt;50000000000,"Mid Cap","Small Cap"))</f>
        <v>Small Cap</v>
      </c>
      <c r="P1484" t="str">
        <f>IF(Table1[[#This Row],[NET_TRDQTY]]&gt;1000000,"High Volume","Low Volume")</f>
        <v>Low Volume</v>
      </c>
    </row>
    <row r="1485" spans="1:16" x14ac:dyDescent="0.3">
      <c r="A1485" t="s">
        <v>2973</v>
      </c>
      <c r="B1485" t="s">
        <v>2974</v>
      </c>
      <c r="C1485">
        <v>311</v>
      </c>
      <c r="D1485">
        <v>322.60000000000002</v>
      </c>
      <c r="E1485">
        <v>306.8</v>
      </c>
      <c r="F1485">
        <v>311.89999999999998</v>
      </c>
      <c r="G1485">
        <v>315.14999999999998</v>
      </c>
      <c r="H1485">
        <v>3982669</v>
      </c>
      <c r="I1485">
        <v>68574</v>
      </c>
      <c r="J1485">
        <v>57331302147</v>
      </c>
      <c r="K1485">
        <v>183813088</v>
      </c>
      <c r="L1485">
        <f>(Table1[[#This Row],[CLOSE_PRICE]] - Table1[[#This Row],[PREV_CL_PR]]) / Table1[[#This Row],[PREV_CL_PR]] * 100</f>
        <v>-1.0312549579565287</v>
      </c>
      <c r="M1485">
        <f>Table1[[#This Row],[HIGH_PRICE]]-Table1[[#This Row],[LOW_PRICE]]</f>
        <v>15.800000000000011</v>
      </c>
      <c r="N1485" t="str">
        <f>IF(Table1[[#This Row],[CLOSE_PRICE]]&gt;Table1[[#This Row],[OPEN_PRICE]],"Gain","Loss")</f>
        <v>Gain</v>
      </c>
      <c r="O1485" t="str">
        <f>IF(Table1[[#This Row],[MARKET_CAP]]&gt;200000000000,"Large Cap",
IF(Table1[[#This Row],[MARKET_CAP]]&gt;50000000000,"Mid Cap","Small Cap"))</f>
        <v>Mid Cap</v>
      </c>
      <c r="P1485" t="str">
        <f>IF(Table1[[#This Row],[NET_TRDQTY]]&gt;1000000,"High Volume","Low Volume")</f>
        <v>High Volume</v>
      </c>
    </row>
    <row r="1486" spans="1:16" x14ac:dyDescent="0.3">
      <c r="A1486" t="s">
        <v>2975</v>
      </c>
      <c r="B1486" t="s">
        <v>2976</v>
      </c>
      <c r="C1486">
        <v>118.25</v>
      </c>
      <c r="D1486">
        <v>120.1</v>
      </c>
      <c r="E1486">
        <v>113.05</v>
      </c>
      <c r="F1486">
        <v>113.64</v>
      </c>
      <c r="G1486">
        <v>121.28</v>
      </c>
      <c r="H1486">
        <v>630548</v>
      </c>
      <c r="I1486">
        <v>5956</v>
      </c>
      <c r="J1486">
        <v>20350860184</v>
      </c>
      <c r="K1486">
        <v>179081839</v>
      </c>
      <c r="L1486">
        <f>(Table1[[#This Row],[CLOSE_PRICE]] - Table1[[#This Row],[PREV_CL_PR]]) / Table1[[#This Row],[PREV_CL_PR]] * 100</f>
        <v>-6.2994722955145122</v>
      </c>
      <c r="M1486">
        <f>Table1[[#This Row],[HIGH_PRICE]]-Table1[[#This Row],[LOW_PRICE]]</f>
        <v>7.0499999999999972</v>
      </c>
      <c r="N1486" t="str">
        <f>IF(Table1[[#This Row],[CLOSE_PRICE]]&gt;Table1[[#This Row],[OPEN_PRICE]],"Gain","Loss")</f>
        <v>Loss</v>
      </c>
      <c r="O1486" t="str">
        <f>IF(Table1[[#This Row],[MARKET_CAP]]&gt;200000000000,"Large Cap",
IF(Table1[[#This Row],[MARKET_CAP]]&gt;50000000000,"Mid Cap","Small Cap"))</f>
        <v>Small Cap</v>
      </c>
      <c r="P1486" t="str">
        <f>IF(Table1[[#This Row],[NET_TRDQTY]]&gt;1000000,"High Volume","Low Volume")</f>
        <v>Low Volume</v>
      </c>
    </row>
    <row r="1487" spans="1:16" x14ac:dyDescent="0.3">
      <c r="A1487" t="s">
        <v>2977</v>
      </c>
      <c r="B1487" t="s">
        <v>2978</v>
      </c>
      <c r="C1487">
        <v>4.12</v>
      </c>
      <c r="D1487">
        <v>4.28</v>
      </c>
      <c r="E1487">
        <v>4.05</v>
      </c>
      <c r="F1487">
        <v>4.0599999999999996</v>
      </c>
      <c r="G1487">
        <v>4.1399999999999997</v>
      </c>
      <c r="H1487">
        <v>507147</v>
      </c>
      <c r="I1487">
        <v>426</v>
      </c>
      <c r="J1487">
        <v>710501583.39999998</v>
      </c>
      <c r="K1487">
        <v>175000390</v>
      </c>
      <c r="L1487">
        <f>(Table1[[#This Row],[CLOSE_PRICE]] - Table1[[#This Row],[PREV_CL_PR]]) / Table1[[#This Row],[PREV_CL_PR]] * 100</f>
        <v>-1.932367149758456</v>
      </c>
      <c r="M1487">
        <f>Table1[[#This Row],[HIGH_PRICE]]-Table1[[#This Row],[LOW_PRICE]]</f>
        <v>0.23000000000000043</v>
      </c>
      <c r="N1487" t="str">
        <f>IF(Table1[[#This Row],[CLOSE_PRICE]]&gt;Table1[[#This Row],[OPEN_PRICE]],"Gain","Loss")</f>
        <v>Loss</v>
      </c>
      <c r="O1487" t="str">
        <f>IF(Table1[[#This Row],[MARKET_CAP]]&gt;200000000000,"Large Cap",
IF(Table1[[#This Row],[MARKET_CAP]]&gt;50000000000,"Mid Cap","Small Cap"))</f>
        <v>Small Cap</v>
      </c>
      <c r="P1487" t="str">
        <f>IF(Table1[[#This Row],[NET_TRDQTY]]&gt;1000000,"High Volume","Low Volume")</f>
        <v>Low Volume</v>
      </c>
    </row>
    <row r="1488" spans="1:16" x14ac:dyDescent="0.3">
      <c r="A1488" t="s">
        <v>2979</v>
      </c>
      <c r="B1488" t="s">
        <v>2980</v>
      </c>
      <c r="C1488">
        <v>6.35</v>
      </c>
      <c r="D1488">
        <v>6.48</v>
      </c>
      <c r="E1488">
        <v>6.27</v>
      </c>
      <c r="F1488">
        <v>6.3</v>
      </c>
      <c r="G1488">
        <v>6.6</v>
      </c>
      <c r="H1488">
        <v>97384</v>
      </c>
      <c r="I1488">
        <v>183</v>
      </c>
      <c r="J1488">
        <v>1164937309</v>
      </c>
      <c r="K1488">
        <v>184910684</v>
      </c>
      <c r="L1488">
        <f>(Table1[[#This Row],[CLOSE_PRICE]] - Table1[[#This Row],[PREV_CL_PR]]) / Table1[[#This Row],[PREV_CL_PR]] * 100</f>
        <v>-4.5454545454545432</v>
      </c>
      <c r="M1488">
        <f>Table1[[#This Row],[HIGH_PRICE]]-Table1[[#This Row],[LOW_PRICE]]</f>
        <v>0.21000000000000085</v>
      </c>
      <c r="N1488" t="str">
        <f>IF(Table1[[#This Row],[CLOSE_PRICE]]&gt;Table1[[#This Row],[OPEN_PRICE]],"Gain","Loss")</f>
        <v>Loss</v>
      </c>
      <c r="O1488" t="str">
        <f>IF(Table1[[#This Row],[MARKET_CAP]]&gt;200000000000,"Large Cap",
IF(Table1[[#This Row],[MARKET_CAP]]&gt;50000000000,"Mid Cap","Small Cap"))</f>
        <v>Small Cap</v>
      </c>
      <c r="P1488" t="str">
        <f>IF(Table1[[#This Row],[NET_TRDQTY]]&gt;1000000,"High Volume","Low Volume")</f>
        <v>Low Volume</v>
      </c>
    </row>
    <row r="1489" spans="1:16" x14ac:dyDescent="0.3">
      <c r="A1489" t="s">
        <v>2981</v>
      </c>
      <c r="B1489" t="s">
        <v>2982</v>
      </c>
      <c r="C1489">
        <v>115.69</v>
      </c>
      <c r="D1489">
        <v>115.7</v>
      </c>
      <c r="E1489">
        <v>107.1</v>
      </c>
      <c r="F1489">
        <v>108.69</v>
      </c>
      <c r="G1489">
        <v>117.45</v>
      </c>
      <c r="H1489">
        <v>253960</v>
      </c>
      <c r="I1489">
        <v>4283</v>
      </c>
      <c r="J1489">
        <v>10324010406</v>
      </c>
      <c r="K1489">
        <v>94985835</v>
      </c>
      <c r="L1489">
        <f>(Table1[[#This Row],[CLOSE_PRICE]] - Table1[[#This Row],[PREV_CL_PR]]) / Table1[[#This Row],[PREV_CL_PR]] * 100</f>
        <v>-7.4584929757343597</v>
      </c>
      <c r="M1489">
        <f>Table1[[#This Row],[HIGH_PRICE]]-Table1[[#This Row],[LOW_PRICE]]</f>
        <v>8.6000000000000085</v>
      </c>
      <c r="N1489" t="str">
        <f>IF(Table1[[#This Row],[CLOSE_PRICE]]&gt;Table1[[#This Row],[OPEN_PRICE]],"Gain","Loss")</f>
        <v>Loss</v>
      </c>
      <c r="O1489" t="str">
        <f>IF(Table1[[#This Row],[MARKET_CAP]]&gt;200000000000,"Large Cap",
IF(Table1[[#This Row],[MARKET_CAP]]&gt;50000000000,"Mid Cap","Small Cap"))</f>
        <v>Small Cap</v>
      </c>
      <c r="P1489" t="str">
        <f>IF(Table1[[#This Row],[NET_TRDQTY]]&gt;1000000,"High Volume","Low Volume")</f>
        <v>Low Volume</v>
      </c>
    </row>
    <row r="1490" spans="1:16" x14ac:dyDescent="0.3">
      <c r="A1490" t="s">
        <v>2983</v>
      </c>
      <c r="B1490" t="s">
        <v>2984</v>
      </c>
      <c r="C1490">
        <v>298.64999999999998</v>
      </c>
      <c r="D1490">
        <v>303</v>
      </c>
      <c r="E1490">
        <v>290</v>
      </c>
      <c r="F1490">
        <v>291.8</v>
      </c>
      <c r="G1490">
        <v>302.35000000000002</v>
      </c>
      <c r="H1490">
        <v>564436</v>
      </c>
      <c r="I1490">
        <v>18154</v>
      </c>
      <c r="J1490">
        <v>53343367105</v>
      </c>
      <c r="K1490">
        <v>182807975</v>
      </c>
      <c r="L1490">
        <f>(Table1[[#This Row],[CLOSE_PRICE]] - Table1[[#This Row],[PREV_CL_PR]]) / Table1[[#This Row],[PREV_CL_PR]] * 100</f>
        <v>-3.4893335538283483</v>
      </c>
      <c r="M1490">
        <f>Table1[[#This Row],[HIGH_PRICE]]-Table1[[#This Row],[LOW_PRICE]]</f>
        <v>13</v>
      </c>
      <c r="N1490" t="str">
        <f>IF(Table1[[#This Row],[CLOSE_PRICE]]&gt;Table1[[#This Row],[OPEN_PRICE]],"Gain","Loss")</f>
        <v>Loss</v>
      </c>
      <c r="O1490" t="str">
        <f>IF(Table1[[#This Row],[MARKET_CAP]]&gt;200000000000,"Large Cap",
IF(Table1[[#This Row],[MARKET_CAP]]&gt;50000000000,"Mid Cap","Small Cap"))</f>
        <v>Mid Cap</v>
      </c>
      <c r="P1490" t="str">
        <f>IF(Table1[[#This Row],[NET_TRDQTY]]&gt;1000000,"High Volume","Low Volume")</f>
        <v>Low Volume</v>
      </c>
    </row>
    <row r="1491" spans="1:16" x14ac:dyDescent="0.3">
      <c r="A1491" t="s">
        <v>2985</v>
      </c>
      <c r="B1491" t="s">
        <v>2986</v>
      </c>
      <c r="C1491">
        <v>430</v>
      </c>
      <c r="D1491">
        <v>431.05</v>
      </c>
      <c r="E1491">
        <v>392.3</v>
      </c>
      <c r="F1491">
        <v>395.8</v>
      </c>
      <c r="G1491">
        <v>438</v>
      </c>
      <c r="H1491">
        <v>515051</v>
      </c>
      <c r="I1491">
        <v>15888</v>
      </c>
      <c r="J1491">
        <v>21278680981</v>
      </c>
      <c r="K1491">
        <v>53761195</v>
      </c>
      <c r="L1491">
        <f>(Table1[[#This Row],[CLOSE_PRICE]] - Table1[[#This Row],[PREV_CL_PR]]) / Table1[[#This Row],[PREV_CL_PR]] * 100</f>
        <v>-9.6347031963470293</v>
      </c>
      <c r="M1491">
        <f>Table1[[#This Row],[HIGH_PRICE]]-Table1[[#This Row],[LOW_PRICE]]</f>
        <v>38.75</v>
      </c>
      <c r="N1491" t="str">
        <f>IF(Table1[[#This Row],[CLOSE_PRICE]]&gt;Table1[[#This Row],[OPEN_PRICE]],"Gain","Loss")</f>
        <v>Loss</v>
      </c>
      <c r="O1491" t="str">
        <f>IF(Table1[[#This Row],[MARKET_CAP]]&gt;200000000000,"Large Cap",
IF(Table1[[#This Row],[MARKET_CAP]]&gt;50000000000,"Mid Cap","Small Cap"))</f>
        <v>Small Cap</v>
      </c>
      <c r="P1491" t="str">
        <f>IF(Table1[[#This Row],[NET_TRDQTY]]&gt;1000000,"High Volume","Low Volume")</f>
        <v>Low Volume</v>
      </c>
    </row>
    <row r="1492" spans="1:16" x14ac:dyDescent="0.3">
      <c r="A1492" t="s">
        <v>2987</v>
      </c>
      <c r="B1492" t="s">
        <v>2988</v>
      </c>
      <c r="C1492">
        <v>851</v>
      </c>
      <c r="D1492">
        <v>875</v>
      </c>
      <c r="E1492">
        <v>843.9</v>
      </c>
      <c r="F1492">
        <v>866.55</v>
      </c>
      <c r="G1492">
        <v>864.75</v>
      </c>
      <c r="H1492">
        <v>2931759</v>
      </c>
      <c r="I1492">
        <v>67033</v>
      </c>
      <c r="J1492">
        <v>393000000000</v>
      </c>
      <c r="K1492">
        <v>452994368</v>
      </c>
      <c r="L1492">
        <f>(Table1[[#This Row],[CLOSE_PRICE]] - Table1[[#This Row],[PREV_CL_PR]]) / Table1[[#This Row],[PREV_CL_PR]] * 100</f>
        <v>0.2081526452731951</v>
      </c>
      <c r="M1492">
        <f>Table1[[#This Row],[HIGH_PRICE]]-Table1[[#This Row],[LOW_PRICE]]</f>
        <v>31.100000000000023</v>
      </c>
      <c r="N1492" t="str">
        <f>IF(Table1[[#This Row],[CLOSE_PRICE]]&gt;Table1[[#This Row],[OPEN_PRICE]],"Gain","Loss")</f>
        <v>Gain</v>
      </c>
      <c r="O1492" t="str">
        <f>IF(Table1[[#This Row],[MARKET_CAP]]&gt;200000000000,"Large Cap",
IF(Table1[[#This Row],[MARKET_CAP]]&gt;50000000000,"Mid Cap","Small Cap"))</f>
        <v>Large Cap</v>
      </c>
      <c r="P1492" t="str">
        <f>IF(Table1[[#This Row],[NET_TRDQTY]]&gt;1000000,"High Volume","Low Volume")</f>
        <v>High Volume</v>
      </c>
    </row>
    <row r="1493" spans="1:16" x14ac:dyDescent="0.3">
      <c r="A1493" t="s">
        <v>2989</v>
      </c>
      <c r="B1493" t="s">
        <v>2990</v>
      </c>
      <c r="C1493">
        <v>60</v>
      </c>
      <c r="D1493">
        <v>60.16</v>
      </c>
      <c r="E1493">
        <v>57.61</v>
      </c>
      <c r="F1493">
        <v>57.93</v>
      </c>
      <c r="G1493">
        <v>59.96</v>
      </c>
      <c r="H1493">
        <v>373007</v>
      </c>
      <c r="I1493">
        <v>2661</v>
      </c>
      <c r="J1493">
        <v>6067731577</v>
      </c>
      <c r="K1493">
        <v>104742475</v>
      </c>
      <c r="L1493">
        <f>(Table1[[#This Row],[CLOSE_PRICE]] - Table1[[#This Row],[PREV_CL_PR]]) / Table1[[#This Row],[PREV_CL_PR]] * 100</f>
        <v>-3.3855903935957326</v>
      </c>
      <c r="M1493">
        <f>Table1[[#This Row],[HIGH_PRICE]]-Table1[[#This Row],[LOW_PRICE]]</f>
        <v>2.5499999999999972</v>
      </c>
      <c r="N1493" t="str">
        <f>IF(Table1[[#This Row],[CLOSE_PRICE]]&gt;Table1[[#This Row],[OPEN_PRICE]],"Gain","Loss")</f>
        <v>Loss</v>
      </c>
      <c r="O1493" t="str">
        <f>IF(Table1[[#This Row],[MARKET_CAP]]&gt;200000000000,"Large Cap",
IF(Table1[[#This Row],[MARKET_CAP]]&gt;50000000000,"Mid Cap","Small Cap"))</f>
        <v>Small Cap</v>
      </c>
      <c r="P1493" t="str">
        <f>IF(Table1[[#This Row],[NET_TRDQTY]]&gt;1000000,"High Volume","Low Volume")</f>
        <v>Low Volume</v>
      </c>
    </row>
    <row r="1494" spans="1:16" x14ac:dyDescent="0.3">
      <c r="A1494" t="s">
        <v>2991</v>
      </c>
      <c r="B1494" t="s">
        <v>2992</v>
      </c>
      <c r="C1494">
        <v>1226</v>
      </c>
      <c r="D1494">
        <v>1235</v>
      </c>
      <c r="E1494">
        <v>1173.4000000000001</v>
      </c>
      <c r="F1494">
        <v>1178.5999999999999</v>
      </c>
      <c r="G1494">
        <v>1248.2</v>
      </c>
      <c r="H1494">
        <v>921668</v>
      </c>
      <c r="I1494">
        <v>47372</v>
      </c>
      <c r="J1494">
        <v>508000000000</v>
      </c>
      <c r="K1494">
        <v>430730232</v>
      </c>
      <c r="L1494">
        <f>(Table1[[#This Row],[CLOSE_PRICE]] - Table1[[#This Row],[PREV_CL_PR]]) / Table1[[#This Row],[PREV_CL_PR]] * 100</f>
        <v>-5.5760294824547456</v>
      </c>
      <c r="M1494">
        <f>Table1[[#This Row],[HIGH_PRICE]]-Table1[[#This Row],[LOW_PRICE]]</f>
        <v>61.599999999999909</v>
      </c>
      <c r="N1494" t="str">
        <f>IF(Table1[[#This Row],[CLOSE_PRICE]]&gt;Table1[[#This Row],[OPEN_PRICE]],"Gain","Loss")</f>
        <v>Loss</v>
      </c>
      <c r="O1494" t="str">
        <f>IF(Table1[[#This Row],[MARKET_CAP]]&gt;200000000000,"Large Cap",
IF(Table1[[#This Row],[MARKET_CAP]]&gt;50000000000,"Mid Cap","Small Cap"))</f>
        <v>Large Cap</v>
      </c>
      <c r="P1494" t="str">
        <f>IF(Table1[[#This Row],[NET_TRDQTY]]&gt;1000000,"High Volume","Low Volume")</f>
        <v>Low Volume</v>
      </c>
    </row>
    <row r="1495" spans="1:16" x14ac:dyDescent="0.3">
      <c r="A1495" t="s">
        <v>2993</v>
      </c>
      <c r="B1495" t="s">
        <v>2994</v>
      </c>
      <c r="C1495">
        <v>527</v>
      </c>
      <c r="D1495">
        <v>528</v>
      </c>
      <c r="E1495">
        <v>509</v>
      </c>
      <c r="F1495">
        <v>510.9</v>
      </c>
      <c r="G1495">
        <v>533.54999999999995</v>
      </c>
      <c r="H1495">
        <v>255984</v>
      </c>
      <c r="I1495">
        <v>15451</v>
      </c>
      <c r="J1495">
        <v>62269257328</v>
      </c>
      <c r="K1495">
        <v>121881498</v>
      </c>
      <c r="L1495">
        <f>(Table1[[#This Row],[CLOSE_PRICE]] - Table1[[#This Row],[PREV_CL_PR]]) / Table1[[#This Row],[PREV_CL_PR]] * 100</f>
        <v>-4.2451504076468893</v>
      </c>
      <c r="M1495">
        <f>Table1[[#This Row],[HIGH_PRICE]]-Table1[[#This Row],[LOW_PRICE]]</f>
        <v>19</v>
      </c>
      <c r="N1495" t="str">
        <f>IF(Table1[[#This Row],[CLOSE_PRICE]]&gt;Table1[[#This Row],[OPEN_PRICE]],"Gain","Loss")</f>
        <v>Loss</v>
      </c>
      <c r="O1495" t="str">
        <f>IF(Table1[[#This Row],[MARKET_CAP]]&gt;200000000000,"Large Cap",
IF(Table1[[#This Row],[MARKET_CAP]]&gt;50000000000,"Mid Cap","Small Cap"))</f>
        <v>Mid Cap</v>
      </c>
      <c r="P1495" t="str">
        <f>IF(Table1[[#This Row],[NET_TRDQTY]]&gt;1000000,"High Volume","Low Volume")</f>
        <v>Low Volume</v>
      </c>
    </row>
    <row r="1496" spans="1:16" x14ac:dyDescent="0.3">
      <c r="A1496" t="s">
        <v>2995</v>
      </c>
      <c r="B1496" t="s">
        <v>2996</v>
      </c>
      <c r="C1496">
        <v>284.95</v>
      </c>
      <c r="D1496">
        <v>284.95</v>
      </c>
      <c r="E1496">
        <v>266</v>
      </c>
      <c r="F1496">
        <v>267.8</v>
      </c>
      <c r="G1496">
        <v>281.55</v>
      </c>
      <c r="H1496">
        <v>6737</v>
      </c>
      <c r="I1496">
        <v>449</v>
      </c>
      <c r="J1496">
        <v>9078507035</v>
      </c>
      <c r="K1496">
        <v>33900325</v>
      </c>
      <c r="L1496">
        <f>(Table1[[#This Row],[CLOSE_PRICE]] - Table1[[#This Row],[PREV_CL_PR]]) / Table1[[#This Row],[PREV_CL_PR]] * 100</f>
        <v>-4.8836796306162311</v>
      </c>
      <c r="M1496">
        <f>Table1[[#This Row],[HIGH_PRICE]]-Table1[[#This Row],[LOW_PRICE]]</f>
        <v>18.949999999999989</v>
      </c>
      <c r="N1496" t="str">
        <f>IF(Table1[[#This Row],[CLOSE_PRICE]]&gt;Table1[[#This Row],[OPEN_PRICE]],"Gain","Loss")</f>
        <v>Loss</v>
      </c>
      <c r="O1496" t="str">
        <f>IF(Table1[[#This Row],[MARKET_CAP]]&gt;200000000000,"Large Cap",
IF(Table1[[#This Row],[MARKET_CAP]]&gt;50000000000,"Mid Cap","Small Cap"))</f>
        <v>Small Cap</v>
      </c>
      <c r="P1496" t="str">
        <f>IF(Table1[[#This Row],[NET_TRDQTY]]&gt;1000000,"High Volume","Low Volume")</f>
        <v>Low Volume</v>
      </c>
    </row>
    <row r="1497" spans="1:16" x14ac:dyDescent="0.3">
      <c r="A1497" t="s">
        <v>2997</v>
      </c>
      <c r="B1497" t="s">
        <v>2998</v>
      </c>
      <c r="C1497">
        <v>18.100000000000001</v>
      </c>
      <c r="D1497">
        <v>18.29</v>
      </c>
      <c r="E1497">
        <v>16.36</v>
      </c>
      <c r="F1497">
        <v>16.850000000000001</v>
      </c>
      <c r="G1497">
        <v>18.100000000000001</v>
      </c>
      <c r="H1497">
        <v>282557</v>
      </c>
      <c r="I1497">
        <v>1710</v>
      </c>
      <c r="J1497">
        <v>4083483257</v>
      </c>
      <c r="K1497">
        <v>242343220</v>
      </c>
      <c r="L1497">
        <f>(Table1[[#This Row],[CLOSE_PRICE]] - Table1[[#This Row],[PREV_CL_PR]]) / Table1[[#This Row],[PREV_CL_PR]] * 100</f>
        <v>-6.9060773480662974</v>
      </c>
      <c r="M1497">
        <f>Table1[[#This Row],[HIGH_PRICE]]-Table1[[#This Row],[LOW_PRICE]]</f>
        <v>1.9299999999999997</v>
      </c>
      <c r="N1497" t="str">
        <f>IF(Table1[[#This Row],[CLOSE_PRICE]]&gt;Table1[[#This Row],[OPEN_PRICE]],"Gain","Loss")</f>
        <v>Loss</v>
      </c>
      <c r="O1497" t="str">
        <f>IF(Table1[[#This Row],[MARKET_CAP]]&gt;200000000000,"Large Cap",
IF(Table1[[#This Row],[MARKET_CAP]]&gt;50000000000,"Mid Cap","Small Cap"))</f>
        <v>Small Cap</v>
      </c>
      <c r="P1497" t="str">
        <f>IF(Table1[[#This Row],[NET_TRDQTY]]&gt;1000000,"High Volume","Low Volume")</f>
        <v>Low Volume</v>
      </c>
    </row>
    <row r="1498" spans="1:16" x14ac:dyDescent="0.3">
      <c r="A1498" t="s">
        <v>2999</v>
      </c>
      <c r="B1498" t="s">
        <v>3000</v>
      </c>
      <c r="C1498">
        <v>236</v>
      </c>
      <c r="D1498">
        <v>238.25</v>
      </c>
      <c r="E1498">
        <v>216.55</v>
      </c>
      <c r="F1498">
        <v>223.5</v>
      </c>
      <c r="G1498">
        <v>238.85</v>
      </c>
      <c r="H1498">
        <v>320165</v>
      </c>
      <c r="I1498">
        <v>7735</v>
      </c>
      <c r="J1498">
        <v>24710401157</v>
      </c>
      <c r="K1498">
        <v>110561079</v>
      </c>
      <c r="L1498">
        <f>(Table1[[#This Row],[CLOSE_PRICE]] - Table1[[#This Row],[PREV_CL_PR]]) / Table1[[#This Row],[PREV_CL_PR]] * 100</f>
        <v>-6.4266275905379917</v>
      </c>
      <c r="M1498">
        <f>Table1[[#This Row],[HIGH_PRICE]]-Table1[[#This Row],[LOW_PRICE]]</f>
        <v>21.699999999999989</v>
      </c>
      <c r="N1498" t="str">
        <f>IF(Table1[[#This Row],[CLOSE_PRICE]]&gt;Table1[[#This Row],[OPEN_PRICE]],"Gain","Loss")</f>
        <v>Loss</v>
      </c>
      <c r="O1498" t="str">
        <f>IF(Table1[[#This Row],[MARKET_CAP]]&gt;200000000000,"Large Cap",
IF(Table1[[#This Row],[MARKET_CAP]]&gt;50000000000,"Mid Cap","Small Cap"))</f>
        <v>Small Cap</v>
      </c>
      <c r="P1498" t="str">
        <f>IF(Table1[[#This Row],[NET_TRDQTY]]&gt;1000000,"High Volume","Low Volume")</f>
        <v>Low Volume</v>
      </c>
    </row>
    <row r="1499" spans="1:16" x14ac:dyDescent="0.3">
      <c r="A1499" t="s">
        <v>3001</v>
      </c>
      <c r="B1499" t="s">
        <v>3002</v>
      </c>
      <c r="C1499">
        <v>37.9</v>
      </c>
      <c r="D1499">
        <v>37.9</v>
      </c>
      <c r="E1499">
        <v>36.01</v>
      </c>
      <c r="F1499">
        <v>37.119999999999997</v>
      </c>
      <c r="G1499">
        <v>37.93</v>
      </c>
      <c r="H1499">
        <v>18877</v>
      </c>
      <c r="I1499">
        <v>236</v>
      </c>
      <c r="J1499">
        <v>495675535.39999998</v>
      </c>
      <c r="K1499">
        <v>13353328</v>
      </c>
      <c r="L1499">
        <f>(Table1[[#This Row],[CLOSE_PRICE]] - Table1[[#This Row],[PREV_CL_PR]]) / Table1[[#This Row],[PREV_CL_PR]] * 100</f>
        <v>-2.1355127867123707</v>
      </c>
      <c r="M1499">
        <f>Table1[[#This Row],[HIGH_PRICE]]-Table1[[#This Row],[LOW_PRICE]]</f>
        <v>1.8900000000000006</v>
      </c>
      <c r="N1499" t="str">
        <f>IF(Table1[[#This Row],[CLOSE_PRICE]]&gt;Table1[[#This Row],[OPEN_PRICE]],"Gain","Loss")</f>
        <v>Loss</v>
      </c>
      <c r="O1499" t="str">
        <f>IF(Table1[[#This Row],[MARKET_CAP]]&gt;200000000000,"Large Cap",
IF(Table1[[#This Row],[MARKET_CAP]]&gt;50000000000,"Mid Cap","Small Cap"))</f>
        <v>Small Cap</v>
      </c>
      <c r="P1499" t="str">
        <f>IF(Table1[[#This Row],[NET_TRDQTY]]&gt;1000000,"High Volume","Low Volume")</f>
        <v>Low Volume</v>
      </c>
    </row>
    <row r="1500" spans="1:16" x14ac:dyDescent="0.3">
      <c r="A1500" t="s">
        <v>3003</v>
      </c>
      <c r="B1500" t="s">
        <v>3004</v>
      </c>
      <c r="C1500">
        <v>12.32</v>
      </c>
      <c r="D1500">
        <v>12.32</v>
      </c>
      <c r="E1500">
        <v>11.08</v>
      </c>
      <c r="F1500">
        <v>11.23</v>
      </c>
      <c r="G1500">
        <v>12.08</v>
      </c>
      <c r="H1500">
        <v>230152</v>
      </c>
      <c r="I1500">
        <v>1526</v>
      </c>
      <c r="J1500">
        <v>1869937250</v>
      </c>
      <c r="K1500">
        <v>166512667</v>
      </c>
      <c r="L1500">
        <f>(Table1[[#This Row],[CLOSE_PRICE]] - Table1[[#This Row],[PREV_CL_PR]]) / Table1[[#This Row],[PREV_CL_PR]] * 100</f>
        <v>-7.0364238410595998</v>
      </c>
      <c r="M1500">
        <f>Table1[[#This Row],[HIGH_PRICE]]-Table1[[#This Row],[LOW_PRICE]]</f>
        <v>1.2400000000000002</v>
      </c>
      <c r="N1500" t="str">
        <f>IF(Table1[[#This Row],[CLOSE_PRICE]]&gt;Table1[[#This Row],[OPEN_PRICE]],"Gain","Loss")</f>
        <v>Loss</v>
      </c>
      <c r="O1500" t="str">
        <f>IF(Table1[[#This Row],[MARKET_CAP]]&gt;200000000000,"Large Cap",
IF(Table1[[#This Row],[MARKET_CAP]]&gt;50000000000,"Mid Cap","Small Cap"))</f>
        <v>Small Cap</v>
      </c>
      <c r="P1500" t="str">
        <f>IF(Table1[[#This Row],[NET_TRDQTY]]&gt;1000000,"High Volume","Low Volume")</f>
        <v>Low Volume</v>
      </c>
    </row>
    <row r="1501" spans="1:16" x14ac:dyDescent="0.3">
      <c r="A1501" t="s">
        <v>3005</v>
      </c>
      <c r="B1501" t="s">
        <v>3006</v>
      </c>
      <c r="C1501">
        <v>2918</v>
      </c>
      <c r="D1501">
        <v>2918</v>
      </c>
      <c r="E1501">
        <v>2830</v>
      </c>
      <c r="F1501">
        <v>2850.6</v>
      </c>
      <c r="G1501">
        <v>2927.3</v>
      </c>
      <c r="H1501">
        <v>88803</v>
      </c>
      <c r="I1501">
        <v>10345</v>
      </c>
      <c r="J1501">
        <v>111000000000</v>
      </c>
      <c r="K1501">
        <v>39062706</v>
      </c>
      <c r="L1501">
        <f>(Table1[[#This Row],[CLOSE_PRICE]] - Table1[[#This Row],[PREV_CL_PR]]) / Table1[[#This Row],[PREV_CL_PR]] * 100</f>
        <v>-2.6201619239572391</v>
      </c>
      <c r="M1501">
        <f>Table1[[#This Row],[HIGH_PRICE]]-Table1[[#This Row],[LOW_PRICE]]</f>
        <v>88</v>
      </c>
      <c r="N1501" t="str">
        <f>IF(Table1[[#This Row],[CLOSE_PRICE]]&gt;Table1[[#This Row],[OPEN_PRICE]],"Gain","Loss")</f>
        <v>Loss</v>
      </c>
      <c r="O1501" t="str">
        <f>IF(Table1[[#This Row],[MARKET_CAP]]&gt;200000000000,"Large Cap",
IF(Table1[[#This Row],[MARKET_CAP]]&gt;50000000000,"Mid Cap","Small Cap"))</f>
        <v>Mid Cap</v>
      </c>
      <c r="P1501" t="str">
        <f>IF(Table1[[#This Row],[NET_TRDQTY]]&gt;1000000,"High Volume","Low Volume")</f>
        <v>Low Volume</v>
      </c>
    </row>
    <row r="1502" spans="1:16" x14ac:dyDescent="0.3">
      <c r="A1502" t="s">
        <v>3007</v>
      </c>
      <c r="B1502" t="s">
        <v>3008</v>
      </c>
      <c r="C1502">
        <v>125.99</v>
      </c>
      <c r="D1502">
        <v>131</v>
      </c>
      <c r="E1502">
        <v>124.11</v>
      </c>
      <c r="F1502">
        <v>129.34</v>
      </c>
      <c r="G1502">
        <v>127.91</v>
      </c>
      <c r="H1502">
        <v>674692</v>
      </c>
      <c r="I1502">
        <v>7919</v>
      </c>
      <c r="J1502">
        <v>7614839729</v>
      </c>
      <c r="K1502">
        <v>58874592</v>
      </c>
      <c r="L1502">
        <f>(Table1[[#This Row],[CLOSE_PRICE]] - Table1[[#This Row],[PREV_CL_PR]]) / Table1[[#This Row],[PREV_CL_PR]] * 100</f>
        <v>1.1179735751700468</v>
      </c>
      <c r="M1502">
        <f>Table1[[#This Row],[HIGH_PRICE]]-Table1[[#This Row],[LOW_PRICE]]</f>
        <v>6.8900000000000006</v>
      </c>
      <c r="N1502" t="str">
        <f>IF(Table1[[#This Row],[CLOSE_PRICE]]&gt;Table1[[#This Row],[OPEN_PRICE]],"Gain","Loss")</f>
        <v>Gain</v>
      </c>
      <c r="O1502" t="str">
        <f>IF(Table1[[#This Row],[MARKET_CAP]]&gt;200000000000,"Large Cap",
IF(Table1[[#This Row],[MARKET_CAP]]&gt;50000000000,"Mid Cap","Small Cap"))</f>
        <v>Small Cap</v>
      </c>
      <c r="P1502" t="str">
        <f>IF(Table1[[#This Row],[NET_TRDQTY]]&gt;1000000,"High Volume","Low Volume")</f>
        <v>Low Volume</v>
      </c>
    </row>
    <row r="1503" spans="1:16" x14ac:dyDescent="0.3">
      <c r="A1503" t="s">
        <v>3009</v>
      </c>
      <c r="B1503" t="s">
        <v>3010</v>
      </c>
      <c r="C1503">
        <v>515</v>
      </c>
      <c r="D1503">
        <v>518.1</v>
      </c>
      <c r="E1503">
        <v>490.1</v>
      </c>
      <c r="F1503">
        <v>493.45</v>
      </c>
      <c r="G1503">
        <v>522.20000000000005</v>
      </c>
      <c r="H1503">
        <v>445592</v>
      </c>
      <c r="I1503">
        <v>14302</v>
      </c>
      <c r="J1503">
        <v>20038359561</v>
      </c>
      <c r="K1503">
        <v>40608693</v>
      </c>
      <c r="L1503">
        <f>(Table1[[#This Row],[CLOSE_PRICE]] - Table1[[#This Row],[PREV_CL_PR]]) / Table1[[#This Row],[PREV_CL_PR]] * 100</f>
        <v>-5.5055534278054497</v>
      </c>
      <c r="M1503">
        <f>Table1[[#This Row],[HIGH_PRICE]]-Table1[[#This Row],[LOW_PRICE]]</f>
        <v>28</v>
      </c>
      <c r="N1503" t="str">
        <f>IF(Table1[[#This Row],[CLOSE_PRICE]]&gt;Table1[[#This Row],[OPEN_PRICE]],"Gain","Loss")</f>
        <v>Loss</v>
      </c>
      <c r="O1503" t="str">
        <f>IF(Table1[[#This Row],[MARKET_CAP]]&gt;200000000000,"Large Cap",
IF(Table1[[#This Row],[MARKET_CAP]]&gt;50000000000,"Mid Cap","Small Cap"))</f>
        <v>Small Cap</v>
      </c>
      <c r="P1503" t="str">
        <f>IF(Table1[[#This Row],[NET_TRDQTY]]&gt;1000000,"High Volume","Low Volume")</f>
        <v>Low Volume</v>
      </c>
    </row>
    <row r="1504" spans="1:16" x14ac:dyDescent="0.3">
      <c r="A1504" t="s">
        <v>3011</v>
      </c>
      <c r="B1504" t="s">
        <v>3012</v>
      </c>
      <c r="C1504">
        <v>43.2</v>
      </c>
      <c r="D1504">
        <v>43.81</v>
      </c>
      <c r="E1504">
        <v>42.65</v>
      </c>
      <c r="F1504">
        <v>42.85</v>
      </c>
      <c r="G1504">
        <v>44.8</v>
      </c>
      <c r="H1504">
        <v>297458</v>
      </c>
      <c r="I1504">
        <v>1552</v>
      </c>
      <c r="J1504">
        <v>6539033537</v>
      </c>
      <c r="K1504">
        <v>152602883</v>
      </c>
      <c r="L1504">
        <f>(Table1[[#This Row],[CLOSE_PRICE]] - Table1[[#This Row],[PREV_CL_PR]]) / Table1[[#This Row],[PREV_CL_PR]] * 100</f>
        <v>-4.3526785714285623</v>
      </c>
      <c r="M1504">
        <f>Table1[[#This Row],[HIGH_PRICE]]-Table1[[#This Row],[LOW_PRICE]]</f>
        <v>1.1600000000000037</v>
      </c>
      <c r="N1504" t="str">
        <f>IF(Table1[[#This Row],[CLOSE_PRICE]]&gt;Table1[[#This Row],[OPEN_PRICE]],"Gain","Loss")</f>
        <v>Loss</v>
      </c>
      <c r="O1504" t="str">
        <f>IF(Table1[[#This Row],[MARKET_CAP]]&gt;200000000000,"Large Cap",
IF(Table1[[#This Row],[MARKET_CAP]]&gt;50000000000,"Mid Cap","Small Cap"))</f>
        <v>Small Cap</v>
      </c>
      <c r="P1504" t="str">
        <f>IF(Table1[[#This Row],[NET_TRDQTY]]&gt;1000000,"High Volume","Low Volume")</f>
        <v>Low Volume</v>
      </c>
    </row>
    <row r="1505" spans="1:16" x14ac:dyDescent="0.3">
      <c r="A1505" t="s">
        <v>3013</v>
      </c>
      <c r="B1505" t="s">
        <v>3014</v>
      </c>
      <c r="C1505">
        <v>125.5</v>
      </c>
      <c r="D1505">
        <v>126.05</v>
      </c>
      <c r="E1505">
        <v>123.51</v>
      </c>
      <c r="F1505">
        <v>125.01</v>
      </c>
      <c r="G1505">
        <v>125.03</v>
      </c>
      <c r="H1505">
        <v>254506</v>
      </c>
      <c r="I1505">
        <v>3902</v>
      </c>
      <c r="J1505">
        <v>62924606066</v>
      </c>
      <c r="K1505">
        <v>503356580</v>
      </c>
      <c r="L1505">
        <f>(Table1[[#This Row],[CLOSE_PRICE]] - Table1[[#This Row],[PREV_CL_PR]]) / Table1[[#This Row],[PREV_CL_PR]] * 100</f>
        <v>-1.5996160921375686E-2</v>
      </c>
      <c r="M1505">
        <f>Table1[[#This Row],[HIGH_PRICE]]-Table1[[#This Row],[LOW_PRICE]]</f>
        <v>2.539999999999992</v>
      </c>
      <c r="N1505" t="str">
        <f>IF(Table1[[#This Row],[CLOSE_PRICE]]&gt;Table1[[#This Row],[OPEN_PRICE]],"Gain","Loss")</f>
        <v>Loss</v>
      </c>
      <c r="O1505" t="str">
        <f>IF(Table1[[#This Row],[MARKET_CAP]]&gt;200000000000,"Large Cap",
IF(Table1[[#This Row],[MARKET_CAP]]&gt;50000000000,"Mid Cap","Small Cap"))</f>
        <v>Mid Cap</v>
      </c>
      <c r="P1505" t="str">
        <f>IF(Table1[[#This Row],[NET_TRDQTY]]&gt;1000000,"High Volume","Low Volume")</f>
        <v>Low Volume</v>
      </c>
    </row>
    <row r="1506" spans="1:16" x14ac:dyDescent="0.3">
      <c r="A1506" t="s">
        <v>3015</v>
      </c>
      <c r="B1506" t="s">
        <v>3016</v>
      </c>
      <c r="C1506">
        <v>2234</v>
      </c>
      <c r="D1506">
        <v>2234</v>
      </c>
      <c r="E1506">
        <v>2150</v>
      </c>
      <c r="F1506">
        <v>2162.1999999999998</v>
      </c>
      <c r="G1506">
        <v>2236.6</v>
      </c>
      <c r="H1506">
        <v>16775</v>
      </c>
      <c r="I1506">
        <v>4743</v>
      </c>
      <c r="J1506">
        <v>89529523496</v>
      </c>
      <c r="K1506">
        <v>41406680</v>
      </c>
      <c r="L1506">
        <f>(Table1[[#This Row],[CLOSE_PRICE]] - Table1[[#This Row],[PREV_CL_PR]]) / Table1[[#This Row],[PREV_CL_PR]] * 100</f>
        <v>-3.3264776893499102</v>
      </c>
      <c r="M1506">
        <f>Table1[[#This Row],[HIGH_PRICE]]-Table1[[#This Row],[LOW_PRICE]]</f>
        <v>84</v>
      </c>
      <c r="N1506" t="str">
        <f>IF(Table1[[#This Row],[CLOSE_PRICE]]&gt;Table1[[#This Row],[OPEN_PRICE]],"Gain","Loss")</f>
        <v>Loss</v>
      </c>
      <c r="O1506" t="str">
        <f>IF(Table1[[#This Row],[MARKET_CAP]]&gt;200000000000,"Large Cap",
IF(Table1[[#This Row],[MARKET_CAP]]&gt;50000000000,"Mid Cap","Small Cap"))</f>
        <v>Mid Cap</v>
      </c>
      <c r="P1506" t="str">
        <f>IF(Table1[[#This Row],[NET_TRDQTY]]&gt;1000000,"High Volume","Low Volume")</f>
        <v>Low Volume</v>
      </c>
    </row>
    <row r="1507" spans="1:16" x14ac:dyDescent="0.3">
      <c r="A1507" t="s">
        <v>3017</v>
      </c>
      <c r="B1507" t="s">
        <v>3018</v>
      </c>
      <c r="C1507">
        <v>12.7</v>
      </c>
      <c r="D1507">
        <v>12.7</v>
      </c>
      <c r="E1507">
        <v>11.5</v>
      </c>
      <c r="F1507">
        <v>11.78</v>
      </c>
      <c r="G1507">
        <v>12.1</v>
      </c>
      <c r="H1507">
        <v>19036</v>
      </c>
      <c r="I1507">
        <v>209</v>
      </c>
      <c r="J1507">
        <v>379928560</v>
      </c>
      <c r="K1507">
        <v>32252000</v>
      </c>
      <c r="L1507">
        <f>(Table1[[#This Row],[CLOSE_PRICE]] - Table1[[#This Row],[PREV_CL_PR]]) / Table1[[#This Row],[PREV_CL_PR]] * 100</f>
        <v>-2.644628099173556</v>
      </c>
      <c r="M1507">
        <f>Table1[[#This Row],[HIGH_PRICE]]-Table1[[#This Row],[LOW_PRICE]]</f>
        <v>1.1999999999999993</v>
      </c>
      <c r="N1507" t="str">
        <f>IF(Table1[[#This Row],[CLOSE_PRICE]]&gt;Table1[[#This Row],[OPEN_PRICE]],"Gain","Loss")</f>
        <v>Loss</v>
      </c>
      <c r="O1507" t="str">
        <f>IF(Table1[[#This Row],[MARKET_CAP]]&gt;200000000000,"Large Cap",
IF(Table1[[#This Row],[MARKET_CAP]]&gt;50000000000,"Mid Cap","Small Cap"))</f>
        <v>Small Cap</v>
      </c>
      <c r="P1507" t="str">
        <f>IF(Table1[[#This Row],[NET_TRDQTY]]&gt;1000000,"High Volume","Low Volume")</f>
        <v>Low Volume</v>
      </c>
    </row>
    <row r="1508" spans="1:16" x14ac:dyDescent="0.3">
      <c r="A1508" t="s">
        <v>3019</v>
      </c>
      <c r="B1508" t="s">
        <v>3020</v>
      </c>
      <c r="C1508">
        <v>22.77</v>
      </c>
      <c r="D1508">
        <v>22.77</v>
      </c>
      <c r="E1508">
        <v>21.11</v>
      </c>
      <c r="F1508">
        <v>21.51</v>
      </c>
      <c r="G1508">
        <v>22.96</v>
      </c>
      <c r="H1508">
        <v>2647311</v>
      </c>
      <c r="I1508">
        <v>9654</v>
      </c>
      <c r="J1508">
        <v>153000000000</v>
      </c>
      <c r="K1508">
        <v>7095585220</v>
      </c>
      <c r="L1508">
        <f>(Table1[[#This Row],[CLOSE_PRICE]] - Table1[[#This Row],[PREV_CL_PR]]) / Table1[[#This Row],[PREV_CL_PR]] * 100</f>
        <v>-6.3153310104529581</v>
      </c>
      <c r="M1508">
        <f>Table1[[#This Row],[HIGH_PRICE]]-Table1[[#This Row],[LOW_PRICE]]</f>
        <v>1.6600000000000001</v>
      </c>
      <c r="N1508" t="str">
        <f>IF(Table1[[#This Row],[CLOSE_PRICE]]&gt;Table1[[#This Row],[OPEN_PRICE]],"Gain","Loss")</f>
        <v>Loss</v>
      </c>
      <c r="O1508" t="str">
        <f>IF(Table1[[#This Row],[MARKET_CAP]]&gt;200000000000,"Large Cap",
IF(Table1[[#This Row],[MARKET_CAP]]&gt;50000000000,"Mid Cap","Small Cap"))</f>
        <v>Mid Cap</v>
      </c>
      <c r="P1508" t="str">
        <f>IF(Table1[[#This Row],[NET_TRDQTY]]&gt;1000000,"High Volume","Low Volume")</f>
        <v>High Volume</v>
      </c>
    </row>
    <row r="1509" spans="1:16" x14ac:dyDescent="0.3">
      <c r="A1509" t="s">
        <v>3021</v>
      </c>
      <c r="B1509" t="s">
        <v>3022</v>
      </c>
      <c r="C1509">
        <v>637.5</v>
      </c>
      <c r="D1509">
        <v>648</v>
      </c>
      <c r="E1509">
        <v>604.04999999999995</v>
      </c>
      <c r="F1509">
        <v>607.79999999999995</v>
      </c>
      <c r="G1509">
        <v>651.20000000000005</v>
      </c>
      <c r="H1509">
        <v>140534</v>
      </c>
      <c r="I1509">
        <v>6097</v>
      </c>
      <c r="J1509">
        <v>24094280570</v>
      </c>
      <c r="K1509">
        <v>39641791</v>
      </c>
      <c r="L1509">
        <f>(Table1[[#This Row],[CLOSE_PRICE]] - Table1[[#This Row],[PREV_CL_PR]]) / Table1[[#This Row],[PREV_CL_PR]] * 100</f>
        <v>-6.6646191646191788</v>
      </c>
      <c r="M1509">
        <f>Table1[[#This Row],[HIGH_PRICE]]-Table1[[#This Row],[LOW_PRICE]]</f>
        <v>43.950000000000045</v>
      </c>
      <c r="N1509" t="str">
        <f>IF(Table1[[#This Row],[CLOSE_PRICE]]&gt;Table1[[#This Row],[OPEN_PRICE]],"Gain","Loss")</f>
        <v>Loss</v>
      </c>
      <c r="O1509" t="str">
        <f>IF(Table1[[#This Row],[MARKET_CAP]]&gt;200000000000,"Large Cap",
IF(Table1[[#This Row],[MARKET_CAP]]&gt;50000000000,"Mid Cap","Small Cap"))</f>
        <v>Small Cap</v>
      </c>
      <c r="P1509" t="str">
        <f>IF(Table1[[#This Row],[NET_TRDQTY]]&gt;1000000,"High Volume","Low Volume")</f>
        <v>Low Volume</v>
      </c>
    </row>
    <row r="1510" spans="1:16" x14ac:dyDescent="0.3">
      <c r="A1510" t="s">
        <v>3023</v>
      </c>
      <c r="B1510" t="s">
        <v>3024</v>
      </c>
      <c r="C1510">
        <v>164</v>
      </c>
      <c r="D1510">
        <v>164.7</v>
      </c>
      <c r="E1510">
        <v>157.85</v>
      </c>
      <c r="F1510">
        <v>159.09</v>
      </c>
      <c r="G1510">
        <v>165.18</v>
      </c>
      <c r="H1510">
        <v>1004111</v>
      </c>
      <c r="I1510">
        <v>13310</v>
      </c>
      <c r="J1510">
        <v>47091963788</v>
      </c>
      <c r="K1510">
        <v>296008321</v>
      </c>
      <c r="L1510">
        <f>(Table1[[#This Row],[CLOSE_PRICE]] - Table1[[#This Row],[PREV_CL_PR]]) / Table1[[#This Row],[PREV_CL_PR]] * 100</f>
        <v>-3.6868870323283711</v>
      </c>
      <c r="M1510">
        <f>Table1[[#This Row],[HIGH_PRICE]]-Table1[[#This Row],[LOW_PRICE]]</f>
        <v>6.8499999999999943</v>
      </c>
      <c r="N1510" t="str">
        <f>IF(Table1[[#This Row],[CLOSE_PRICE]]&gt;Table1[[#This Row],[OPEN_PRICE]],"Gain","Loss")</f>
        <v>Loss</v>
      </c>
      <c r="O1510" t="str">
        <f>IF(Table1[[#This Row],[MARKET_CAP]]&gt;200000000000,"Large Cap",
IF(Table1[[#This Row],[MARKET_CAP]]&gt;50000000000,"Mid Cap","Small Cap"))</f>
        <v>Small Cap</v>
      </c>
      <c r="P1510" t="str">
        <f>IF(Table1[[#This Row],[NET_TRDQTY]]&gt;1000000,"High Volume","Low Volume")</f>
        <v>High Volume</v>
      </c>
    </row>
    <row r="1511" spans="1:16" x14ac:dyDescent="0.3">
      <c r="A1511" t="s">
        <v>3025</v>
      </c>
      <c r="B1511" t="s">
        <v>3026</v>
      </c>
      <c r="C1511">
        <v>17221</v>
      </c>
      <c r="D1511">
        <v>17221</v>
      </c>
      <c r="E1511">
        <v>16556</v>
      </c>
      <c r="F1511">
        <v>16938</v>
      </c>
      <c r="G1511">
        <v>17418</v>
      </c>
      <c r="H1511">
        <v>17663</v>
      </c>
      <c r="I1511">
        <v>6970</v>
      </c>
      <c r="J1511">
        <v>254000000000</v>
      </c>
      <c r="K1511">
        <v>14992549</v>
      </c>
      <c r="L1511">
        <f>(Table1[[#This Row],[CLOSE_PRICE]] - Table1[[#This Row],[PREV_CL_PR]]) / Table1[[#This Row],[PREV_CL_PR]] * 100</f>
        <v>-2.7557698932139165</v>
      </c>
      <c r="M1511">
        <f>Table1[[#This Row],[HIGH_PRICE]]-Table1[[#This Row],[LOW_PRICE]]</f>
        <v>665</v>
      </c>
      <c r="N1511" t="str">
        <f>IF(Table1[[#This Row],[CLOSE_PRICE]]&gt;Table1[[#This Row],[OPEN_PRICE]],"Gain","Loss")</f>
        <v>Loss</v>
      </c>
      <c r="O1511" t="str">
        <f>IF(Table1[[#This Row],[MARKET_CAP]]&gt;200000000000,"Large Cap",
IF(Table1[[#This Row],[MARKET_CAP]]&gt;50000000000,"Mid Cap","Small Cap"))</f>
        <v>Large Cap</v>
      </c>
      <c r="P1511" t="str">
        <f>IF(Table1[[#This Row],[NET_TRDQTY]]&gt;1000000,"High Volume","Low Volume")</f>
        <v>Low Volume</v>
      </c>
    </row>
    <row r="1512" spans="1:16" x14ac:dyDescent="0.3">
      <c r="A1512" t="s">
        <v>3027</v>
      </c>
      <c r="B1512" t="s">
        <v>3028</v>
      </c>
      <c r="C1512">
        <v>38.200000000000003</v>
      </c>
      <c r="D1512">
        <v>38.200000000000003</v>
      </c>
      <c r="E1512">
        <v>36.6</v>
      </c>
      <c r="F1512">
        <v>36.700000000000003</v>
      </c>
      <c r="G1512">
        <v>37.69</v>
      </c>
      <c r="H1512">
        <v>45291</v>
      </c>
      <c r="I1512">
        <v>790</v>
      </c>
      <c r="J1512">
        <v>4858235900</v>
      </c>
      <c r="K1512">
        <v>132377000</v>
      </c>
      <c r="L1512">
        <f>(Table1[[#This Row],[CLOSE_PRICE]] - Table1[[#This Row],[PREV_CL_PR]]) / Table1[[#This Row],[PREV_CL_PR]] * 100</f>
        <v>-2.626691430087543</v>
      </c>
      <c r="M1512">
        <f>Table1[[#This Row],[HIGH_PRICE]]-Table1[[#This Row],[LOW_PRICE]]</f>
        <v>1.6000000000000014</v>
      </c>
      <c r="N1512" t="str">
        <f>IF(Table1[[#This Row],[CLOSE_PRICE]]&gt;Table1[[#This Row],[OPEN_PRICE]],"Gain","Loss")</f>
        <v>Loss</v>
      </c>
      <c r="O1512" t="str">
        <f>IF(Table1[[#This Row],[MARKET_CAP]]&gt;200000000000,"Large Cap",
IF(Table1[[#This Row],[MARKET_CAP]]&gt;50000000000,"Mid Cap","Small Cap"))</f>
        <v>Small Cap</v>
      </c>
      <c r="P1512" t="str">
        <f>IF(Table1[[#This Row],[NET_TRDQTY]]&gt;1000000,"High Volume","Low Volume")</f>
        <v>Low Volume</v>
      </c>
    </row>
    <row r="1513" spans="1:16" x14ac:dyDescent="0.3">
      <c r="A1513" t="s">
        <v>3029</v>
      </c>
      <c r="B1513" t="s">
        <v>3030</v>
      </c>
      <c r="C1513">
        <v>1013.7</v>
      </c>
      <c r="D1513">
        <v>1014.3</v>
      </c>
      <c r="E1513">
        <v>975</v>
      </c>
      <c r="F1513">
        <v>979.5</v>
      </c>
      <c r="G1513">
        <v>1022.3</v>
      </c>
      <c r="H1513">
        <v>3794</v>
      </c>
      <c r="I1513">
        <v>647</v>
      </c>
      <c r="J1513">
        <v>12010810208</v>
      </c>
      <c r="K1513">
        <v>12262185</v>
      </c>
      <c r="L1513">
        <f>(Table1[[#This Row],[CLOSE_PRICE]] - Table1[[#This Row],[PREV_CL_PR]]) / Table1[[#This Row],[PREV_CL_PR]] * 100</f>
        <v>-4.186637973197687</v>
      </c>
      <c r="M1513">
        <f>Table1[[#This Row],[HIGH_PRICE]]-Table1[[#This Row],[LOW_PRICE]]</f>
        <v>39.299999999999955</v>
      </c>
      <c r="N1513" t="str">
        <f>IF(Table1[[#This Row],[CLOSE_PRICE]]&gt;Table1[[#This Row],[OPEN_PRICE]],"Gain","Loss")</f>
        <v>Loss</v>
      </c>
      <c r="O1513" t="str">
        <f>IF(Table1[[#This Row],[MARKET_CAP]]&gt;200000000000,"Large Cap",
IF(Table1[[#This Row],[MARKET_CAP]]&gt;50000000000,"Mid Cap","Small Cap"))</f>
        <v>Small Cap</v>
      </c>
      <c r="P1513" t="str">
        <f>IF(Table1[[#This Row],[NET_TRDQTY]]&gt;1000000,"High Volume","Low Volume")</f>
        <v>Low Volume</v>
      </c>
    </row>
    <row r="1514" spans="1:16" x14ac:dyDescent="0.3">
      <c r="A1514" t="s">
        <v>3031</v>
      </c>
      <c r="B1514" t="s">
        <v>3032</v>
      </c>
      <c r="C1514">
        <v>175.21</v>
      </c>
      <c r="D1514">
        <v>176.44</v>
      </c>
      <c r="E1514">
        <v>164.5</v>
      </c>
      <c r="F1514">
        <v>167.17</v>
      </c>
      <c r="G1514">
        <v>180.04</v>
      </c>
      <c r="H1514">
        <v>362214</v>
      </c>
      <c r="I1514">
        <v>6453</v>
      </c>
      <c r="J1514">
        <v>39644313009</v>
      </c>
      <c r="K1514">
        <v>237149686</v>
      </c>
      <c r="L1514">
        <f>(Table1[[#This Row],[CLOSE_PRICE]] - Table1[[#This Row],[PREV_CL_PR]]) / Table1[[#This Row],[PREV_CL_PR]] * 100</f>
        <v>-7.1484114641190883</v>
      </c>
      <c r="M1514">
        <f>Table1[[#This Row],[HIGH_PRICE]]-Table1[[#This Row],[LOW_PRICE]]</f>
        <v>11.939999999999998</v>
      </c>
      <c r="N1514" t="str">
        <f>IF(Table1[[#This Row],[CLOSE_PRICE]]&gt;Table1[[#This Row],[OPEN_PRICE]],"Gain","Loss")</f>
        <v>Loss</v>
      </c>
      <c r="O1514" t="str">
        <f>IF(Table1[[#This Row],[MARKET_CAP]]&gt;200000000000,"Large Cap",
IF(Table1[[#This Row],[MARKET_CAP]]&gt;50000000000,"Mid Cap","Small Cap"))</f>
        <v>Small Cap</v>
      </c>
      <c r="P1514" t="str">
        <f>IF(Table1[[#This Row],[NET_TRDQTY]]&gt;1000000,"High Volume","Low Volume")</f>
        <v>Low Volume</v>
      </c>
    </row>
    <row r="1515" spans="1:16" x14ac:dyDescent="0.3">
      <c r="A1515" t="s">
        <v>3033</v>
      </c>
      <c r="B1515" t="s">
        <v>3034</v>
      </c>
      <c r="C1515">
        <v>25.73</v>
      </c>
      <c r="D1515">
        <v>26.25</v>
      </c>
      <c r="E1515">
        <v>24.26</v>
      </c>
      <c r="F1515">
        <v>24.54</v>
      </c>
      <c r="G1515">
        <v>25.1</v>
      </c>
      <c r="H1515">
        <v>261250</v>
      </c>
      <c r="I1515">
        <v>918</v>
      </c>
      <c r="J1515">
        <v>6390306332</v>
      </c>
      <c r="K1515">
        <v>260403681</v>
      </c>
      <c r="L1515">
        <f>(Table1[[#This Row],[CLOSE_PRICE]] - Table1[[#This Row],[PREV_CL_PR]]) / Table1[[#This Row],[PREV_CL_PR]] * 100</f>
        <v>-2.2310756972111641</v>
      </c>
      <c r="M1515">
        <f>Table1[[#This Row],[HIGH_PRICE]]-Table1[[#This Row],[LOW_PRICE]]</f>
        <v>1.9899999999999984</v>
      </c>
      <c r="N1515" t="str">
        <f>IF(Table1[[#This Row],[CLOSE_PRICE]]&gt;Table1[[#This Row],[OPEN_PRICE]],"Gain","Loss")</f>
        <v>Loss</v>
      </c>
      <c r="O1515" t="str">
        <f>IF(Table1[[#This Row],[MARKET_CAP]]&gt;200000000000,"Large Cap",
IF(Table1[[#This Row],[MARKET_CAP]]&gt;50000000000,"Mid Cap","Small Cap"))</f>
        <v>Small Cap</v>
      </c>
      <c r="P1515" t="str">
        <f>IF(Table1[[#This Row],[NET_TRDQTY]]&gt;1000000,"High Volume","Low Volume")</f>
        <v>Low Volume</v>
      </c>
    </row>
    <row r="1516" spans="1:16" x14ac:dyDescent="0.3">
      <c r="A1516" t="s">
        <v>3035</v>
      </c>
      <c r="B1516" t="s">
        <v>3036</v>
      </c>
      <c r="C1516">
        <v>986</v>
      </c>
      <c r="D1516">
        <v>993</v>
      </c>
      <c r="E1516">
        <v>930.4</v>
      </c>
      <c r="F1516">
        <v>941.9</v>
      </c>
      <c r="G1516">
        <v>986</v>
      </c>
      <c r="H1516">
        <v>586602</v>
      </c>
      <c r="I1516">
        <v>31233</v>
      </c>
      <c r="J1516">
        <v>92494544208</v>
      </c>
      <c r="K1516">
        <v>98199962</v>
      </c>
      <c r="L1516">
        <f>(Table1[[#This Row],[CLOSE_PRICE]] - Table1[[#This Row],[PREV_CL_PR]]) / Table1[[#This Row],[PREV_CL_PR]] * 100</f>
        <v>-4.472616632860043</v>
      </c>
      <c r="M1516">
        <f>Table1[[#This Row],[HIGH_PRICE]]-Table1[[#This Row],[LOW_PRICE]]</f>
        <v>62.600000000000023</v>
      </c>
      <c r="N1516" t="str">
        <f>IF(Table1[[#This Row],[CLOSE_PRICE]]&gt;Table1[[#This Row],[OPEN_PRICE]],"Gain","Loss")</f>
        <v>Loss</v>
      </c>
      <c r="O1516" t="str">
        <f>IF(Table1[[#This Row],[MARKET_CAP]]&gt;200000000000,"Large Cap",
IF(Table1[[#This Row],[MARKET_CAP]]&gt;50000000000,"Mid Cap","Small Cap"))</f>
        <v>Mid Cap</v>
      </c>
      <c r="P1516" t="str">
        <f>IF(Table1[[#This Row],[NET_TRDQTY]]&gt;1000000,"High Volume","Low Volume")</f>
        <v>Low Volume</v>
      </c>
    </row>
    <row r="1517" spans="1:16" x14ac:dyDescent="0.3">
      <c r="A1517" t="s">
        <v>3037</v>
      </c>
      <c r="B1517" t="s">
        <v>3038</v>
      </c>
      <c r="C1517">
        <v>85.47</v>
      </c>
      <c r="D1517">
        <v>88.91</v>
      </c>
      <c r="E1517">
        <v>83.64</v>
      </c>
      <c r="F1517">
        <v>87.41</v>
      </c>
      <c r="G1517">
        <v>85.47</v>
      </c>
      <c r="H1517">
        <v>78264</v>
      </c>
      <c r="I1517">
        <v>1602</v>
      </c>
      <c r="J1517">
        <v>6223434487</v>
      </c>
      <c r="K1517">
        <v>71198198</v>
      </c>
      <c r="L1517">
        <f>(Table1[[#This Row],[CLOSE_PRICE]] - Table1[[#This Row],[PREV_CL_PR]]) / Table1[[#This Row],[PREV_CL_PR]] * 100</f>
        <v>2.2698022698022671</v>
      </c>
      <c r="M1517">
        <f>Table1[[#This Row],[HIGH_PRICE]]-Table1[[#This Row],[LOW_PRICE]]</f>
        <v>5.269999999999996</v>
      </c>
      <c r="N1517" t="str">
        <f>IF(Table1[[#This Row],[CLOSE_PRICE]]&gt;Table1[[#This Row],[OPEN_PRICE]],"Gain","Loss")</f>
        <v>Gain</v>
      </c>
      <c r="O1517" t="str">
        <f>IF(Table1[[#This Row],[MARKET_CAP]]&gt;200000000000,"Large Cap",
IF(Table1[[#This Row],[MARKET_CAP]]&gt;50000000000,"Mid Cap","Small Cap"))</f>
        <v>Small Cap</v>
      </c>
      <c r="P1517" t="str">
        <f>IF(Table1[[#This Row],[NET_TRDQTY]]&gt;1000000,"High Volume","Low Volume")</f>
        <v>Low Volume</v>
      </c>
    </row>
    <row r="1518" spans="1:16" x14ac:dyDescent="0.3">
      <c r="A1518" t="s">
        <v>3039</v>
      </c>
      <c r="B1518" t="s">
        <v>3040</v>
      </c>
      <c r="C1518">
        <v>87.56</v>
      </c>
      <c r="D1518">
        <v>88.76</v>
      </c>
      <c r="E1518">
        <v>84.59</v>
      </c>
      <c r="F1518">
        <v>86.78</v>
      </c>
      <c r="G1518">
        <v>89.95</v>
      </c>
      <c r="H1518">
        <v>9837397</v>
      </c>
      <c r="I1518">
        <v>50260</v>
      </c>
      <c r="J1518">
        <v>248000000000</v>
      </c>
      <c r="K1518">
        <v>2859692500</v>
      </c>
      <c r="L1518">
        <f>(Table1[[#This Row],[CLOSE_PRICE]] - Table1[[#This Row],[PREV_CL_PR]]) / Table1[[#This Row],[PREV_CL_PR]] * 100</f>
        <v>-3.5241801000555886</v>
      </c>
      <c r="M1518">
        <f>Table1[[#This Row],[HIGH_PRICE]]-Table1[[#This Row],[LOW_PRICE]]</f>
        <v>4.1700000000000017</v>
      </c>
      <c r="N1518" t="str">
        <f>IF(Table1[[#This Row],[CLOSE_PRICE]]&gt;Table1[[#This Row],[OPEN_PRICE]],"Gain","Loss")</f>
        <v>Loss</v>
      </c>
      <c r="O1518" t="str">
        <f>IF(Table1[[#This Row],[MARKET_CAP]]&gt;200000000000,"Large Cap",
IF(Table1[[#This Row],[MARKET_CAP]]&gt;50000000000,"Mid Cap","Small Cap"))</f>
        <v>Large Cap</v>
      </c>
      <c r="P1518" t="str">
        <f>IF(Table1[[#This Row],[NET_TRDQTY]]&gt;1000000,"High Volume","Low Volume")</f>
        <v>High Volume</v>
      </c>
    </row>
    <row r="1519" spans="1:16" x14ac:dyDescent="0.3">
      <c r="A1519" t="s">
        <v>3041</v>
      </c>
      <c r="B1519" t="s">
        <v>3042</v>
      </c>
      <c r="C1519">
        <v>146.88999999999999</v>
      </c>
      <c r="D1519">
        <v>146.88999999999999</v>
      </c>
      <c r="E1519">
        <v>138.19</v>
      </c>
      <c r="F1519">
        <v>139.41999999999999</v>
      </c>
      <c r="G1519">
        <v>147.19999999999999</v>
      </c>
      <c r="H1519">
        <v>46562</v>
      </c>
      <c r="I1519">
        <v>1308</v>
      </c>
      <c r="J1519">
        <v>5128536816</v>
      </c>
      <c r="K1519">
        <v>36784800</v>
      </c>
      <c r="L1519">
        <f>(Table1[[#This Row],[CLOSE_PRICE]] - Table1[[#This Row],[PREV_CL_PR]]) / Table1[[#This Row],[PREV_CL_PR]] * 100</f>
        <v>-5.2853260869565233</v>
      </c>
      <c r="M1519">
        <f>Table1[[#This Row],[HIGH_PRICE]]-Table1[[#This Row],[LOW_PRICE]]</f>
        <v>8.6999999999999886</v>
      </c>
      <c r="N1519" t="str">
        <f>IF(Table1[[#This Row],[CLOSE_PRICE]]&gt;Table1[[#This Row],[OPEN_PRICE]],"Gain","Loss")</f>
        <v>Loss</v>
      </c>
      <c r="O1519" t="str">
        <f>IF(Table1[[#This Row],[MARKET_CAP]]&gt;200000000000,"Large Cap",
IF(Table1[[#This Row],[MARKET_CAP]]&gt;50000000000,"Mid Cap","Small Cap"))</f>
        <v>Small Cap</v>
      </c>
      <c r="P1519" t="str">
        <f>IF(Table1[[#This Row],[NET_TRDQTY]]&gt;1000000,"High Volume","Low Volume")</f>
        <v>Low Volume</v>
      </c>
    </row>
    <row r="1520" spans="1:16" x14ac:dyDescent="0.3">
      <c r="A1520" t="s">
        <v>3043</v>
      </c>
      <c r="B1520" t="s">
        <v>3044</v>
      </c>
      <c r="C1520">
        <v>820</v>
      </c>
      <c r="D1520">
        <v>827.35</v>
      </c>
      <c r="E1520">
        <v>781</v>
      </c>
      <c r="F1520">
        <v>796.75</v>
      </c>
      <c r="G1520">
        <v>834.55</v>
      </c>
      <c r="H1520">
        <v>848065</v>
      </c>
      <c r="I1520">
        <v>33595</v>
      </c>
      <c r="J1520">
        <v>61703586675</v>
      </c>
      <c r="K1520">
        <v>77444100</v>
      </c>
      <c r="L1520">
        <f>(Table1[[#This Row],[CLOSE_PRICE]] - Table1[[#This Row],[PREV_CL_PR]]) / Table1[[#This Row],[PREV_CL_PR]] * 100</f>
        <v>-4.5293870948415265</v>
      </c>
      <c r="M1520">
        <f>Table1[[#This Row],[HIGH_PRICE]]-Table1[[#This Row],[LOW_PRICE]]</f>
        <v>46.350000000000023</v>
      </c>
      <c r="N1520" t="str">
        <f>IF(Table1[[#This Row],[CLOSE_PRICE]]&gt;Table1[[#This Row],[OPEN_PRICE]],"Gain","Loss")</f>
        <v>Loss</v>
      </c>
      <c r="O1520" t="str">
        <f>IF(Table1[[#This Row],[MARKET_CAP]]&gt;200000000000,"Large Cap",
IF(Table1[[#This Row],[MARKET_CAP]]&gt;50000000000,"Mid Cap","Small Cap"))</f>
        <v>Mid Cap</v>
      </c>
      <c r="P1520" t="str">
        <f>IF(Table1[[#This Row],[NET_TRDQTY]]&gt;1000000,"High Volume","Low Volume")</f>
        <v>Low Volume</v>
      </c>
    </row>
    <row r="1521" spans="1:16" x14ac:dyDescent="0.3">
      <c r="A1521" t="s">
        <v>3045</v>
      </c>
      <c r="B1521" t="s">
        <v>3046</v>
      </c>
      <c r="C1521">
        <v>300.05</v>
      </c>
      <c r="D1521">
        <v>300.05</v>
      </c>
      <c r="E1521">
        <v>283.5</v>
      </c>
      <c r="F1521">
        <v>285.75</v>
      </c>
      <c r="G1521">
        <v>300.05</v>
      </c>
      <c r="H1521">
        <v>267399</v>
      </c>
      <c r="I1521">
        <v>7374</v>
      </c>
      <c r="J1521">
        <v>11430000000</v>
      </c>
      <c r="K1521">
        <v>40000000</v>
      </c>
      <c r="L1521">
        <f>(Table1[[#This Row],[CLOSE_PRICE]] - Table1[[#This Row],[PREV_CL_PR]]) / Table1[[#This Row],[PREV_CL_PR]] * 100</f>
        <v>-4.765872354607569</v>
      </c>
      <c r="M1521">
        <f>Table1[[#This Row],[HIGH_PRICE]]-Table1[[#This Row],[LOW_PRICE]]</f>
        <v>16.550000000000011</v>
      </c>
      <c r="N1521" t="str">
        <f>IF(Table1[[#This Row],[CLOSE_PRICE]]&gt;Table1[[#This Row],[OPEN_PRICE]],"Gain","Loss")</f>
        <v>Loss</v>
      </c>
      <c r="O1521" t="str">
        <f>IF(Table1[[#This Row],[MARKET_CAP]]&gt;200000000000,"Large Cap",
IF(Table1[[#This Row],[MARKET_CAP]]&gt;50000000000,"Mid Cap","Small Cap"))</f>
        <v>Small Cap</v>
      </c>
      <c r="P1521" t="str">
        <f>IF(Table1[[#This Row],[NET_TRDQTY]]&gt;1000000,"High Volume","Low Volume")</f>
        <v>Low Volume</v>
      </c>
    </row>
    <row r="1522" spans="1:16" x14ac:dyDescent="0.3">
      <c r="A1522" t="s">
        <v>3047</v>
      </c>
      <c r="B1522" t="s">
        <v>3048</v>
      </c>
      <c r="C1522">
        <v>174.53</v>
      </c>
      <c r="D1522">
        <v>175</v>
      </c>
      <c r="E1522">
        <v>167.88</v>
      </c>
      <c r="F1522">
        <v>169.87</v>
      </c>
      <c r="G1522">
        <v>177.73</v>
      </c>
      <c r="H1522">
        <v>321857</v>
      </c>
      <c r="I1522">
        <v>6073</v>
      </c>
      <c r="J1522">
        <v>25345060780</v>
      </c>
      <c r="K1522">
        <v>149202689</v>
      </c>
      <c r="L1522">
        <f>(Table1[[#This Row],[CLOSE_PRICE]] - Table1[[#This Row],[PREV_CL_PR]]) / Table1[[#This Row],[PREV_CL_PR]] * 100</f>
        <v>-4.4224385303550244</v>
      </c>
      <c r="M1522">
        <f>Table1[[#This Row],[HIGH_PRICE]]-Table1[[#This Row],[LOW_PRICE]]</f>
        <v>7.1200000000000045</v>
      </c>
      <c r="N1522" t="str">
        <f>IF(Table1[[#This Row],[CLOSE_PRICE]]&gt;Table1[[#This Row],[OPEN_PRICE]],"Gain","Loss")</f>
        <v>Loss</v>
      </c>
      <c r="O1522" t="str">
        <f>IF(Table1[[#This Row],[MARKET_CAP]]&gt;200000000000,"Large Cap",
IF(Table1[[#This Row],[MARKET_CAP]]&gt;50000000000,"Mid Cap","Small Cap"))</f>
        <v>Small Cap</v>
      </c>
      <c r="P1522" t="str">
        <f>IF(Table1[[#This Row],[NET_TRDQTY]]&gt;1000000,"High Volume","Low Volume")</f>
        <v>Low Volume</v>
      </c>
    </row>
    <row r="1523" spans="1:16" x14ac:dyDescent="0.3">
      <c r="A1523" t="s">
        <v>3049</v>
      </c>
      <c r="B1523" t="s">
        <v>3050</v>
      </c>
      <c r="C1523">
        <v>143.88999999999999</v>
      </c>
      <c r="D1523">
        <v>143.88999999999999</v>
      </c>
      <c r="E1523">
        <v>135</v>
      </c>
      <c r="F1523">
        <v>135.97</v>
      </c>
      <c r="G1523">
        <v>144.76</v>
      </c>
      <c r="H1523">
        <v>191274</v>
      </c>
      <c r="I1523">
        <v>3960</v>
      </c>
      <c r="J1523">
        <v>7369515533</v>
      </c>
      <c r="K1523">
        <v>54199570</v>
      </c>
      <c r="L1523">
        <f>(Table1[[#This Row],[CLOSE_PRICE]] - Table1[[#This Row],[PREV_CL_PR]]) / Table1[[#This Row],[PREV_CL_PR]] * 100</f>
        <v>-6.0721193699917055</v>
      </c>
      <c r="M1523">
        <f>Table1[[#This Row],[HIGH_PRICE]]-Table1[[#This Row],[LOW_PRICE]]</f>
        <v>8.8899999999999864</v>
      </c>
      <c r="N1523" t="str">
        <f>IF(Table1[[#This Row],[CLOSE_PRICE]]&gt;Table1[[#This Row],[OPEN_PRICE]],"Gain","Loss")</f>
        <v>Loss</v>
      </c>
      <c r="O1523" t="str">
        <f>IF(Table1[[#This Row],[MARKET_CAP]]&gt;200000000000,"Large Cap",
IF(Table1[[#This Row],[MARKET_CAP]]&gt;50000000000,"Mid Cap","Small Cap"))</f>
        <v>Small Cap</v>
      </c>
      <c r="P1523" t="str">
        <f>IF(Table1[[#This Row],[NET_TRDQTY]]&gt;1000000,"High Volume","Low Volume")</f>
        <v>Low Volume</v>
      </c>
    </row>
    <row r="1524" spans="1:16" x14ac:dyDescent="0.3">
      <c r="A1524" t="s">
        <v>3051</v>
      </c>
      <c r="B1524" t="s">
        <v>3052</v>
      </c>
      <c r="C1524">
        <v>106</v>
      </c>
      <c r="D1524">
        <v>106</v>
      </c>
      <c r="E1524">
        <v>96.01</v>
      </c>
      <c r="F1524">
        <v>97.79</v>
      </c>
      <c r="G1524">
        <v>102.58</v>
      </c>
      <c r="H1524">
        <v>32849</v>
      </c>
      <c r="I1524">
        <v>311</v>
      </c>
      <c r="J1524">
        <v>1687581588</v>
      </c>
      <c r="K1524">
        <v>17257200</v>
      </c>
      <c r="L1524">
        <f>(Table1[[#This Row],[CLOSE_PRICE]] - Table1[[#This Row],[PREV_CL_PR]]) / Table1[[#This Row],[PREV_CL_PR]] * 100</f>
        <v>-4.6695262234353603</v>
      </c>
      <c r="M1524">
        <f>Table1[[#This Row],[HIGH_PRICE]]-Table1[[#This Row],[LOW_PRICE]]</f>
        <v>9.9899999999999949</v>
      </c>
      <c r="N1524" t="str">
        <f>IF(Table1[[#This Row],[CLOSE_PRICE]]&gt;Table1[[#This Row],[OPEN_PRICE]],"Gain","Loss")</f>
        <v>Loss</v>
      </c>
      <c r="O1524" t="str">
        <f>IF(Table1[[#This Row],[MARKET_CAP]]&gt;200000000000,"Large Cap",
IF(Table1[[#This Row],[MARKET_CAP]]&gt;50000000000,"Mid Cap","Small Cap"))</f>
        <v>Small Cap</v>
      </c>
      <c r="P1524" t="str">
        <f>IF(Table1[[#This Row],[NET_TRDQTY]]&gt;1000000,"High Volume","Low Volume")</f>
        <v>Low Volume</v>
      </c>
    </row>
    <row r="1525" spans="1:16" x14ac:dyDescent="0.3">
      <c r="A1525" t="s">
        <v>3053</v>
      </c>
      <c r="B1525" t="s">
        <v>3054</v>
      </c>
      <c r="C1525">
        <v>1220.2</v>
      </c>
      <c r="D1525">
        <v>1224.3</v>
      </c>
      <c r="E1525">
        <v>1144</v>
      </c>
      <c r="F1525">
        <v>1177.2</v>
      </c>
      <c r="G1525">
        <v>1250.2</v>
      </c>
      <c r="H1525">
        <v>45680</v>
      </c>
      <c r="I1525">
        <v>4919</v>
      </c>
      <c r="J1525">
        <v>13876927776</v>
      </c>
      <c r="K1525">
        <v>11788080</v>
      </c>
      <c r="L1525">
        <f>(Table1[[#This Row],[CLOSE_PRICE]] - Table1[[#This Row],[PREV_CL_PR]]) / Table1[[#This Row],[PREV_CL_PR]] * 100</f>
        <v>-5.8390657494800831</v>
      </c>
      <c r="M1525">
        <f>Table1[[#This Row],[HIGH_PRICE]]-Table1[[#This Row],[LOW_PRICE]]</f>
        <v>80.299999999999955</v>
      </c>
      <c r="N1525" t="str">
        <f>IF(Table1[[#This Row],[CLOSE_PRICE]]&gt;Table1[[#This Row],[OPEN_PRICE]],"Gain","Loss")</f>
        <v>Loss</v>
      </c>
      <c r="O1525" t="str">
        <f>IF(Table1[[#This Row],[MARKET_CAP]]&gt;200000000000,"Large Cap",
IF(Table1[[#This Row],[MARKET_CAP]]&gt;50000000000,"Mid Cap","Small Cap"))</f>
        <v>Small Cap</v>
      </c>
      <c r="P1525" t="str">
        <f>IF(Table1[[#This Row],[NET_TRDQTY]]&gt;1000000,"High Volume","Low Volume")</f>
        <v>Low Volume</v>
      </c>
    </row>
    <row r="1526" spans="1:16" x14ac:dyDescent="0.3">
      <c r="A1526" t="s">
        <v>3055</v>
      </c>
      <c r="B1526" t="s">
        <v>3056</v>
      </c>
      <c r="C1526">
        <v>2.84</v>
      </c>
      <c r="D1526">
        <v>3</v>
      </c>
      <c r="E1526">
        <v>2.59</v>
      </c>
      <c r="F1526">
        <v>2.89</v>
      </c>
      <c r="G1526">
        <v>2.9</v>
      </c>
      <c r="H1526">
        <v>79650</v>
      </c>
      <c r="I1526">
        <v>187</v>
      </c>
      <c r="J1526">
        <v>156526850.59999999</v>
      </c>
      <c r="K1526">
        <v>54161540</v>
      </c>
      <c r="L1526">
        <f>(Table1[[#This Row],[CLOSE_PRICE]] - Table1[[#This Row],[PREV_CL_PR]]) / Table1[[#This Row],[PREV_CL_PR]] * 100</f>
        <v>-0.34482758620688919</v>
      </c>
      <c r="M1526">
        <f>Table1[[#This Row],[HIGH_PRICE]]-Table1[[#This Row],[LOW_PRICE]]</f>
        <v>0.41000000000000014</v>
      </c>
      <c r="N1526" t="str">
        <f>IF(Table1[[#This Row],[CLOSE_PRICE]]&gt;Table1[[#This Row],[OPEN_PRICE]],"Gain","Loss")</f>
        <v>Gain</v>
      </c>
      <c r="O1526" t="str">
        <f>IF(Table1[[#This Row],[MARKET_CAP]]&gt;200000000000,"Large Cap",
IF(Table1[[#This Row],[MARKET_CAP]]&gt;50000000000,"Mid Cap","Small Cap"))</f>
        <v>Small Cap</v>
      </c>
      <c r="P1526" t="str">
        <f>IF(Table1[[#This Row],[NET_TRDQTY]]&gt;1000000,"High Volume","Low Volume")</f>
        <v>Low Volume</v>
      </c>
    </row>
    <row r="1527" spans="1:16" x14ac:dyDescent="0.3">
      <c r="A1527" t="s">
        <v>3057</v>
      </c>
      <c r="B1527" t="s">
        <v>3058</v>
      </c>
      <c r="C1527">
        <v>57.46</v>
      </c>
      <c r="D1527">
        <v>57.47</v>
      </c>
      <c r="E1527">
        <v>54.9</v>
      </c>
      <c r="F1527">
        <v>55.35</v>
      </c>
      <c r="G1527">
        <v>57.75</v>
      </c>
      <c r="H1527">
        <v>192815</v>
      </c>
      <c r="I1527">
        <v>3472</v>
      </c>
      <c r="J1527">
        <v>6531300000</v>
      </c>
      <c r="K1527">
        <v>118000000</v>
      </c>
      <c r="L1527">
        <f>(Table1[[#This Row],[CLOSE_PRICE]] - Table1[[#This Row],[PREV_CL_PR]]) / Table1[[#This Row],[PREV_CL_PR]] * 100</f>
        <v>-4.1558441558441528</v>
      </c>
      <c r="M1527">
        <f>Table1[[#This Row],[HIGH_PRICE]]-Table1[[#This Row],[LOW_PRICE]]</f>
        <v>2.5700000000000003</v>
      </c>
      <c r="N1527" t="str">
        <f>IF(Table1[[#This Row],[CLOSE_PRICE]]&gt;Table1[[#This Row],[OPEN_PRICE]],"Gain","Loss")</f>
        <v>Loss</v>
      </c>
      <c r="O1527" t="str">
        <f>IF(Table1[[#This Row],[MARKET_CAP]]&gt;200000000000,"Large Cap",
IF(Table1[[#This Row],[MARKET_CAP]]&gt;50000000000,"Mid Cap","Small Cap"))</f>
        <v>Small Cap</v>
      </c>
      <c r="P1527" t="str">
        <f>IF(Table1[[#This Row],[NET_TRDQTY]]&gt;1000000,"High Volume","Low Volume")</f>
        <v>Low Volume</v>
      </c>
    </row>
    <row r="1528" spans="1:16" x14ac:dyDescent="0.3">
      <c r="A1528" t="s">
        <v>3059</v>
      </c>
      <c r="B1528" t="s">
        <v>3060</v>
      </c>
      <c r="C1528">
        <v>34.619999999999997</v>
      </c>
      <c r="D1528">
        <v>35.369999999999997</v>
      </c>
      <c r="E1528">
        <v>34</v>
      </c>
      <c r="F1528">
        <v>34.25</v>
      </c>
      <c r="G1528">
        <v>35.76</v>
      </c>
      <c r="H1528">
        <v>294096</v>
      </c>
      <c r="I1528">
        <v>1605</v>
      </c>
      <c r="J1528">
        <v>3654745781</v>
      </c>
      <c r="K1528">
        <v>106707906</v>
      </c>
      <c r="L1528">
        <f>(Table1[[#This Row],[CLOSE_PRICE]] - Table1[[#This Row],[PREV_CL_PR]]) / Table1[[#This Row],[PREV_CL_PR]] * 100</f>
        <v>-4.2225950782997703</v>
      </c>
      <c r="M1528">
        <f>Table1[[#This Row],[HIGH_PRICE]]-Table1[[#This Row],[LOW_PRICE]]</f>
        <v>1.3699999999999974</v>
      </c>
      <c r="N1528" t="str">
        <f>IF(Table1[[#This Row],[CLOSE_PRICE]]&gt;Table1[[#This Row],[OPEN_PRICE]],"Gain","Loss")</f>
        <v>Loss</v>
      </c>
      <c r="O1528" t="str">
        <f>IF(Table1[[#This Row],[MARKET_CAP]]&gt;200000000000,"Large Cap",
IF(Table1[[#This Row],[MARKET_CAP]]&gt;50000000000,"Mid Cap","Small Cap"))</f>
        <v>Small Cap</v>
      </c>
      <c r="P1528" t="str">
        <f>IF(Table1[[#This Row],[NET_TRDQTY]]&gt;1000000,"High Volume","Low Volume")</f>
        <v>Low Volume</v>
      </c>
    </row>
    <row r="1529" spans="1:16" x14ac:dyDescent="0.3">
      <c r="A1529" t="s">
        <v>3061</v>
      </c>
      <c r="B1529" t="s">
        <v>3062</v>
      </c>
      <c r="C1529">
        <v>2650</v>
      </c>
      <c r="D1529">
        <v>2650.1</v>
      </c>
      <c r="E1529">
        <v>2552.4</v>
      </c>
      <c r="F1529">
        <v>2606.6</v>
      </c>
      <c r="G1529">
        <v>2660.5</v>
      </c>
      <c r="H1529">
        <v>399468</v>
      </c>
      <c r="I1529">
        <v>49326</v>
      </c>
      <c r="J1529">
        <v>349000000000</v>
      </c>
      <c r="K1529">
        <v>133893489</v>
      </c>
      <c r="L1529">
        <f>(Table1[[#This Row],[CLOSE_PRICE]] - Table1[[#This Row],[PREV_CL_PR]]) / Table1[[#This Row],[PREV_CL_PR]] * 100</f>
        <v>-2.0259349746288327</v>
      </c>
      <c r="M1529">
        <f>Table1[[#This Row],[HIGH_PRICE]]-Table1[[#This Row],[LOW_PRICE]]</f>
        <v>97.699999999999818</v>
      </c>
      <c r="N1529" t="str">
        <f>IF(Table1[[#This Row],[CLOSE_PRICE]]&gt;Table1[[#This Row],[OPEN_PRICE]],"Gain","Loss")</f>
        <v>Loss</v>
      </c>
      <c r="O1529" t="str">
        <f>IF(Table1[[#This Row],[MARKET_CAP]]&gt;200000000000,"Large Cap",
IF(Table1[[#This Row],[MARKET_CAP]]&gt;50000000000,"Mid Cap","Small Cap"))</f>
        <v>Large Cap</v>
      </c>
      <c r="P1529" t="str">
        <f>IF(Table1[[#This Row],[NET_TRDQTY]]&gt;1000000,"High Volume","Low Volume")</f>
        <v>Low Volume</v>
      </c>
    </row>
    <row r="1530" spans="1:16" x14ac:dyDescent="0.3">
      <c r="A1530" t="s">
        <v>3063</v>
      </c>
      <c r="B1530" t="s">
        <v>3064</v>
      </c>
      <c r="C1530">
        <v>5.24</v>
      </c>
      <c r="D1530">
        <v>5.24</v>
      </c>
      <c r="E1530">
        <v>4.87</v>
      </c>
      <c r="F1530">
        <v>4.92</v>
      </c>
      <c r="G1530">
        <v>5.26</v>
      </c>
      <c r="H1530">
        <v>711189</v>
      </c>
      <c r="I1530">
        <v>631</v>
      </c>
      <c r="J1530">
        <v>1700773275</v>
      </c>
      <c r="K1530">
        <v>345685625</v>
      </c>
      <c r="L1530">
        <f>(Table1[[#This Row],[CLOSE_PRICE]] - Table1[[#This Row],[PREV_CL_PR]]) / Table1[[#This Row],[PREV_CL_PR]] * 100</f>
        <v>-6.4638783269961948</v>
      </c>
      <c r="M1530">
        <f>Table1[[#This Row],[HIGH_PRICE]]-Table1[[#This Row],[LOW_PRICE]]</f>
        <v>0.37000000000000011</v>
      </c>
      <c r="N1530" t="str">
        <f>IF(Table1[[#This Row],[CLOSE_PRICE]]&gt;Table1[[#This Row],[OPEN_PRICE]],"Gain","Loss")</f>
        <v>Loss</v>
      </c>
      <c r="O1530" t="str">
        <f>IF(Table1[[#This Row],[MARKET_CAP]]&gt;200000000000,"Large Cap",
IF(Table1[[#This Row],[MARKET_CAP]]&gt;50000000000,"Mid Cap","Small Cap"))</f>
        <v>Small Cap</v>
      </c>
      <c r="P1530" t="str">
        <f>IF(Table1[[#This Row],[NET_TRDQTY]]&gt;1000000,"High Volume","Low Volume")</f>
        <v>Low Volume</v>
      </c>
    </row>
    <row r="1531" spans="1:16" x14ac:dyDescent="0.3">
      <c r="A1531" t="s">
        <v>3065</v>
      </c>
      <c r="B1531" t="s">
        <v>3066</v>
      </c>
      <c r="C1531">
        <v>270.14999999999998</v>
      </c>
      <c r="D1531">
        <v>271</v>
      </c>
      <c r="E1531">
        <v>251.15</v>
      </c>
      <c r="F1531">
        <v>253.3</v>
      </c>
      <c r="G1531">
        <v>271.5</v>
      </c>
      <c r="H1531">
        <v>1312012</v>
      </c>
      <c r="I1531">
        <v>34029</v>
      </c>
      <c r="J1531">
        <v>81293698493</v>
      </c>
      <c r="K1531">
        <v>320938407</v>
      </c>
      <c r="L1531">
        <f>(Table1[[#This Row],[CLOSE_PRICE]] - Table1[[#This Row],[PREV_CL_PR]]) / Table1[[#This Row],[PREV_CL_PR]] * 100</f>
        <v>-6.7034990791896831</v>
      </c>
      <c r="M1531">
        <f>Table1[[#This Row],[HIGH_PRICE]]-Table1[[#This Row],[LOW_PRICE]]</f>
        <v>19.849999999999994</v>
      </c>
      <c r="N1531" t="str">
        <f>IF(Table1[[#This Row],[CLOSE_PRICE]]&gt;Table1[[#This Row],[OPEN_PRICE]],"Gain","Loss")</f>
        <v>Loss</v>
      </c>
      <c r="O1531" t="str">
        <f>IF(Table1[[#This Row],[MARKET_CAP]]&gt;200000000000,"Large Cap",
IF(Table1[[#This Row],[MARKET_CAP]]&gt;50000000000,"Mid Cap","Small Cap"))</f>
        <v>Mid Cap</v>
      </c>
      <c r="P1531" t="str">
        <f>IF(Table1[[#This Row],[NET_TRDQTY]]&gt;1000000,"High Volume","Low Volume")</f>
        <v>High Volume</v>
      </c>
    </row>
    <row r="1532" spans="1:16" x14ac:dyDescent="0.3">
      <c r="A1532" t="s">
        <v>3067</v>
      </c>
      <c r="B1532" t="s">
        <v>3068</v>
      </c>
      <c r="C1532">
        <v>107</v>
      </c>
      <c r="D1532">
        <v>107.57</v>
      </c>
      <c r="E1532">
        <v>102.5</v>
      </c>
      <c r="F1532">
        <v>102.86</v>
      </c>
      <c r="G1532">
        <v>108.91</v>
      </c>
      <c r="H1532">
        <v>3941660</v>
      </c>
      <c r="I1532">
        <v>17334</v>
      </c>
      <c r="J1532">
        <v>34596516542</v>
      </c>
      <c r="K1532">
        <v>336345679</v>
      </c>
      <c r="L1532">
        <f>(Table1[[#This Row],[CLOSE_PRICE]] - Table1[[#This Row],[PREV_CL_PR]]) / Table1[[#This Row],[PREV_CL_PR]] * 100</f>
        <v>-5.555045450371864</v>
      </c>
      <c r="M1532">
        <f>Table1[[#This Row],[HIGH_PRICE]]-Table1[[#This Row],[LOW_PRICE]]</f>
        <v>5.0699999999999932</v>
      </c>
      <c r="N1532" t="str">
        <f>IF(Table1[[#This Row],[CLOSE_PRICE]]&gt;Table1[[#This Row],[OPEN_PRICE]],"Gain","Loss")</f>
        <v>Loss</v>
      </c>
      <c r="O1532" t="str">
        <f>IF(Table1[[#This Row],[MARKET_CAP]]&gt;200000000000,"Large Cap",
IF(Table1[[#This Row],[MARKET_CAP]]&gt;50000000000,"Mid Cap","Small Cap"))</f>
        <v>Small Cap</v>
      </c>
      <c r="P1532" t="str">
        <f>IF(Table1[[#This Row],[NET_TRDQTY]]&gt;1000000,"High Volume","Low Volume")</f>
        <v>High Volume</v>
      </c>
    </row>
    <row r="1533" spans="1:16" x14ac:dyDescent="0.3">
      <c r="A1533" t="s">
        <v>3069</v>
      </c>
      <c r="B1533" t="s">
        <v>3070</v>
      </c>
      <c r="C1533">
        <v>1105</v>
      </c>
      <c r="D1533">
        <v>1113.4000000000001</v>
      </c>
      <c r="E1533">
        <v>1084</v>
      </c>
      <c r="F1533">
        <v>1106</v>
      </c>
      <c r="G1533">
        <v>1114.3</v>
      </c>
      <c r="H1533">
        <v>220208</v>
      </c>
      <c r="I1533">
        <v>36722</v>
      </c>
      <c r="J1533">
        <v>112000000000</v>
      </c>
      <c r="K1533">
        <v>101559156</v>
      </c>
      <c r="L1533">
        <f>(Table1[[#This Row],[CLOSE_PRICE]] - Table1[[#This Row],[PREV_CL_PR]]) / Table1[[#This Row],[PREV_CL_PR]] * 100</f>
        <v>-0.74486224535582479</v>
      </c>
      <c r="M1533">
        <f>Table1[[#This Row],[HIGH_PRICE]]-Table1[[#This Row],[LOW_PRICE]]</f>
        <v>29.400000000000091</v>
      </c>
      <c r="N1533" t="str">
        <f>IF(Table1[[#This Row],[CLOSE_PRICE]]&gt;Table1[[#This Row],[OPEN_PRICE]],"Gain","Loss")</f>
        <v>Gain</v>
      </c>
      <c r="O1533" t="str">
        <f>IF(Table1[[#This Row],[MARKET_CAP]]&gt;200000000000,"Large Cap",
IF(Table1[[#This Row],[MARKET_CAP]]&gt;50000000000,"Mid Cap","Small Cap"))</f>
        <v>Mid Cap</v>
      </c>
      <c r="P1533" t="str">
        <f>IF(Table1[[#This Row],[NET_TRDQTY]]&gt;1000000,"High Volume","Low Volume")</f>
        <v>Low Volume</v>
      </c>
    </row>
    <row r="1534" spans="1:16" x14ac:dyDescent="0.3">
      <c r="A1534" t="s">
        <v>3071</v>
      </c>
      <c r="B1534" t="s">
        <v>3072</v>
      </c>
      <c r="C1534">
        <v>3.42</v>
      </c>
      <c r="D1534">
        <v>3.51</v>
      </c>
      <c r="E1534">
        <v>3.33</v>
      </c>
      <c r="F1534">
        <v>3.35</v>
      </c>
      <c r="G1534">
        <v>3.45</v>
      </c>
      <c r="H1534">
        <v>364186</v>
      </c>
      <c r="I1534">
        <v>1060</v>
      </c>
      <c r="J1534">
        <v>926208000</v>
      </c>
      <c r="K1534">
        <v>276480000</v>
      </c>
      <c r="L1534">
        <f>(Table1[[#This Row],[CLOSE_PRICE]] - Table1[[#This Row],[PREV_CL_PR]]) / Table1[[#This Row],[PREV_CL_PR]] * 100</f>
        <v>-2.8985507246376838</v>
      </c>
      <c r="M1534">
        <f>Table1[[#This Row],[HIGH_PRICE]]-Table1[[#This Row],[LOW_PRICE]]</f>
        <v>0.17999999999999972</v>
      </c>
      <c r="N1534" t="str">
        <f>IF(Table1[[#This Row],[CLOSE_PRICE]]&gt;Table1[[#This Row],[OPEN_PRICE]],"Gain","Loss")</f>
        <v>Loss</v>
      </c>
      <c r="O1534" t="str">
        <f>IF(Table1[[#This Row],[MARKET_CAP]]&gt;200000000000,"Large Cap",
IF(Table1[[#This Row],[MARKET_CAP]]&gt;50000000000,"Mid Cap","Small Cap"))</f>
        <v>Small Cap</v>
      </c>
      <c r="P1534" t="str">
        <f>IF(Table1[[#This Row],[NET_TRDQTY]]&gt;1000000,"High Volume","Low Volume")</f>
        <v>Low Volume</v>
      </c>
    </row>
    <row r="1535" spans="1:16" x14ac:dyDescent="0.3">
      <c r="A1535" t="s">
        <v>3073</v>
      </c>
      <c r="B1535" t="s">
        <v>3074</v>
      </c>
      <c r="C1535">
        <v>54.95</v>
      </c>
      <c r="D1535">
        <v>55.86</v>
      </c>
      <c r="E1535">
        <v>51</v>
      </c>
      <c r="F1535">
        <v>51.33</v>
      </c>
      <c r="G1535">
        <v>55.89</v>
      </c>
      <c r="H1535">
        <v>767266</v>
      </c>
      <c r="I1535">
        <v>4552</v>
      </c>
      <c r="J1535">
        <v>9171402790</v>
      </c>
      <c r="K1535">
        <v>178675293</v>
      </c>
      <c r="L1535">
        <f>(Table1[[#This Row],[CLOSE_PRICE]] - Table1[[#This Row],[PREV_CL_PR]]) / Table1[[#This Row],[PREV_CL_PR]] * 100</f>
        <v>-8.158883521202366</v>
      </c>
      <c r="M1535">
        <f>Table1[[#This Row],[HIGH_PRICE]]-Table1[[#This Row],[LOW_PRICE]]</f>
        <v>4.8599999999999994</v>
      </c>
      <c r="N1535" t="str">
        <f>IF(Table1[[#This Row],[CLOSE_PRICE]]&gt;Table1[[#This Row],[OPEN_PRICE]],"Gain","Loss")</f>
        <v>Loss</v>
      </c>
      <c r="O1535" t="str">
        <f>IF(Table1[[#This Row],[MARKET_CAP]]&gt;200000000000,"Large Cap",
IF(Table1[[#This Row],[MARKET_CAP]]&gt;50000000000,"Mid Cap","Small Cap"))</f>
        <v>Small Cap</v>
      </c>
      <c r="P1535" t="str">
        <f>IF(Table1[[#This Row],[NET_TRDQTY]]&gt;1000000,"High Volume","Low Volume")</f>
        <v>Low Volume</v>
      </c>
    </row>
    <row r="1536" spans="1:16" x14ac:dyDescent="0.3">
      <c r="A1536" t="s">
        <v>3075</v>
      </c>
      <c r="B1536" t="s">
        <v>3076</v>
      </c>
      <c r="C1536">
        <v>365</v>
      </c>
      <c r="D1536">
        <v>365</v>
      </c>
      <c r="E1536">
        <v>341.6</v>
      </c>
      <c r="F1536">
        <v>347.2</v>
      </c>
      <c r="G1536">
        <v>370.65</v>
      </c>
      <c r="H1536">
        <v>80002</v>
      </c>
      <c r="I1536">
        <v>4765</v>
      </c>
      <c r="J1536">
        <v>17627691200</v>
      </c>
      <c r="K1536">
        <v>50771000</v>
      </c>
      <c r="L1536">
        <f>(Table1[[#This Row],[CLOSE_PRICE]] - Table1[[#This Row],[PREV_CL_PR]]) / Table1[[#This Row],[PREV_CL_PR]] * 100</f>
        <v>-6.3267233238904597</v>
      </c>
      <c r="M1536">
        <f>Table1[[#This Row],[HIGH_PRICE]]-Table1[[#This Row],[LOW_PRICE]]</f>
        <v>23.399999999999977</v>
      </c>
      <c r="N1536" t="str">
        <f>IF(Table1[[#This Row],[CLOSE_PRICE]]&gt;Table1[[#This Row],[OPEN_PRICE]],"Gain","Loss")</f>
        <v>Loss</v>
      </c>
      <c r="O1536" t="str">
        <f>IF(Table1[[#This Row],[MARKET_CAP]]&gt;200000000000,"Large Cap",
IF(Table1[[#This Row],[MARKET_CAP]]&gt;50000000000,"Mid Cap","Small Cap"))</f>
        <v>Small Cap</v>
      </c>
      <c r="P1536" t="str">
        <f>IF(Table1[[#This Row],[NET_TRDQTY]]&gt;1000000,"High Volume","Low Volume")</f>
        <v>Low Volume</v>
      </c>
    </row>
    <row r="1537" spans="1:16" x14ac:dyDescent="0.3">
      <c r="A1537" t="s">
        <v>3077</v>
      </c>
      <c r="B1537" t="s">
        <v>3078</v>
      </c>
      <c r="C1537">
        <v>29</v>
      </c>
      <c r="D1537">
        <v>29</v>
      </c>
      <c r="E1537">
        <v>24.65</v>
      </c>
      <c r="F1537">
        <v>25.91</v>
      </c>
      <c r="G1537">
        <v>28.31</v>
      </c>
      <c r="H1537">
        <v>146460</v>
      </c>
      <c r="I1537">
        <v>1533</v>
      </c>
      <c r="J1537">
        <v>858543551.5</v>
      </c>
      <c r="K1537">
        <v>33135606</v>
      </c>
      <c r="L1537">
        <f>(Table1[[#This Row],[CLOSE_PRICE]] - Table1[[#This Row],[PREV_CL_PR]]) / Table1[[#This Row],[PREV_CL_PR]] * 100</f>
        <v>-8.4775697633345075</v>
      </c>
      <c r="M1537">
        <f>Table1[[#This Row],[HIGH_PRICE]]-Table1[[#This Row],[LOW_PRICE]]</f>
        <v>4.3500000000000014</v>
      </c>
      <c r="N1537" t="str">
        <f>IF(Table1[[#This Row],[CLOSE_PRICE]]&gt;Table1[[#This Row],[OPEN_PRICE]],"Gain","Loss")</f>
        <v>Loss</v>
      </c>
      <c r="O1537" t="str">
        <f>IF(Table1[[#This Row],[MARKET_CAP]]&gt;200000000000,"Large Cap",
IF(Table1[[#This Row],[MARKET_CAP]]&gt;50000000000,"Mid Cap","Small Cap"))</f>
        <v>Small Cap</v>
      </c>
      <c r="P1537" t="str">
        <f>IF(Table1[[#This Row],[NET_TRDQTY]]&gt;1000000,"High Volume","Low Volume")</f>
        <v>Low Volume</v>
      </c>
    </row>
    <row r="1538" spans="1:16" x14ac:dyDescent="0.3">
      <c r="A1538" t="s">
        <v>3079</v>
      </c>
      <c r="B1538" t="s">
        <v>3080</v>
      </c>
      <c r="C1538">
        <v>37.01</v>
      </c>
      <c r="D1538">
        <v>37.08</v>
      </c>
      <c r="E1538">
        <v>35.4</v>
      </c>
      <c r="F1538">
        <v>36.93</v>
      </c>
      <c r="G1538">
        <v>36.94</v>
      </c>
      <c r="H1538">
        <v>4419</v>
      </c>
      <c r="I1538">
        <v>57</v>
      </c>
      <c r="J1538">
        <v>1917159794</v>
      </c>
      <c r="K1538">
        <v>51913344</v>
      </c>
      <c r="L1538">
        <f>(Table1[[#This Row],[CLOSE_PRICE]] - Table1[[#This Row],[PREV_CL_PR]]) / Table1[[#This Row],[PREV_CL_PR]] * 100</f>
        <v>-2.7070925825657857E-2</v>
      </c>
      <c r="M1538">
        <f>Table1[[#This Row],[HIGH_PRICE]]-Table1[[#This Row],[LOW_PRICE]]</f>
        <v>1.6799999999999997</v>
      </c>
      <c r="N1538" t="str">
        <f>IF(Table1[[#This Row],[CLOSE_PRICE]]&gt;Table1[[#This Row],[OPEN_PRICE]],"Gain","Loss")</f>
        <v>Loss</v>
      </c>
      <c r="O1538" t="str">
        <f>IF(Table1[[#This Row],[MARKET_CAP]]&gt;200000000000,"Large Cap",
IF(Table1[[#This Row],[MARKET_CAP]]&gt;50000000000,"Mid Cap","Small Cap"))</f>
        <v>Small Cap</v>
      </c>
      <c r="P1538" t="str">
        <f>IF(Table1[[#This Row],[NET_TRDQTY]]&gt;1000000,"High Volume","Low Volume")</f>
        <v>Low Volume</v>
      </c>
    </row>
    <row r="1539" spans="1:16" x14ac:dyDescent="0.3">
      <c r="A1539" t="s">
        <v>3081</v>
      </c>
      <c r="B1539" t="s">
        <v>3082</v>
      </c>
      <c r="C1539">
        <v>238</v>
      </c>
      <c r="D1539">
        <v>238</v>
      </c>
      <c r="E1539">
        <v>226</v>
      </c>
      <c r="F1539">
        <v>227.95</v>
      </c>
      <c r="G1539">
        <v>238.65</v>
      </c>
      <c r="H1539">
        <v>262304</v>
      </c>
      <c r="I1539">
        <v>7569</v>
      </c>
      <c r="J1539">
        <v>44329183476</v>
      </c>
      <c r="K1539">
        <v>194468890</v>
      </c>
      <c r="L1539">
        <f>(Table1[[#This Row],[CLOSE_PRICE]] - Table1[[#This Row],[PREV_CL_PR]]) / Table1[[#This Row],[PREV_CL_PR]] * 100</f>
        <v>-4.4835533207626304</v>
      </c>
      <c r="M1539">
        <f>Table1[[#This Row],[HIGH_PRICE]]-Table1[[#This Row],[LOW_PRICE]]</f>
        <v>12</v>
      </c>
      <c r="N1539" t="str">
        <f>IF(Table1[[#This Row],[CLOSE_PRICE]]&gt;Table1[[#This Row],[OPEN_PRICE]],"Gain","Loss")</f>
        <v>Loss</v>
      </c>
      <c r="O1539" t="str">
        <f>IF(Table1[[#This Row],[MARKET_CAP]]&gt;200000000000,"Large Cap",
IF(Table1[[#This Row],[MARKET_CAP]]&gt;50000000000,"Mid Cap","Small Cap"))</f>
        <v>Small Cap</v>
      </c>
      <c r="P1539" t="str">
        <f>IF(Table1[[#This Row],[NET_TRDQTY]]&gt;1000000,"High Volume","Low Volume")</f>
        <v>Low Volume</v>
      </c>
    </row>
    <row r="1540" spans="1:16" x14ac:dyDescent="0.3">
      <c r="A1540" t="s">
        <v>3083</v>
      </c>
      <c r="B1540" t="s">
        <v>3084</v>
      </c>
      <c r="C1540">
        <v>32.9</v>
      </c>
      <c r="D1540">
        <v>33.9</v>
      </c>
      <c r="E1540">
        <v>29.1</v>
      </c>
      <c r="F1540">
        <v>30.01</v>
      </c>
      <c r="G1540">
        <v>32.979999999999997</v>
      </c>
      <c r="H1540">
        <v>347825</v>
      </c>
      <c r="I1540">
        <v>1871</v>
      </c>
      <c r="J1540">
        <v>4427136180</v>
      </c>
      <c r="K1540">
        <v>147522032</v>
      </c>
      <c r="L1540">
        <f>(Table1[[#This Row],[CLOSE_PRICE]] - Table1[[#This Row],[PREV_CL_PR]]) / Table1[[#This Row],[PREV_CL_PR]] * 100</f>
        <v>-9.0054578532443763</v>
      </c>
      <c r="M1540">
        <f>Table1[[#This Row],[HIGH_PRICE]]-Table1[[#This Row],[LOW_PRICE]]</f>
        <v>4.7999999999999972</v>
      </c>
      <c r="N1540" t="str">
        <f>IF(Table1[[#This Row],[CLOSE_PRICE]]&gt;Table1[[#This Row],[OPEN_PRICE]],"Gain","Loss")</f>
        <v>Loss</v>
      </c>
      <c r="O1540" t="str">
        <f>IF(Table1[[#This Row],[MARKET_CAP]]&gt;200000000000,"Large Cap",
IF(Table1[[#This Row],[MARKET_CAP]]&gt;50000000000,"Mid Cap","Small Cap"))</f>
        <v>Small Cap</v>
      </c>
      <c r="P1540" t="str">
        <f>IF(Table1[[#This Row],[NET_TRDQTY]]&gt;1000000,"High Volume","Low Volume")</f>
        <v>Low Volume</v>
      </c>
    </row>
    <row r="1541" spans="1:16" x14ac:dyDescent="0.3">
      <c r="A1541" t="s">
        <v>3085</v>
      </c>
      <c r="B1541" t="s">
        <v>3086</v>
      </c>
      <c r="C1541">
        <v>112</v>
      </c>
      <c r="D1541">
        <v>114.76</v>
      </c>
      <c r="E1541">
        <v>105.14</v>
      </c>
      <c r="F1541">
        <v>107.07</v>
      </c>
      <c r="G1541">
        <v>115.83</v>
      </c>
      <c r="H1541">
        <v>94797</v>
      </c>
      <c r="I1541">
        <v>1940</v>
      </c>
      <c r="J1541">
        <v>3788824632</v>
      </c>
      <c r="K1541">
        <v>35386426</v>
      </c>
      <c r="L1541">
        <f>(Table1[[#This Row],[CLOSE_PRICE]] - Table1[[#This Row],[PREV_CL_PR]]) / Table1[[#This Row],[PREV_CL_PR]] * 100</f>
        <v>-7.5628075628075679</v>
      </c>
      <c r="M1541">
        <f>Table1[[#This Row],[HIGH_PRICE]]-Table1[[#This Row],[LOW_PRICE]]</f>
        <v>9.6200000000000045</v>
      </c>
      <c r="N1541" t="str">
        <f>IF(Table1[[#This Row],[CLOSE_PRICE]]&gt;Table1[[#This Row],[OPEN_PRICE]],"Gain","Loss")</f>
        <v>Loss</v>
      </c>
      <c r="O1541" t="str">
        <f>IF(Table1[[#This Row],[MARKET_CAP]]&gt;200000000000,"Large Cap",
IF(Table1[[#This Row],[MARKET_CAP]]&gt;50000000000,"Mid Cap","Small Cap"))</f>
        <v>Small Cap</v>
      </c>
      <c r="P1541" t="str">
        <f>IF(Table1[[#This Row],[NET_TRDQTY]]&gt;1000000,"High Volume","Low Volume")</f>
        <v>Low Volume</v>
      </c>
    </row>
    <row r="1542" spans="1:16" x14ac:dyDescent="0.3">
      <c r="A1542" t="s">
        <v>3087</v>
      </c>
      <c r="B1542" t="s">
        <v>3088</v>
      </c>
      <c r="C1542">
        <v>5.38</v>
      </c>
      <c r="D1542">
        <v>5.38</v>
      </c>
      <c r="E1542">
        <v>4.4400000000000004</v>
      </c>
      <c r="F1542">
        <v>4.58</v>
      </c>
      <c r="G1542">
        <v>5.41</v>
      </c>
      <c r="H1542">
        <v>53817824</v>
      </c>
      <c r="I1542">
        <v>34837</v>
      </c>
      <c r="J1542">
        <v>7493067684</v>
      </c>
      <c r="K1542">
        <v>1636040979</v>
      </c>
      <c r="L1542">
        <f>(Table1[[#This Row],[CLOSE_PRICE]] - Table1[[#This Row],[PREV_CL_PR]]) / Table1[[#This Row],[PREV_CL_PR]] * 100</f>
        <v>-15.341959334565619</v>
      </c>
      <c r="M1542">
        <f>Table1[[#This Row],[HIGH_PRICE]]-Table1[[#This Row],[LOW_PRICE]]</f>
        <v>0.9399999999999995</v>
      </c>
      <c r="N1542" t="str">
        <f>IF(Table1[[#This Row],[CLOSE_PRICE]]&gt;Table1[[#This Row],[OPEN_PRICE]],"Gain","Loss")</f>
        <v>Loss</v>
      </c>
      <c r="O1542" t="str">
        <f>IF(Table1[[#This Row],[MARKET_CAP]]&gt;200000000000,"Large Cap",
IF(Table1[[#This Row],[MARKET_CAP]]&gt;50000000000,"Mid Cap","Small Cap"))</f>
        <v>Small Cap</v>
      </c>
      <c r="P1542" t="str">
        <f>IF(Table1[[#This Row],[NET_TRDQTY]]&gt;1000000,"High Volume","Low Volume")</f>
        <v>High Volume</v>
      </c>
    </row>
    <row r="1543" spans="1:16" x14ac:dyDescent="0.3">
      <c r="A1543" t="s">
        <v>3089</v>
      </c>
      <c r="B1543" t="s">
        <v>3090</v>
      </c>
      <c r="C1543">
        <v>920</v>
      </c>
      <c r="D1543">
        <v>924.9</v>
      </c>
      <c r="E1543">
        <v>860.1</v>
      </c>
      <c r="F1543">
        <v>867.4</v>
      </c>
      <c r="G1543">
        <v>925.2</v>
      </c>
      <c r="H1543">
        <v>393809</v>
      </c>
      <c r="I1543">
        <v>22812</v>
      </c>
      <c r="J1543">
        <v>205000000000</v>
      </c>
      <c r="K1543">
        <v>236292380</v>
      </c>
      <c r="L1543">
        <f>(Table1[[#This Row],[CLOSE_PRICE]] - Table1[[#This Row],[PREV_CL_PR]]) / Table1[[#This Row],[PREV_CL_PR]] * 100</f>
        <v>-6.2472978815391338</v>
      </c>
      <c r="M1543">
        <f>Table1[[#This Row],[HIGH_PRICE]]-Table1[[#This Row],[LOW_PRICE]]</f>
        <v>64.799999999999955</v>
      </c>
      <c r="N1543" t="str">
        <f>IF(Table1[[#This Row],[CLOSE_PRICE]]&gt;Table1[[#This Row],[OPEN_PRICE]],"Gain","Loss")</f>
        <v>Loss</v>
      </c>
      <c r="O1543" t="str">
        <f>IF(Table1[[#This Row],[MARKET_CAP]]&gt;200000000000,"Large Cap",
IF(Table1[[#This Row],[MARKET_CAP]]&gt;50000000000,"Mid Cap","Small Cap"))</f>
        <v>Large Cap</v>
      </c>
      <c r="P1543" t="str">
        <f>IF(Table1[[#This Row],[NET_TRDQTY]]&gt;1000000,"High Volume","Low Volume")</f>
        <v>Low Volume</v>
      </c>
    </row>
    <row r="1544" spans="1:16" x14ac:dyDescent="0.3">
      <c r="A1544" t="s">
        <v>3091</v>
      </c>
      <c r="B1544" t="s">
        <v>3092</v>
      </c>
      <c r="C1544">
        <v>254</v>
      </c>
      <c r="D1544">
        <v>254</v>
      </c>
      <c r="E1544">
        <v>235.35</v>
      </c>
      <c r="F1544">
        <v>240.1</v>
      </c>
      <c r="G1544">
        <v>259.25</v>
      </c>
      <c r="H1544">
        <v>70784</v>
      </c>
      <c r="I1544">
        <v>2769</v>
      </c>
      <c r="J1544">
        <v>20850658556</v>
      </c>
      <c r="K1544">
        <v>86841560</v>
      </c>
      <c r="L1544">
        <f>(Table1[[#This Row],[CLOSE_PRICE]] - Table1[[#This Row],[PREV_CL_PR]]) / Table1[[#This Row],[PREV_CL_PR]] * 100</f>
        <v>-7.3866923818707839</v>
      </c>
      <c r="M1544">
        <f>Table1[[#This Row],[HIGH_PRICE]]-Table1[[#This Row],[LOW_PRICE]]</f>
        <v>18.650000000000006</v>
      </c>
      <c r="N1544" t="str">
        <f>IF(Table1[[#This Row],[CLOSE_PRICE]]&gt;Table1[[#This Row],[OPEN_PRICE]],"Gain","Loss")</f>
        <v>Loss</v>
      </c>
      <c r="O1544" t="str">
        <f>IF(Table1[[#This Row],[MARKET_CAP]]&gt;200000000000,"Large Cap",
IF(Table1[[#This Row],[MARKET_CAP]]&gt;50000000000,"Mid Cap","Small Cap"))</f>
        <v>Small Cap</v>
      </c>
      <c r="P1544" t="str">
        <f>IF(Table1[[#This Row],[NET_TRDQTY]]&gt;1000000,"High Volume","Low Volume")</f>
        <v>Low Volume</v>
      </c>
    </row>
    <row r="1545" spans="1:16" x14ac:dyDescent="0.3">
      <c r="A1545" t="s">
        <v>3093</v>
      </c>
      <c r="B1545" t="s">
        <v>3094</v>
      </c>
      <c r="C1545">
        <v>394.5</v>
      </c>
      <c r="D1545">
        <v>394.5</v>
      </c>
      <c r="E1545">
        <v>368.75</v>
      </c>
      <c r="F1545">
        <v>370.75</v>
      </c>
      <c r="G1545">
        <v>394.7</v>
      </c>
      <c r="H1545">
        <v>72230</v>
      </c>
      <c r="I1545">
        <v>3956</v>
      </c>
      <c r="J1545">
        <v>13870471194</v>
      </c>
      <c r="K1545">
        <v>37411925</v>
      </c>
      <c r="L1545">
        <f>(Table1[[#This Row],[CLOSE_PRICE]] - Table1[[#This Row],[PREV_CL_PR]]) / Table1[[#This Row],[PREV_CL_PR]] * 100</f>
        <v>-6.0678996706359234</v>
      </c>
      <c r="M1545">
        <f>Table1[[#This Row],[HIGH_PRICE]]-Table1[[#This Row],[LOW_PRICE]]</f>
        <v>25.75</v>
      </c>
      <c r="N1545" t="str">
        <f>IF(Table1[[#This Row],[CLOSE_PRICE]]&gt;Table1[[#This Row],[OPEN_PRICE]],"Gain","Loss")</f>
        <v>Loss</v>
      </c>
      <c r="O1545" t="str">
        <f>IF(Table1[[#This Row],[MARKET_CAP]]&gt;200000000000,"Large Cap",
IF(Table1[[#This Row],[MARKET_CAP]]&gt;50000000000,"Mid Cap","Small Cap"))</f>
        <v>Small Cap</v>
      </c>
      <c r="P1545" t="str">
        <f>IF(Table1[[#This Row],[NET_TRDQTY]]&gt;1000000,"High Volume","Low Volume")</f>
        <v>Low Volume</v>
      </c>
    </row>
    <row r="1546" spans="1:16" x14ac:dyDescent="0.3">
      <c r="A1546" t="s">
        <v>3095</v>
      </c>
      <c r="B1546" t="s">
        <v>3096</v>
      </c>
      <c r="C1546">
        <v>461</v>
      </c>
      <c r="D1546">
        <v>461</v>
      </c>
      <c r="E1546">
        <v>441</v>
      </c>
      <c r="F1546">
        <v>446.85</v>
      </c>
      <c r="G1546">
        <v>463.55</v>
      </c>
      <c r="H1546">
        <v>78859</v>
      </c>
      <c r="I1546">
        <v>2693</v>
      </c>
      <c r="J1546">
        <v>30921032908</v>
      </c>
      <c r="K1546">
        <v>69197791</v>
      </c>
      <c r="L1546">
        <f>(Table1[[#This Row],[CLOSE_PRICE]] - Table1[[#This Row],[PREV_CL_PR]]) / Table1[[#This Row],[PREV_CL_PR]] * 100</f>
        <v>-3.6026318627979697</v>
      </c>
      <c r="M1546">
        <f>Table1[[#This Row],[HIGH_PRICE]]-Table1[[#This Row],[LOW_PRICE]]</f>
        <v>20</v>
      </c>
      <c r="N1546" t="str">
        <f>IF(Table1[[#This Row],[CLOSE_PRICE]]&gt;Table1[[#This Row],[OPEN_PRICE]],"Gain","Loss")</f>
        <v>Loss</v>
      </c>
      <c r="O1546" t="str">
        <f>IF(Table1[[#This Row],[MARKET_CAP]]&gt;200000000000,"Large Cap",
IF(Table1[[#This Row],[MARKET_CAP]]&gt;50000000000,"Mid Cap","Small Cap"))</f>
        <v>Small Cap</v>
      </c>
      <c r="P1546" t="str">
        <f>IF(Table1[[#This Row],[NET_TRDQTY]]&gt;1000000,"High Volume","Low Volume")</f>
        <v>Low Volume</v>
      </c>
    </row>
    <row r="1547" spans="1:16" x14ac:dyDescent="0.3">
      <c r="A1547" t="s">
        <v>3097</v>
      </c>
      <c r="B1547" t="s">
        <v>3098</v>
      </c>
      <c r="C1547">
        <v>309</v>
      </c>
      <c r="D1547">
        <v>309</v>
      </c>
      <c r="E1547">
        <v>296</v>
      </c>
      <c r="F1547">
        <v>298.45</v>
      </c>
      <c r="G1547">
        <v>307.55</v>
      </c>
      <c r="H1547">
        <v>88309</v>
      </c>
      <c r="I1547">
        <v>3140</v>
      </c>
      <c r="J1547">
        <v>27860030538</v>
      </c>
      <c r="K1547">
        <v>93349072</v>
      </c>
      <c r="L1547">
        <f>(Table1[[#This Row],[CLOSE_PRICE]] - Table1[[#This Row],[PREV_CL_PR]]) / Table1[[#This Row],[PREV_CL_PR]] * 100</f>
        <v>-2.9588684766704674</v>
      </c>
      <c r="M1547">
        <f>Table1[[#This Row],[HIGH_PRICE]]-Table1[[#This Row],[LOW_PRICE]]</f>
        <v>13</v>
      </c>
      <c r="N1547" t="str">
        <f>IF(Table1[[#This Row],[CLOSE_PRICE]]&gt;Table1[[#This Row],[OPEN_PRICE]],"Gain","Loss")</f>
        <v>Loss</v>
      </c>
      <c r="O1547" t="str">
        <f>IF(Table1[[#This Row],[MARKET_CAP]]&gt;200000000000,"Large Cap",
IF(Table1[[#This Row],[MARKET_CAP]]&gt;50000000000,"Mid Cap","Small Cap"))</f>
        <v>Small Cap</v>
      </c>
      <c r="P1547" t="str">
        <f>IF(Table1[[#This Row],[NET_TRDQTY]]&gt;1000000,"High Volume","Low Volume")</f>
        <v>Low Volume</v>
      </c>
    </row>
    <row r="1548" spans="1:16" x14ac:dyDescent="0.3">
      <c r="A1548" t="s">
        <v>3099</v>
      </c>
      <c r="B1548" t="s">
        <v>3100</v>
      </c>
      <c r="C1548">
        <v>11.24</v>
      </c>
      <c r="D1548">
        <v>11.62</v>
      </c>
      <c r="E1548">
        <v>10.6</v>
      </c>
      <c r="F1548">
        <v>10.8</v>
      </c>
      <c r="G1548">
        <v>11.62</v>
      </c>
      <c r="H1548">
        <v>472148</v>
      </c>
      <c r="I1548">
        <v>1916</v>
      </c>
      <c r="J1548">
        <v>1658532456</v>
      </c>
      <c r="K1548">
        <v>153567820</v>
      </c>
      <c r="L1548">
        <f>(Table1[[#This Row],[CLOSE_PRICE]] - Table1[[#This Row],[PREV_CL_PR]]) / Table1[[#This Row],[PREV_CL_PR]] * 100</f>
        <v>-7.0567986230636706</v>
      </c>
      <c r="M1548">
        <f>Table1[[#This Row],[HIGH_PRICE]]-Table1[[#This Row],[LOW_PRICE]]</f>
        <v>1.0199999999999996</v>
      </c>
      <c r="N1548" t="str">
        <f>IF(Table1[[#This Row],[CLOSE_PRICE]]&gt;Table1[[#This Row],[OPEN_PRICE]],"Gain","Loss")</f>
        <v>Loss</v>
      </c>
      <c r="O1548" t="str">
        <f>IF(Table1[[#This Row],[MARKET_CAP]]&gt;200000000000,"Large Cap",
IF(Table1[[#This Row],[MARKET_CAP]]&gt;50000000000,"Mid Cap","Small Cap"))</f>
        <v>Small Cap</v>
      </c>
      <c r="P1548" t="str">
        <f>IF(Table1[[#This Row],[NET_TRDQTY]]&gt;1000000,"High Volume","Low Volume")</f>
        <v>Low Volume</v>
      </c>
    </row>
    <row r="1549" spans="1:16" x14ac:dyDescent="0.3">
      <c r="A1549" t="s">
        <v>3101</v>
      </c>
      <c r="B1549" t="s">
        <v>3102</v>
      </c>
      <c r="C1549">
        <v>1053.8</v>
      </c>
      <c r="D1549">
        <v>1065.0999999999999</v>
      </c>
      <c r="E1549">
        <v>990.7</v>
      </c>
      <c r="F1549">
        <v>1029.4000000000001</v>
      </c>
      <c r="G1549">
        <v>1066</v>
      </c>
      <c r="H1549">
        <v>40302</v>
      </c>
      <c r="I1549">
        <v>2667</v>
      </c>
      <c r="J1549">
        <v>14697576585</v>
      </c>
      <c r="K1549">
        <v>14277809</v>
      </c>
      <c r="L1549">
        <f>(Table1[[#This Row],[CLOSE_PRICE]] - Table1[[#This Row],[PREV_CL_PR]]) / Table1[[#This Row],[PREV_CL_PR]] * 100</f>
        <v>-3.4333958724202542</v>
      </c>
      <c r="M1549">
        <f>Table1[[#This Row],[HIGH_PRICE]]-Table1[[#This Row],[LOW_PRICE]]</f>
        <v>74.399999999999864</v>
      </c>
      <c r="N1549" t="str">
        <f>IF(Table1[[#This Row],[CLOSE_PRICE]]&gt;Table1[[#This Row],[OPEN_PRICE]],"Gain","Loss")</f>
        <v>Loss</v>
      </c>
      <c r="O1549" t="str">
        <f>IF(Table1[[#This Row],[MARKET_CAP]]&gt;200000000000,"Large Cap",
IF(Table1[[#This Row],[MARKET_CAP]]&gt;50000000000,"Mid Cap","Small Cap"))</f>
        <v>Small Cap</v>
      </c>
      <c r="P1549" t="str">
        <f>IF(Table1[[#This Row],[NET_TRDQTY]]&gt;1000000,"High Volume","Low Volume")</f>
        <v>Low Volume</v>
      </c>
    </row>
    <row r="1550" spans="1:16" x14ac:dyDescent="0.3">
      <c r="A1550" t="s">
        <v>3103</v>
      </c>
      <c r="B1550" t="s">
        <v>3104</v>
      </c>
      <c r="C1550">
        <v>478.3</v>
      </c>
      <c r="D1550">
        <v>478.3</v>
      </c>
      <c r="E1550">
        <v>460.05</v>
      </c>
      <c r="F1550">
        <v>466.75</v>
      </c>
      <c r="G1550">
        <v>481.6</v>
      </c>
      <c r="H1550">
        <v>347428</v>
      </c>
      <c r="I1550">
        <v>14550</v>
      </c>
      <c r="J1550">
        <v>55124125303</v>
      </c>
      <c r="K1550">
        <v>118102036</v>
      </c>
      <c r="L1550">
        <f>(Table1[[#This Row],[CLOSE_PRICE]] - Table1[[#This Row],[PREV_CL_PR]]) / Table1[[#This Row],[PREV_CL_PR]] * 100</f>
        <v>-3.0834717607973468</v>
      </c>
      <c r="M1550">
        <f>Table1[[#This Row],[HIGH_PRICE]]-Table1[[#This Row],[LOW_PRICE]]</f>
        <v>18.25</v>
      </c>
      <c r="N1550" t="str">
        <f>IF(Table1[[#This Row],[CLOSE_PRICE]]&gt;Table1[[#This Row],[OPEN_PRICE]],"Gain","Loss")</f>
        <v>Loss</v>
      </c>
      <c r="O1550" t="str">
        <f>IF(Table1[[#This Row],[MARKET_CAP]]&gt;200000000000,"Large Cap",
IF(Table1[[#This Row],[MARKET_CAP]]&gt;50000000000,"Mid Cap","Small Cap"))</f>
        <v>Mid Cap</v>
      </c>
      <c r="P1550" t="str">
        <f>IF(Table1[[#This Row],[NET_TRDQTY]]&gt;1000000,"High Volume","Low Volume")</f>
        <v>Low Volume</v>
      </c>
    </row>
    <row r="1551" spans="1:16" x14ac:dyDescent="0.3">
      <c r="A1551" t="s">
        <v>3105</v>
      </c>
      <c r="B1551" t="s">
        <v>3106</v>
      </c>
      <c r="C1551">
        <v>2311</v>
      </c>
      <c r="D1551">
        <v>2311</v>
      </c>
      <c r="E1551">
        <v>2160</v>
      </c>
      <c r="F1551">
        <v>2166.5</v>
      </c>
      <c r="G1551">
        <v>2310.8000000000002</v>
      </c>
      <c r="H1551">
        <v>20307</v>
      </c>
      <c r="I1551">
        <v>5525</v>
      </c>
      <c r="J1551">
        <v>152000000000</v>
      </c>
      <c r="K1551">
        <v>70092000</v>
      </c>
      <c r="L1551">
        <f>(Table1[[#This Row],[CLOSE_PRICE]] - Table1[[#This Row],[PREV_CL_PR]]) / Table1[[#This Row],[PREV_CL_PR]] * 100</f>
        <v>-6.2445906179678108</v>
      </c>
      <c r="M1551">
        <f>Table1[[#This Row],[HIGH_PRICE]]-Table1[[#This Row],[LOW_PRICE]]</f>
        <v>151</v>
      </c>
      <c r="N1551" t="str">
        <f>IF(Table1[[#This Row],[CLOSE_PRICE]]&gt;Table1[[#This Row],[OPEN_PRICE]],"Gain","Loss")</f>
        <v>Loss</v>
      </c>
      <c r="O1551" t="str">
        <f>IF(Table1[[#This Row],[MARKET_CAP]]&gt;200000000000,"Large Cap",
IF(Table1[[#This Row],[MARKET_CAP]]&gt;50000000000,"Mid Cap","Small Cap"))</f>
        <v>Mid Cap</v>
      </c>
      <c r="P1551" t="str">
        <f>IF(Table1[[#This Row],[NET_TRDQTY]]&gt;1000000,"High Volume","Low Volume")</f>
        <v>Low Volume</v>
      </c>
    </row>
    <row r="1552" spans="1:16" x14ac:dyDescent="0.3">
      <c r="A1552" t="s">
        <v>3107</v>
      </c>
      <c r="B1552" t="s">
        <v>3108</v>
      </c>
      <c r="C1552">
        <v>138.15</v>
      </c>
      <c r="D1552">
        <v>139.33000000000001</v>
      </c>
      <c r="E1552">
        <v>133.06</v>
      </c>
      <c r="F1552">
        <v>133.72</v>
      </c>
      <c r="G1552">
        <v>139.68</v>
      </c>
      <c r="H1552">
        <v>507538</v>
      </c>
      <c r="I1552">
        <v>5981</v>
      </c>
      <c r="J1552">
        <v>8804457897</v>
      </c>
      <c r="K1552">
        <v>65842491</v>
      </c>
      <c r="L1552">
        <f>(Table1[[#This Row],[CLOSE_PRICE]] - Table1[[#This Row],[PREV_CL_PR]]) / Table1[[#This Row],[PREV_CL_PR]] * 100</f>
        <v>-4.2668957617411278</v>
      </c>
      <c r="M1552">
        <f>Table1[[#This Row],[HIGH_PRICE]]-Table1[[#This Row],[LOW_PRICE]]</f>
        <v>6.2700000000000102</v>
      </c>
      <c r="N1552" t="str">
        <f>IF(Table1[[#This Row],[CLOSE_PRICE]]&gt;Table1[[#This Row],[OPEN_PRICE]],"Gain","Loss")</f>
        <v>Loss</v>
      </c>
      <c r="O1552" t="str">
        <f>IF(Table1[[#This Row],[MARKET_CAP]]&gt;200000000000,"Large Cap",
IF(Table1[[#This Row],[MARKET_CAP]]&gt;50000000000,"Mid Cap","Small Cap"))</f>
        <v>Small Cap</v>
      </c>
      <c r="P1552" t="str">
        <f>IF(Table1[[#This Row],[NET_TRDQTY]]&gt;1000000,"High Volume","Low Volume")</f>
        <v>Low Volume</v>
      </c>
    </row>
    <row r="1553" spans="1:16" x14ac:dyDescent="0.3">
      <c r="A1553" t="s">
        <v>3109</v>
      </c>
      <c r="B1553" t="s">
        <v>3110</v>
      </c>
      <c r="C1553">
        <v>361.75</v>
      </c>
      <c r="D1553">
        <v>365.2</v>
      </c>
      <c r="E1553">
        <v>345.2</v>
      </c>
      <c r="F1553">
        <v>347.55</v>
      </c>
      <c r="G1553">
        <v>372.95</v>
      </c>
      <c r="H1553">
        <v>562589</v>
      </c>
      <c r="I1553">
        <v>17643</v>
      </c>
      <c r="J1553">
        <v>23137700209</v>
      </c>
      <c r="K1553">
        <v>66573731</v>
      </c>
      <c r="L1553">
        <f>(Table1[[#This Row],[CLOSE_PRICE]] - Table1[[#This Row],[PREV_CL_PR]]) / Table1[[#This Row],[PREV_CL_PR]] * 100</f>
        <v>-6.8105644188228922</v>
      </c>
      <c r="M1553">
        <f>Table1[[#This Row],[HIGH_PRICE]]-Table1[[#This Row],[LOW_PRICE]]</f>
        <v>20</v>
      </c>
      <c r="N1553" t="str">
        <f>IF(Table1[[#This Row],[CLOSE_PRICE]]&gt;Table1[[#This Row],[OPEN_PRICE]],"Gain","Loss")</f>
        <v>Loss</v>
      </c>
      <c r="O1553" t="str">
        <f>IF(Table1[[#This Row],[MARKET_CAP]]&gt;200000000000,"Large Cap",
IF(Table1[[#This Row],[MARKET_CAP]]&gt;50000000000,"Mid Cap","Small Cap"))</f>
        <v>Small Cap</v>
      </c>
      <c r="P1553" t="str">
        <f>IF(Table1[[#This Row],[NET_TRDQTY]]&gt;1000000,"High Volume","Low Volume")</f>
        <v>Low Volume</v>
      </c>
    </row>
    <row r="1554" spans="1:16" x14ac:dyDescent="0.3">
      <c r="A1554" t="s">
        <v>3111</v>
      </c>
      <c r="B1554" t="s">
        <v>3112</v>
      </c>
      <c r="C1554">
        <v>859</v>
      </c>
      <c r="D1554">
        <v>859</v>
      </c>
      <c r="E1554">
        <v>775</v>
      </c>
      <c r="F1554">
        <v>781.55</v>
      </c>
      <c r="G1554">
        <v>869.2</v>
      </c>
      <c r="H1554">
        <v>204924</v>
      </c>
      <c r="I1554">
        <v>17522</v>
      </c>
      <c r="J1554">
        <v>47614862245</v>
      </c>
      <c r="K1554">
        <v>60923629</v>
      </c>
      <c r="L1554">
        <f>(Table1[[#This Row],[CLOSE_PRICE]] - Table1[[#This Row],[PREV_CL_PR]]) / Table1[[#This Row],[PREV_CL_PR]] * 100</f>
        <v>-10.083985273815012</v>
      </c>
      <c r="M1554">
        <f>Table1[[#This Row],[HIGH_PRICE]]-Table1[[#This Row],[LOW_PRICE]]</f>
        <v>84</v>
      </c>
      <c r="N1554" t="str">
        <f>IF(Table1[[#This Row],[CLOSE_PRICE]]&gt;Table1[[#This Row],[OPEN_PRICE]],"Gain","Loss")</f>
        <v>Loss</v>
      </c>
      <c r="O1554" t="str">
        <f>IF(Table1[[#This Row],[MARKET_CAP]]&gt;200000000000,"Large Cap",
IF(Table1[[#This Row],[MARKET_CAP]]&gt;50000000000,"Mid Cap","Small Cap"))</f>
        <v>Small Cap</v>
      </c>
      <c r="P1554" t="str">
        <f>IF(Table1[[#This Row],[NET_TRDQTY]]&gt;1000000,"High Volume","Low Volume")</f>
        <v>Low Volume</v>
      </c>
    </row>
    <row r="1555" spans="1:16" x14ac:dyDescent="0.3">
      <c r="A1555" t="s">
        <v>3113</v>
      </c>
      <c r="B1555" t="s">
        <v>3114</v>
      </c>
      <c r="C1555">
        <v>415</v>
      </c>
      <c r="D1555">
        <v>415</v>
      </c>
      <c r="E1555">
        <v>369.9</v>
      </c>
      <c r="F1555">
        <v>374.6</v>
      </c>
      <c r="G1555">
        <v>416.5</v>
      </c>
      <c r="H1555">
        <v>328257</v>
      </c>
      <c r="I1555">
        <v>11472</v>
      </c>
      <c r="J1555">
        <v>24938519633</v>
      </c>
      <c r="K1555">
        <v>66573731</v>
      </c>
      <c r="L1555">
        <f>(Table1[[#This Row],[CLOSE_PRICE]] - Table1[[#This Row],[PREV_CL_PR]]) / Table1[[#This Row],[PREV_CL_PR]] * 100</f>
        <v>-10.060024009603836</v>
      </c>
      <c r="M1555">
        <f>Table1[[#This Row],[HIGH_PRICE]]-Table1[[#This Row],[LOW_PRICE]]</f>
        <v>45.100000000000023</v>
      </c>
      <c r="N1555" t="str">
        <f>IF(Table1[[#This Row],[CLOSE_PRICE]]&gt;Table1[[#This Row],[OPEN_PRICE]],"Gain","Loss")</f>
        <v>Loss</v>
      </c>
      <c r="O1555" t="str">
        <f>IF(Table1[[#This Row],[MARKET_CAP]]&gt;200000000000,"Large Cap",
IF(Table1[[#This Row],[MARKET_CAP]]&gt;50000000000,"Mid Cap","Small Cap"))</f>
        <v>Small Cap</v>
      </c>
      <c r="P1555" t="str">
        <f>IF(Table1[[#This Row],[NET_TRDQTY]]&gt;1000000,"High Volume","Low Volume")</f>
        <v>Low Volume</v>
      </c>
    </row>
    <row r="1556" spans="1:16" x14ac:dyDescent="0.3">
      <c r="A1556" t="s">
        <v>3115</v>
      </c>
      <c r="B1556" t="s">
        <v>3116</v>
      </c>
      <c r="C1556">
        <v>61</v>
      </c>
      <c r="D1556">
        <v>61.1</v>
      </c>
      <c r="E1556">
        <v>59.15</v>
      </c>
      <c r="F1556">
        <v>59.55</v>
      </c>
      <c r="G1556">
        <v>61.13</v>
      </c>
      <c r="H1556">
        <v>2234106</v>
      </c>
      <c r="I1556">
        <v>6233</v>
      </c>
      <c r="J1556">
        <v>34684901669</v>
      </c>
      <c r="K1556">
        <v>582450070</v>
      </c>
      <c r="L1556">
        <f>(Table1[[#This Row],[CLOSE_PRICE]] - Table1[[#This Row],[PREV_CL_PR]]) / Table1[[#This Row],[PREV_CL_PR]] * 100</f>
        <v>-2.5846556518894248</v>
      </c>
      <c r="M1556">
        <f>Table1[[#This Row],[HIGH_PRICE]]-Table1[[#This Row],[LOW_PRICE]]</f>
        <v>1.9500000000000028</v>
      </c>
      <c r="N1556" t="str">
        <f>IF(Table1[[#This Row],[CLOSE_PRICE]]&gt;Table1[[#This Row],[OPEN_PRICE]],"Gain","Loss")</f>
        <v>Loss</v>
      </c>
      <c r="O1556" t="str">
        <f>IF(Table1[[#This Row],[MARKET_CAP]]&gt;200000000000,"Large Cap",
IF(Table1[[#This Row],[MARKET_CAP]]&gt;50000000000,"Mid Cap","Small Cap"))</f>
        <v>Small Cap</v>
      </c>
      <c r="P1556" t="str">
        <f>IF(Table1[[#This Row],[NET_TRDQTY]]&gt;1000000,"High Volume","Low Volume")</f>
        <v>High Volume</v>
      </c>
    </row>
    <row r="1557" spans="1:16" x14ac:dyDescent="0.3">
      <c r="A1557" t="s">
        <v>3117</v>
      </c>
      <c r="B1557" t="s">
        <v>3118</v>
      </c>
      <c r="C1557">
        <v>294.10000000000002</v>
      </c>
      <c r="D1557">
        <v>294.10000000000002</v>
      </c>
      <c r="E1557">
        <v>287.39999999999998</v>
      </c>
      <c r="F1557">
        <v>289.3</v>
      </c>
      <c r="G1557">
        <v>297.25</v>
      </c>
      <c r="H1557">
        <v>2624912</v>
      </c>
      <c r="I1557">
        <v>25685</v>
      </c>
      <c r="J1557">
        <v>178000000000</v>
      </c>
      <c r="K1557">
        <v>616977364</v>
      </c>
      <c r="L1557">
        <f>(Table1[[#This Row],[CLOSE_PRICE]] - Table1[[#This Row],[PREV_CL_PR]]) / Table1[[#This Row],[PREV_CL_PR]] * 100</f>
        <v>-2.6745164003364135</v>
      </c>
      <c r="M1557">
        <f>Table1[[#This Row],[HIGH_PRICE]]-Table1[[#This Row],[LOW_PRICE]]</f>
        <v>6.7000000000000455</v>
      </c>
      <c r="N1557" t="str">
        <f>IF(Table1[[#This Row],[CLOSE_PRICE]]&gt;Table1[[#This Row],[OPEN_PRICE]],"Gain","Loss")</f>
        <v>Loss</v>
      </c>
      <c r="O1557" t="str">
        <f>IF(Table1[[#This Row],[MARKET_CAP]]&gt;200000000000,"Large Cap",
IF(Table1[[#This Row],[MARKET_CAP]]&gt;50000000000,"Mid Cap","Small Cap"))</f>
        <v>Mid Cap</v>
      </c>
      <c r="P1557" t="str">
        <f>IF(Table1[[#This Row],[NET_TRDQTY]]&gt;1000000,"High Volume","Low Volume")</f>
        <v>High Volume</v>
      </c>
    </row>
    <row r="1558" spans="1:16" x14ac:dyDescent="0.3">
      <c r="A1558" t="s">
        <v>3119</v>
      </c>
      <c r="B1558" t="s">
        <v>3120</v>
      </c>
      <c r="C1558">
        <v>114</v>
      </c>
      <c r="D1558">
        <v>114</v>
      </c>
      <c r="E1558">
        <v>108.55</v>
      </c>
      <c r="F1558">
        <v>110.93</v>
      </c>
      <c r="G1558">
        <v>113.85</v>
      </c>
      <c r="H1558">
        <v>93741</v>
      </c>
      <c r="I1558">
        <v>2563</v>
      </c>
      <c r="J1558">
        <v>4437200000</v>
      </c>
      <c r="K1558">
        <v>40000000</v>
      </c>
      <c r="L1558">
        <f>(Table1[[#This Row],[CLOSE_PRICE]] - Table1[[#This Row],[PREV_CL_PR]]) / Table1[[#This Row],[PREV_CL_PR]] * 100</f>
        <v>-2.5647782169521189</v>
      </c>
      <c r="M1558">
        <f>Table1[[#This Row],[HIGH_PRICE]]-Table1[[#This Row],[LOW_PRICE]]</f>
        <v>5.4500000000000028</v>
      </c>
      <c r="N1558" t="str">
        <f>IF(Table1[[#This Row],[CLOSE_PRICE]]&gt;Table1[[#This Row],[OPEN_PRICE]],"Gain","Loss")</f>
        <v>Loss</v>
      </c>
      <c r="O1558" t="str">
        <f>IF(Table1[[#This Row],[MARKET_CAP]]&gt;200000000000,"Large Cap",
IF(Table1[[#This Row],[MARKET_CAP]]&gt;50000000000,"Mid Cap","Small Cap"))</f>
        <v>Small Cap</v>
      </c>
      <c r="P1558" t="str">
        <f>IF(Table1[[#This Row],[NET_TRDQTY]]&gt;1000000,"High Volume","Low Volume")</f>
        <v>Low Volume</v>
      </c>
    </row>
    <row r="1559" spans="1:16" x14ac:dyDescent="0.3">
      <c r="A1559" t="s">
        <v>3121</v>
      </c>
      <c r="B1559" t="s">
        <v>3122</v>
      </c>
      <c r="C1559">
        <v>115.1</v>
      </c>
      <c r="D1559">
        <v>115.3</v>
      </c>
      <c r="E1559">
        <v>109.55</v>
      </c>
      <c r="F1559">
        <v>110.04</v>
      </c>
      <c r="G1559">
        <v>116.61</v>
      </c>
      <c r="H1559">
        <v>2032306</v>
      </c>
      <c r="I1559">
        <v>21716</v>
      </c>
      <c r="J1559">
        <v>60707758524</v>
      </c>
      <c r="K1559">
        <v>551688100</v>
      </c>
      <c r="L1559">
        <f>(Table1[[#This Row],[CLOSE_PRICE]] - Table1[[#This Row],[PREV_CL_PR]]) / Table1[[#This Row],[PREV_CL_PR]] * 100</f>
        <v>-5.634165165937735</v>
      </c>
      <c r="M1559">
        <f>Table1[[#This Row],[HIGH_PRICE]]-Table1[[#This Row],[LOW_PRICE]]</f>
        <v>5.75</v>
      </c>
      <c r="N1559" t="str">
        <f>IF(Table1[[#This Row],[CLOSE_PRICE]]&gt;Table1[[#This Row],[OPEN_PRICE]],"Gain","Loss")</f>
        <v>Loss</v>
      </c>
      <c r="O1559" t="str">
        <f>IF(Table1[[#This Row],[MARKET_CAP]]&gt;200000000000,"Large Cap",
IF(Table1[[#This Row],[MARKET_CAP]]&gt;50000000000,"Mid Cap","Small Cap"))</f>
        <v>Mid Cap</v>
      </c>
      <c r="P1559" t="str">
        <f>IF(Table1[[#This Row],[NET_TRDQTY]]&gt;1000000,"High Volume","Low Volume")</f>
        <v>High Volume</v>
      </c>
    </row>
    <row r="1560" spans="1:16" x14ac:dyDescent="0.3">
      <c r="A1560" t="s">
        <v>3123</v>
      </c>
      <c r="B1560" t="s">
        <v>3124</v>
      </c>
      <c r="C1560">
        <v>215</v>
      </c>
      <c r="D1560">
        <v>215</v>
      </c>
      <c r="E1560">
        <v>203.55</v>
      </c>
      <c r="F1560">
        <v>205.9</v>
      </c>
      <c r="G1560">
        <v>217.35</v>
      </c>
      <c r="H1560">
        <v>2760465</v>
      </c>
      <c r="I1560">
        <v>41435</v>
      </c>
      <c r="J1560">
        <v>161000000000</v>
      </c>
      <c r="K1560">
        <v>781774431</v>
      </c>
      <c r="L1560">
        <f>(Table1[[#This Row],[CLOSE_PRICE]] - Table1[[#This Row],[PREV_CL_PR]]) / Table1[[#This Row],[PREV_CL_PR]] * 100</f>
        <v>-5.2680009201748286</v>
      </c>
      <c r="M1560">
        <f>Table1[[#This Row],[HIGH_PRICE]]-Table1[[#This Row],[LOW_PRICE]]</f>
        <v>11.449999999999989</v>
      </c>
      <c r="N1560" t="str">
        <f>IF(Table1[[#This Row],[CLOSE_PRICE]]&gt;Table1[[#This Row],[OPEN_PRICE]],"Gain","Loss")</f>
        <v>Loss</v>
      </c>
      <c r="O1560" t="str">
        <f>IF(Table1[[#This Row],[MARKET_CAP]]&gt;200000000000,"Large Cap",
IF(Table1[[#This Row],[MARKET_CAP]]&gt;50000000000,"Mid Cap","Small Cap"))</f>
        <v>Mid Cap</v>
      </c>
      <c r="P1560" t="str">
        <f>IF(Table1[[#This Row],[NET_TRDQTY]]&gt;1000000,"High Volume","Low Volume")</f>
        <v>High Volume</v>
      </c>
    </row>
    <row r="1561" spans="1:16" x14ac:dyDescent="0.3">
      <c r="A1561" t="s">
        <v>3125</v>
      </c>
      <c r="B1561" t="s">
        <v>3126</v>
      </c>
      <c r="C1561">
        <v>116.1</v>
      </c>
      <c r="D1561">
        <v>116.37</v>
      </c>
      <c r="E1561">
        <v>111</v>
      </c>
      <c r="F1561">
        <v>112.62</v>
      </c>
      <c r="G1561">
        <v>117.2</v>
      </c>
      <c r="H1561">
        <v>269365</v>
      </c>
      <c r="I1561">
        <v>6929</v>
      </c>
      <c r="J1561">
        <v>62257191912</v>
      </c>
      <c r="K1561">
        <v>552807600</v>
      </c>
      <c r="L1561">
        <f>(Table1[[#This Row],[CLOSE_PRICE]] - Table1[[#This Row],[PREV_CL_PR]]) / Table1[[#This Row],[PREV_CL_PR]] * 100</f>
        <v>-3.9078498293515338</v>
      </c>
      <c r="M1561">
        <f>Table1[[#This Row],[HIGH_PRICE]]-Table1[[#This Row],[LOW_PRICE]]</f>
        <v>5.3700000000000045</v>
      </c>
      <c r="N1561" t="str">
        <f>IF(Table1[[#This Row],[CLOSE_PRICE]]&gt;Table1[[#This Row],[OPEN_PRICE]],"Gain","Loss")</f>
        <v>Loss</v>
      </c>
      <c r="O1561" t="str">
        <f>IF(Table1[[#This Row],[MARKET_CAP]]&gt;200000000000,"Large Cap",
IF(Table1[[#This Row],[MARKET_CAP]]&gt;50000000000,"Mid Cap","Small Cap"))</f>
        <v>Mid Cap</v>
      </c>
      <c r="P1561" t="str">
        <f>IF(Table1[[#This Row],[NET_TRDQTY]]&gt;1000000,"High Volume","Low Volume")</f>
        <v>Low Volume</v>
      </c>
    </row>
    <row r="1562" spans="1:16" x14ac:dyDescent="0.3">
      <c r="A1562" t="s">
        <v>3127</v>
      </c>
      <c r="B1562" t="s">
        <v>3128</v>
      </c>
      <c r="C1562">
        <v>198</v>
      </c>
      <c r="D1562">
        <v>199.24</v>
      </c>
      <c r="E1562">
        <v>188</v>
      </c>
      <c r="F1562">
        <v>189.11</v>
      </c>
      <c r="G1562">
        <v>200.53</v>
      </c>
      <c r="H1562">
        <v>610978</v>
      </c>
      <c r="I1562">
        <v>8754</v>
      </c>
      <c r="J1562">
        <v>25932565797</v>
      </c>
      <c r="K1562">
        <v>137129532</v>
      </c>
      <c r="L1562">
        <f>(Table1[[#This Row],[CLOSE_PRICE]] - Table1[[#This Row],[PREV_CL_PR]]) / Table1[[#This Row],[PREV_CL_PR]] * 100</f>
        <v>-5.6949084924948821</v>
      </c>
      <c r="M1562">
        <f>Table1[[#This Row],[HIGH_PRICE]]-Table1[[#This Row],[LOW_PRICE]]</f>
        <v>11.240000000000009</v>
      </c>
      <c r="N1562" t="str">
        <f>IF(Table1[[#This Row],[CLOSE_PRICE]]&gt;Table1[[#This Row],[OPEN_PRICE]],"Gain","Loss")</f>
        <v>Loss</v>
      </c>
      <c r="O1562" t="str">
        <f>IF(Table1[[#This Row],[MARKET_CAP]]&gt;200000000000,"Large Cap",
IF(Table1[[#This Row],[MARKET_CAP]]&gt;50000000000,"Mid Cap","Small Cap"))</f>
        <v>Small Cap</v>
      </c>
      <c r="P1562" t="str">
        <f>IF(Table1[[#This Row],[NET_TRDQTY]]&gt;1000000,"High Volume","Low Volume")</f>
        <v>Low Volume</v>
      </c>
    </row>
    <row r="1563" spans="1:16" x14ac:dyDescent="0.3">
      <c r="A1563" t="s">
        <v>3129</v>
      </c>
      <c r="B1563" t="s">
        <v>3130</v>
      </c>
      <c r="C1563">
        <v>69.75</v>
      </c>
      <c r="D1563">
        <v>69.75</v>
      </c>
      <c r="E1563">
        <v>66.459999999999994</v>
      </c>
      <c r="F1563">
        <v>66.459999999999994</v>
      </c>
      <c r="G1563">
        <v>69.95</v>
      </c>
      <c r="H1563">
        <v>381086</v>
      </c>
      <c r="I1563">
        <v>1976</v>
      </c>
      <c r="J1563">
        <v>6827001152</v>
      </c>
      <c r="K1563">
        <v>102723460</v>
      </c>
      <c r="L1563">
        <f>(Table1[[#This Row],[CLOSE_PRICE]] - Table1[[#This Row],[PREV_CL_PR]]) / Table1[[#This Row],[PREV_CL_PR]] * 100</f>
        <v>-4.9892780557541228</v>
      </c>
      <c r="M1563">
        <f>Table1[[#This Row],[HIGH_PRICE]]-Table1[[#This Row],[LOW_PRICE]]</f>
        <v>3.2900000000000063</v>
      </c>
      <c r="N1563" t="str">
        <f>IF(Table1[[#This Row],[CLOSE_PRICE]]&gt;Table1[[#This Row],[OPEN_PRICE]],"Gain","Loss")</f>
        <v>Loss</v>
      </c>
      <c r="O1563" t="str">
        <f>IF(Table1[[#This Row],[MARKET_CAP]]&gt;200000000000,"Large Cap",
IF(Table1[[#This Row],[MARKET_CAP]]&gt;50000000000,"Mid Cap","Small Cap"))</f>
        <v>Small Cap</v>
      </c>
      <c r="P1563" t="str">
        <f>IF(Table1[[#This Row],[NET_TRDQTY]]&gt;1000000,"High Volume","Low Volume")</f>
        <v>Low Volume</v>
      </c>
    </row>
    <row r="1564" spans="1:16" x14ac:dyDescent="0.3">
      <c r="A1564" t="s">
        <v>3131</v>
      </c>
      <c r="B1564" t="s">
        <v>3132</v>
      </c>
      <c r="C1564">
        <v>37.61</v>
      </c>
      <c r="D1564">
        <v>40.49</v>
      </c>
      <c r="E1564">
        <v>37.61</v>
      </c>
      <c r="F1564">
        <v>37.97</v>
      </c>
      <c r="G1564">
        <v>41.09</v>
      </c>
      <c r="H1564">
        <v>4464</v>
      </c>
      <c r="I1564">
        <v>94</v>
      </c>
      <c r="J1564">
        <v>1003987020</v>
      </c>
      <c r="K1564">
        <v>26441586</v>
      </c>
      <c r="L1564">
        <f>(Table1[[#This Row],[CLOSE_PRICE]] - Table1[[#This Row],[PREV_CL_PR]]) / Table1[[#This Row],[PREV_CL_PR]] * 100</f>
        <v>-7.5930883426624591</v>
      </c>
      <c r="M1564">
        <f>Table1[[#This Row],[HIGH_PRICE]]-Table1[[#This Row],[LOW_PRICE]]</f>
        <v>2.8800000000000026</v>
      </c>
      <c r="N1564" t="str">
        <f>IF(Table1[[#This Row],[CLOSE_PRICE]]&gt;Table1[[#This Row],[OPEN_PRICE]],"Gain","Loss")</f>
        <v>Gain</v>
      </c>
      <c r="O1564" t="str">
        <f>IF(Table1[[#This Row],[MARKET_CAP]]&gt;200000000000,"Large Cap",
IF(Table1[[#This Row],[MARKET_CAP]]&gt;50000000000,"Mid Cap","Small Cap"))</f>
        <v>Small Cap</v>
      </c>
      <c r="P1564" t="str">
        <f>IF(Table1[[#This Row],[NET_TRDQTY]]&gt;1000000,"High Volume","Low Volume")</f>
        <v>Low Volume</v>
      </c>
    </row>
    <row r="1565" spans="1:16" x14ac:dyDescent="0.3">
      <c r="A1565" t="s">
        <v>3133</v>
      </c>
      <c r="B1565" t="s">
        <v>3134</v>
      </c>
      <c r="C1565">
        <v>270</v>
      </c>
      <c r="D1565">
        <v>270.8</v>
      </c>
      <c r="E1565">
        <v>251.6</v>
      </c>
      <c r="F1565">
        <v>254.85</v>
      </c>
      <c r="G1565">
        <v>273.95</v>
      </c>
      <c r="H1565">
        <v>216062</v>
      </c>
      <c r="I1565">
        <v>13996</v>
      </c>
      <c r="J1565">
        <v>63441998642</v>
      </c>
      <c r="K1565">
        <v>248938586</v>
      </c>
      <c r="L1565">
        <f>(Table1[[#This Row],[CLOSE_PRICE]] - Table1[[#This Row],[PREV_CL_PR]]) / Table1[[#This Row],[PREV_CL_PR]] * 100</f>
        <v>-6.9720751962036847</v>
      </c>
      <c r="M1565">
        <f>Table1[[#This Row],[HIGH_PRICE]]-Table1[[#This Row],[LOW_PRICE]]</f>
        <v>19.200000000000017</v>
      </c>
      <c r="N1565" t="str">
        <f>IF(Table1[[#This Row],[CLOSE_PRICE]]&gt;Table1[[#This Row],[OPEN_PRICE]],"Gain","Loss")</f>
        <v>Loss</v>
      </c>
      <c r="O1565" t="str">
        <f>IF(Table1[[#This Row],[MARKET_CAP]]&gt;200000000000,"Large Cap",
IF(Table1[[#This Row],[MARKET_CAP]]&gt;50000000000,"Mid Cap","Small Cap"))</f>
        <v>Mid Cap</v>
      </c>
      <c r="P1565" t="str">
        <f>IF(Table1[[#This Row],[NET_TRDQTY]]&gt;1000000,"High Volume","Low Volume")</f>
        <v>Low Volume</v>
      </c>
    </row>
    <row r="1566" spans="1:16" x14ac:dyDescent="0.3">
      <c r="A1566" t="s">
        <v>3135</v>
      </c>
      <c r="B1566" t="s">
        <v>3136</v>
      </c>
      <c r="C1566">
        <v>115.2</v>
      </c>
      <c r="D1566">
        <v>117.99</v>
      </c>
      <c r="E1566">
        <v>113</v>
      </c>
      <c r="F1566">
        <v>114.75</v>
      </c>
      <c r="G1566">
        <v>113.53</v>
      </c>
      <c r="H1566">
        <v>6650</v>
      </c>
      <c r="I1566">
        <v>197</v>
      </c>
      <c r="J1566">
        <v>865623854.29999995</v>
      </c>
      <c r="K1566">
        <v>7543563</v>
      </c>
      <c r="L1566">
        <f>(Table1[[#This Row],[CLOSE_PRICE]] - Table1[[#This Row],[PREV_CL_PR]]) / Table1[[#This Row],[PREV_CL_PR]] * 100</f>
        <v>1.0746058310578692</v>
      </c>
      <c r="M1566">
        <f>Table1[[#This Row],[HIGH_PRICE]]-Table1[[#This Row],[LOW_PRICE]]</f>
        <v>4.9899999999999949</v>
      </c>
      <c r="N1566" t="str">
        <f>IF(Table1[[#This Row],[CLOSE_PRICE]]&gt;Table1[[#This Row],[OPEN_PRICE]],"Gain","Loss")</f>
        <v>Loss</v>
      </c>
      <c r="O1566" t="str">
        <f>IF(Table1[[#This Row],[MARKET_CAP]]&gt;200000000000,"Large Cap",
IF(Table1[[#This Row],[MARKET_CAP]]&gt;50000000000,"Mid Cap","Small Cap"))</f>
        <v>Small Cap</v>
      </c>
      <c r="P1566" t="str">
        <f>IF(Table1[[#This Row],[NET_TRDQTY]]&gt;1000000,"High Volume","Low Volume")</f>
        <v>Low Volume</v>
      </c>
    </row>
    <row r="1567" spans="1:16" x14ac:dyDescent="0.3">
      <c r="A1567" t="s">
        <v>3137</v>
      </c>
      <c r="B1567" t="s">
        <v>3138</v>
      </c>
      <c r="C1567">
        <v>121.76</v>
      </c>
      <c r="D1567">
        <v>121.76</v>
      </c>
      <c r="E1567">
        <v>112</v>
      </c>
      <c r="F1567">
        <v>113.3</v>
      </c>
      <c r="G1567">
        <v>121.76</v>
      </c>
      <c r="H1567">
        <v>44708</v>
      </c>
      <c r="I1567">
        <v>714</v>
      </c>
      <c r="J1567">
        <v>1169256000</v>
      </c>
      <c r="K1567">
        <v>10320000</v>
      </c>
      <c r="L1567">
        <f>(Table1[[#This Row],[CLOSE_PRICE]] - Table1[[#This Row],[PREV_CL_PR]]) / Table1[[#This Row],[PREV_CL_PR]] * 100</f>
        <v>-6.9480946123521754</v>
      </c>
      <c r="M1567">
        <f>Table1[[#This Row],[HIGH_PRICE]]-Table1[[#This Row],[LOW_PRICE]]</f>
        <v>9.7600000000000051</v>
      </c>
      <c r="N1567" t="str">
        <f>IF(Table1[[#This Row],[CLOSE_PRICE]]&gt;Table1[[#This Row],[OPEN_PRICE]],"Gain","Loss")</f>
        <v>Loss</v>
      </c>
      <c r="O1567" t="str">
        <f>IF(Table1[[#This Row],[MARKET_CAP]]&gt;200000000000,"Large Cap",
IF(Table1[[#This Row],[MARKET_CAP]]&gt;50000000000,"Mid Cap","Small Cap"))</f>
        <v>Small Cap</v>
      </c>
      <c r="P1567" t="str">
        <f>IF(Table1[[#This Row],[NET_TRDQTY]]&gt;1000000,"High Volume","Low Volume")</f>
        <v>Low Volume</v>
      </c>
    </row>
    <row r="1568" spans="1:16" x14ac:dyDescent="0.3">
      <c r="A1568" t="s">
        <v>3139</v>
      </c>
      <c r="B1568" t="s">
        <v>3140</v>
      </c>
      <c r="C1568">
        <v>214</v>
      </c>
      <c r="D1568">
        <v>214.38</v>
      </c>
      <c r="E1568">
        <v>199.9</v>
      </c>
      <c r="F1568">
        <v>201.11</v>
      </c>
      <c r="G1568">
        <v>215.94</v>
      </c>
      <c r="H1568">
        <v>2734926</v>
      </c>
      <c r="I1568">
        <v>30438</v>
      </c>
      <c r="J1568">
        <v>66518070276</v>
      </c>
      <c r="K1568">
        <v>330754663</v>
      </c>
      <c r="L1568">
        <f>(Table1[[#This Row],[CLOSE_PRICE]] - Table1[[#This Row],[PREV_CL_PR]]) / Table1[[#This Row],[PREV_CL_PR]] * 100</f>
        <v>-6.8676484208576385</v>
      </c>
      <c r="M1568">
        <f>Table1[[#This Row],[HIGH_PRICE]]-Table1[[#This Row],[LOW_PRICE]]</f>
        <v>14.47999999999999</v>
      </c>
      <c r="N1568" t="str">
        <f>IF(Table1[[#This Row],[CLOSE_PRICE]]&gt;Table1[[#This Row],[OPEN_PRICE]],"Gain","Loss")</f>
        <v>Loss</v>
      </c>
      <c r="O1568" t="str">
        <f>IF(Table1[[#This Row],[MARKET_CAP]]&gt;200000000000,"Large Cap",
IF(Table1[[#This Row],[MARKET_CAP]]&gt;50000000000,"Mid Cap","Small Cap"))</f>
        <v>Mid Cap</v>
      </c>
      <c r="P1568" t="str">
        <f>IF(Table1[[#This Row],[NET_TRDQTY]]&gt;1000000,"High Volume","Low Volume")</f>
        <v>High Volume</v>
      </c>
    </row>
    <row r="1569" spans="1:16" x14ac:dyDescent="0.3">
      <c r="A1569" t="s">
        <v>3141</v>
      </c>
      <c r="B1569" t="s">
        <v>3142</v>
      </c>
      <c r="C1569">
        <v>131</v>
      </c>
      <c r="D1569">
        <v>131.43</v>
      </c>
      <c r="E1569">
        <v>122.2</v>
      </c>
      <c r="F1569">
        <v>123.55</v>
      </c>
      <c r="G1569">
        <v>132.03</v>
      </c>
      <c r="H1569">
        <v>81299</v>
      </c>
      <c r="I1569">
        <v>1672</v>
      </c>
      <c r="J1569">
        <v>22060403904</v>
      </c>
      <c r="K1569">
        <v>178554463</v>
      </c>
      <c r="L1569">
        <f>(Table1[[#This Row],[CLOSE_PRICE]] - Table1[[#This Row],[PREV_CL_PR]]) / Table1[[#This Row],[PREV_CL_PR]] * 100</f>
        <v>-6.4227827009013136</v>
      </c>
      <c r="M1569">
        <f>Table1[[#This Row],[HIGH_PRICE]]-Table1[[#This Row],[LOW_PRICE]]</f>
        <v>9.230000000000004</v>
      </c>
      <c r="N1569" t="str">
        <f>IF(Table1[[#This Row],[CLOSE_PRICE]]&gt;Table1[[#This Row],[OPEN_PRICE]],"Gain","Loss")</f>
        <v>Loss</v>
      </c>
      <c r="O1569" t="str">
        <f>IF(Table1[[#This Row],[MARKET_CAP]]&gt;200000000000,"Large Cap",
IF(Table1[[#This Row],[MARKET_CAP]]&gt;50000000000,"Mid Cap","Small Cap"))</f>
        <v>Small Cap</v>
      </c>
      <c r="P1569" t="str">
        <f>IF(Table1[[#This Row],[NET_TRDQTY]]&gt;1000000,"High Volume","Low Volume")</f>
        <v>Low Volume</v>
      </c>
    </row>
    <row r="1570" spans="1:16" x14ac:dyDescent="0.3">
      <c r="A1570" t="s">
        <v>3143</v>
      </c>
      <c r="B1570" t="s">
        <v>3144</v>
      </c>
      <c r="C1570">
        <v>86</v>
      </c>
      <c r="D1570">
        <v>86.31</v>
      </c>
      <c r="E1570">
        <v>80.180000000000007</v>
      </c>
      <c r="F1570">
        <v>80.739999999999995</v>
      </c>
      <c r="G1570">
        <v>86.31</v>
      </c>
      <c r="H1570">
        <v>223045</v>
      </c>
      <c r="I1570">
        <v>2588</v>
      </c>
      <c r="J1570">
        <v>2816113101</v>
      </c>
      <c r="K1570">
        <v>34878785</v>
      </c>
      <c r="L1570">
        <f>(Table1[[#This Row],[CLOSE_PRICE]] - Table1[[#This Row],[PREV_CL_PR]]) / Table1[[#This Row],[PREV_CL_PR]] * 100</f>
        <v>-6.4534816359633957</v>
      </c>
      <c r="M1570">
        <f>Table1[[#This Row],[HIGH_PRICE]]-Table1[[#This Row],[LOW_PRICE]]</f>
        <v>6.1299999999999955</v>
      </c>
      <c r="N1570" t="str">
        <f>IF(Table1[[#This Row],[CLOSE_PRICE]]&gt;Table1[[#This Row],[OPEN_PRICE]],"Gain","Loss")</f>
        <v>Loss</v>
      </c>
      <c r="O1570" t="str">
        <f>IF(Table1[[#This Row],[MARKET_CAP]]&gt;200000000000,"Large Cap",
IF(Table1[[#This Row],[MARKET_CAP]]&gt;50000000000,"Mid Cap","Small Cap"))</f>
        <v>Small Cap</v>
      </c>
      <c r="P1570" t="str">
        <f>IF(Table1[[#This Row],[NET_TRDQTY]]&gt;1000000,"High Volume","Low Volume")</f>
        <v>Low Volume</v>
      </c>
    </row>
    <row r="1571" spans="1:16" x14ac:dyDescent="0.3">
      <c r="A1571" t="s">
        <v>3145</v>
      </c>
      <c r="B1571" t="s">
        <v>3146</v>
      </c>
      <c r="C1571">
        <v>24.8</v>
      </c>
      <c r="D1571">
        <v>24.86</v>
      </c>
      <c r="E1571">
        <v>23.45</v>
      </c>
      <c r="F1571">
        <v>24.11</v>
      </c>
      <c r="G1571">
        <v>24.87</v>
      </c>
      <c r="H1571">
        <v>8175487</v>
      </c>
      <c r="I1571">
        <v>26723</v>
      </c>
      <c r="J1571">
        <v>51317888427</v>
      </c>
      <c r="K1571">
        <v>2128489773</v>
      </c>
      <c r="L1571">
        <f>(Table1[[#This Row],[CLOSE_PRICE]] - Table1[[#This Row],[PREV_CL_PR]]) / Table1[[#This Row],[PREV_CL_PR]] * 100</f>
        <v>-3.0558906312826761</v>
      </c>
      <c r="M1571">
        <f>Table1[[#This Row],[HIGH_PRICE]]-Table1[[#This Row],[LOW_PRICE]]</f>
        <v>1.4100000000000001</v>
      </c>
      <c r="N1571" t="str">
        <f>IF(Table1[[#This Row],[CLOSE_PRICE]]&gt;Table1[[#This Row],[OPEN_PRICE]],"Gain","Loss")</f>
        <v>Loss</v>
      </c>
      <c r="O1571" t="str">
        <f>IF(Table1[[#This Row],[MARKET_CAP]]&gt;200000000000,"Large Cap",
IF(Table1[[#This Row],[MARKET_CAP]]&gt;50000000000,"Mid Cap","Small Cap"))</f>
        <v>Mid Cap</v>
      </c>
      <c r="P1571" t="str">
        <f>IF(Table1[[#This Row],[NET_TRDQTY]]&gt;1000000,"High Volume","Low Volume")</f>
        <v>High Volume</v>
      </c>
    </row>
    <row r="1572" spans="1:16" x14ac:dyDescent="0.3">
      <c r="A1572" t="s">
        <v>3147</v>
      </c>
      <c r="B1572" t="s">
        <v>3148</v>
      </c>
      <c r="C1572">
        <v>348</v>
      </c>
      <c r="D1572">
        <v>349.15</v>
      </c>
      <c r="E1572">
        <v>333.6</v>
      </c>
      <c r="F1572">
        <v>336.6</v>
      </c>
      <c r="G1572">
        <v>351.15</v>
      </c>
      <c r="H1572">
        <v>244257</v>
      </c>
      <c r="I1572">
        <v>3033</v>
      </c>
      <c r="J1572">
        <v>21058154449</v>
      </c>
      <c r="K1572">
        <v>62561362</v>
      </c>
      <c r="L1572">
        <f>(Table1[[#This Row],[CLOSE_PRICE]] - Table1[[#This Row],[PREV_CL_PR]]) / Table1[[#This Row],[PREV_CL_PR]] * 100</f>
        <v>-4.1435284066638056</v>
      </c>
      <c r="M1572">
        <f>Table1[[#This Row],[HIGH_PRICE]]-Table1[[#This Row],[LOW_PRICE]]</f>
        <v>15.549999999999955</v>
      </c>
      <c r="N1572" t="str">
        <f>IF(Table1[[#This Row],[CLOSE_PRICE]]&gt;Table1[[#This Row],[OPEN_PRICE]],"Gain","Loss")</f>
        <v>Loss</v>
      </c>
      <c r="O1572" t="str">
        <f>IF(Table1[[#This Row],[MARKET_CAP]]&gt;200000000000,"Large Cap",
IF(Table1[[#This Row],[MARKET_CAP]]&gt;50000000000,"Mid Cap","Small Cap"))</f>
        <v>Small Cap</v>
      </c>
      <c r="P1572" t="str">
        <f>IF(Table1[[#This Row],[NET_TRDQTY]]&gt;1000000,"High Volume","Low Volume")</f>
        <v>Low Volume</v>
      </c>
    </row>
    <row r="1573" spans="1:16" x14ac:dyDescent="0.3">
      <c r="A1573" t="s">
        <v>3149</v>
      </c>
      <c r="B1573" t="s">
        <v>3150</v>
      </c>
      <c r="C1573">
        <v>69.86</v>
      </c>
      <c r="D1573">
        <v>69.86</v>
      </c>
      <c r="E1573">
        <v>62</v>
      </c>
      <c r="F1573">
        <v>63.1</v>
      </c>
      <c r="G1573">
        <v>70.44</v>
      </c>
      <c r="H1573">
        <v>58676</v>
      </c>
      <c r="I1573">
        <v>705</v>
      </c>
      <c r="J1573">
        <v>1143529750</v>
      </c>
      <c r="K1573">
        <v>18122500</v>
      </c>
      <c r="L1573">
        <f>(Table1[[#This Row],[CLOSE_PRICE]] - Table1[[#This Row],[PREV_CL_PR]]) / Table1[[#This Row],[PREV_CL_PR]] * 100</f>
        <v>-10.420215786484947</v>
      </c>
      <c r="M1573">
        <f>Table1[[#This Row],[HIGH_PRICE]]-Table1[[#This Row],[LOW_PRICE]]</f>
        <v>7.8599999999999994</v>
      </c>
      <c r="N1573" t="str">
        <f>IF(Table1[[#This Row],[CLOSE_PRICE]]&gt;Table1[[#This Row],[OPEN_PRICE]],"Gain","Loss")</f>
        <v>Loss</v>
      </c>
      <c r="O1573" t="str">
        <f>IF(Table1[[#This Row],[MARKET_CAP]]&gt;200000000000,"Large Cap",
IF(Table1[[#This Row],[MARKET_CAP]]&gt;50000000000,"Mid Cap","Small Cap"))</f>
        <v>Small Cap</v>
      </c>
      <c r="P1573" t="str">
        <f>IF(Table1[[#This Row],[NET_TRDQTY]]&gt;1000000,"High Volume","Low Volume")</f>
        <v>Low Volume</v>
      </c>
    </row>
    <row r="1574" spans="1:16" x14ac:dyDescent="0.3">
      <c r="A1574" t="s">
        <v>3151</v>
      </c>
      <c r="B1574" t="s">
        <v>3152</v>
      </c>
      <c r="C1574">
        <v>358.8</v>
      </c>
      <c r="D1574">
        <v>364.65</v>
      </c>
      <c r="E1574">
        <v>344.55</v>
      </c>
      <c r="F1574">
        <v>346.6</v>
      </c>
      <c r="G1574">
        <v>366.1</v>
      </c>
      <c r="H1574">
        <v>14170</v>
      </c>
      <c r="I1574">
        <v>1009</v>
      </c>
      <c r="J1574">
        <v>4972094151</v>
      </c>
      <c r="K1574">
        <v>14345338</v>
      </c>
      <c r="L1574">
        <f>(Table1[[#This Row],[CLOSE_PRICE]] - Table1[[#This Row],[PREV_CL_PR]]) / Table1[[#This Row],[PREV_CL_PR]] * 100</f>
        <v>-5.326413548210871</v>
      </c>
      <c r="M1574">
        <f>Table1[[#This Row],[HIGH_PRICE]]-Table1[[#This Row],[LOW_PRICE]]</f>
        <v>20.099999999999966</v>
      </c>
      <c r="N1574" t="str">
        <f>IF(Table1[[#This Row],[CLOSE_PRICE]]&gt;Table1[[#This Row],[OPEN_PRICE]],"Gain","Loss")</f>
        <v>Loss</v>
      </c>
      <c r="O1574" t="str">
        <f>IF(Table1[[#This Row],[MARKET_CAP]]&gt;200000000000,"Large Cap",
IF(Table1[[#This Row],[MARKET_CAP]]&gt;50000000000,"Mid Cap","Small Cap"))</f>
        <v>Small Cap</v>
      </c>
      <c r="P1574" t="str">
        <f>IF(Table1[[#This Row],[NET_TRDQTY]]&gt;1000000,"High Volume","Low Volume")</f>
        <v>Low Volume</v>
      </c>
    </row>
    <row r="1575" spans="1:16" x14ac:dyDescent="0.3">
      <c r="A1575" t="s">
        <v>3153</v>
      </c>
      <c r="B1575" t="s">
        <v>3154</v>
      </c>
      <c r="C1575">
        <v>149.46</v>
      </c>
      <c r="D1575">
        <v>150.80000000000001</v>
      </c>
      <c r="E1575">
        <v>138.91999999999999</v>
      </c>
      <c r="F1575">
        <v>140.12</v>
      </c>
      <c r="G1575">
        <v>152.12</v>
      </c>
      <c r="H1575">
        <v>365940</v>
      </c>
      <c r="I1575">
        <v>3951</v>
      </c>
      <c r="J1575">
        <v>37357189185</v>
      </c>
      <c r="K1575">
        <v>266608544</v>
      </c>
      <c r="L1575">
        <f>(Table1[[#This Row],[CLOSE_PRICE]] - Table1[[#This Row],[PREV_CL_PR]]) / Table1[[#This Row],[PREV_CL_PR]] * 100</f>
        <v>-7.8885090717854318</v>
      </c>
      <c r="M1575">
        <f>Table1[[#This Row],[HIGH_PRICE]]-Table1[[#This Row],[LOW_PRICE]]</f>
        <v>11.880000000000024</v>
      </c>
      <c r="N1575" t="str">
        <f>IF(Table1[[#This Row],[CLOSE_PRICE]]&gt;Table1[[#This Row],[OPEN_PRICE]],"Gain","Loss")</f>
        <v>Loss</v>
      </c>
      <c r="O1575" t="str">
        <f>IF(Table1[[#This Row],[MARKET_CAP]]&gt;200000000000,"Large Cap",
IF(Table1[[#This Row],[MARKET_CAP]]&gt;50000000000,"Mid Cap","Small Cap"))</f>
        <v>Small Cap</v>
      </c>
      <c r="P1575" t="str">
        <f>IF(Table1[[#This Row],[NET_TRDQTY]]&gt;1000000,"High Volume","Low Volume")</f>
        <v>Low Volume</v>
      </c>
    </row>
    <row r="1576" spans="1:16" x14ac:dyDescent="0.3">
      <c r="A1576" t="s">
        <v>3155</v>
      </c>
      <c r="B1576" t="s">
        <v>3156</v>
      </c>
      <c r="C1576">
        <v>19.170000000000002</v>
      </c>
      <c r="D1576">
        <v>19.3</v>
      </c>
      <c r="E1576">
        <v>16.8</v>
      </c>
      <c r="F1576">
        <v>17.87</v>
      </c>
      <c r="G1576">
        <v>19.13</v>
      </c>
      <c r="H1576">
        <v>15540</v>
      </c>
      <c r="I1576">
        <v>165</v>
      </c>
      <c r="J1576">
        <v>146616202</v>
      </c>
      <c r="K1576">
        <v>8204600</v>
      </c>
      <c r="L1576">
        <f>(Table1[[#This Row],[CLOSE_PRICE]] - Table1[[#This Row],[PREV_CL_PR]]) / Table1[[#This Row],[PREV_CL_PR]] * 100</f>
        <v>-6.5865133298483949</v>
      </c>
      <c r="M1576">
        <f>Table1[[#This Row],[HIGH_PRICE]]-Table1[[#This Row],[LOW_PRICE]]</f>
        <v>2.5</v>
      </c>
      <c r="N1576" t="str">
        <f>IF(Table1[[#This Row],[CLOSE_PRICE]]&gt;Table1[[#This Row],[OPEN_PRICE]],"Gain","Loss")</f>
        <v>Loss</v>
      </c>
      <c r="O1576" t="str">
        <f>IF(Table1[[#This Row],[MARKET_CAP]]&gt;200000000000,"Large Cap",
IF(Table1[[#This Row],[MARKET_CAP]]&gt;50000000000,"Mid Cap","Small Cap"))</f>
        <v>Small Cap</v>
      </c>
      <c r="P1576" t="str">
        <f>IF(Table1[[#This Row],[NET_TRDQTY]]&gt;1000000,"High Volume","Low Volume")</f>
        <v>Low Volume</v>
      </c>
    </row>
    <row r="1577" spans="1:16" x14ac:dyDescent="0.3">
      <c r="A1577" t="s">
        <v>3157</v>
      </c>
      <c r="B1577" t="s">
        <v>3158</v>
      </c>
      <c r="C1577">
        <v>92.62</v>
      </c>
      <c r="D1577">
        <v>92.62</v>
      </c>
      <c r="E1577">
        <v>85</v>
      </c>
      <c r="F1577">
        <v>86.18</v>
      </c>
      <c r="G1577">
        <v>93.49</v>
      </c>
      <c r="H1577">
        <v>2323288</v>
      </c>
      <c r="I1577">
        <v>9646</v>
      </c>
      <c r="J1577">
        <v>9249309091</v>
      </c>
      <c r="K1577">
        <v>107325471</v>
      </c>
      <c r="L1577">
        <f>(Table1[[#This Row],[CLOSE_PRICE]] - Table1[[#This Row],[PREV_CL_PR]]) / Table1[[#This Row],[PREV_CL_PR]] * 100</f>
        <v>-7.8190180767996456</v>
      </c>
      <c r="M1577">
        <f>Table1[[#This Row],[HIGH_PRICE]]-Table1[[#This Row],[LOW_PRICE]]</f>
        <v>7.6200000000000045</v>
      </c>
      <c r="N1577" t="str">
        <f>IF(Table1[[#This Row],[CLOSE_PRICE]]&gt;Table1[[#This Row],[OPEN_PRICE]],"Gain","Loss")</f>
        <v>Loss</v>
      </c>
      <c r="O1577" t="str">
        <f>IF(Table1[[#This Row],[MARKET_CAP]]&gt;200000000000,"Large Cap",
IF(Table1[[#This Row],[MARKET_CAP]]&gt;50000000000,"Mid Cap","Small Cap"))</f>
        <v>Small Cap</v>
      </c>
      <c r="P1577" t="str">
        <f>IF(Table1[[#This Row],[NET_TRDQTY]]&gt;1000000,"High Volume","Low Volume")</f>
        <v>High Volume</v>
      </c>
    </row>
    <row r="1578" spans="1:16" x14ac:dyDescent="0.3">
      <c r="A1578" t="s">
        <v>3159</v>
      </c>
      <c r="B1578" t="s">
        <v>3160</v>
      </c>
      <c r="C1578">
        <v>25</v>
      </c>
      <c r="D1578">
        <v>25.01</v>
      </c>
      <c r="E1578">
        <v>24.1</v>
      </c>
      <c r="F1578">
        <v>24.37</v>
      </c>
      <c r="G1578">
        <v>25.01</v>
      </c>
      <c r="H1578">
        <v>3292267</v>
      </c>
      <c r="I1578">
        <v>1961</v>
      </c>
      <c r="J1578">
        <v>19419843750</v>
      </c>
      <c r="K1578">
        <v>796875000</v>
      </c>
      <c r="L1578">
        <f>(Table1[[#This Row],[CLOSE_PRICE]] - Table1[[#This Row],[PREV_CL_PR]]) / Table1[[#This Row],[PREV_CL_PR]] * 100</f>
        <v>-2.5589764094362275</v>
      </c>
      <c r="M1578">
        <f>Table1[[#This Row],[HIGH_PRICE]]-Table1[[#This Row],[LOW_PRICE]]</f>
        <v>0.91000000000000014</v>
      </c>
      <c r="N1578" t="str">
        <f>IF(Table1[[#This Row],[CLOSE_PRICE]]&gt;Table1[[#This Row],[OPEN_PRICE]],"Gain","Loss")</f>
        <v>Loss</v>
      </c>
      <c r="O1578" t="str">
        <f>IF(Table1[[#This Row],[MARKET_CAP]]&gt;200000000000,"Large Cap",
IF(Table1[[#This Row],[MARKET_CAP]]&gt;50000000000,"Mid Cap","Small Cap"))</f>
        <v>Small Cap</v>
      </c>
      <c r="P1578" t="str">
        <f>IF(Table1[[#This Row],[NET_TRDQTY]]&gt;1000000,"High Volume","Low Volume")</f>
        <v>High Volume</v>
      </c>
    </row>
    <row r="1579" spans="1:16" x14ac:dyDescent="0.3">
      <c r="A1579" t="s">
        <v>3161</v>
      </c>
      <c r="B1579" t="s">
        <v>3162</v>
      </c>
      <c r="C1579">
        <v>362.25</v>
      </c>
      <c r="D1579">
        <v>368</v>
      </c>
      <c r="E1579">
        <v>336.2</v>
      </c>
      <c r="F1579">
        <v>340.6</v>
      </c>
      <c r="G1579">
        <v>370.35</v>
      </c>
      <c r="H1579">
        <v>273573</v>
      </c>
      <c r="I1579">
        <v>13151</v>
      </c>
      <c r="J1579">
        <v>70334385696</v>
      </c>
      <c r="K1579">
        <v>206501426</v>
      </c>
      <c r="L1579">
        <f>(Table1[[#This Row],[CLOSE_PRICE]] - Table1[[#This Row],[PREV_CL_PR]]) / Table1[[#This Row],[PREV_CL_PR]] * 100</f>
        <v>-8.0329418117996489</v>
      </c>
      <c r="M1579">
        <f>Table1[[#This Row],[HIGH_PRICE]]-Table1[[#This Row],[LOW_PRICE]]</f>
        <v>31.800000000000011</v>
      </c>
      <c r="N1579" t="str">
        <f>IF(Table1[[#This Row],[CLOSE_PRICE]]&gt;Table1[[#This Row],[OPEN_PRICE]],"Gain","Loss")</f>
        <v>Loss</v>
      </c>
      <c r="O1579" t="str">
        <f>IF(Table1[[#This Row],[MARKET_CAP]]&gt;200000000000,"Large Cap",
IF(Table1[[#This Row],[MARKET_CAP]]&gt;50000000000,"Mid Cap","Small Cap"))</f>
        <v>Mid Cap</v>
      </c>
      <c r="P1579" t="str">
        <f>IF(Table1[[#This Row],[NET_TRDQTY]]&gt;1000000,"High Volume","Low Volume")</f>
        <v>Low Volume</v>
      </c>
    </row>
    <row r="1580" spans="1:16" x14ac:dyDescent="0.3">
      <c r="A1580" t="s">
        <v>3163</v>
      </c>
      <c r="B1580" t="s">
        <v>3164</v>
      </c>
      <c r="C1580">
        <v>174.52</v>
      </c>
      <c r="D1580">
        <v>174.52</v>
      </c>
      <c r="E1580">
        <v>164</v>
      </c>
      <c r="F1580">
        <v>164.93</v>
      </c>
      <c r="G1580">
        <v>173.65</v>
      </c>
      <c r="H1580">
        <v>6132</v>
      </c>
      <c r="I1580">
        <v>245</v>
      </c>
      <c r="J1580">
        <v>2851919421</v>
      </c>
      <c r="K1580">
        <v>17291696</v>
      </c>
      <c r="L1580">
        <f>(Table1[[#This Row],[CLOSE_PRICE]] - Table1[[#This Row],[PREV_CL_PR]]) / Table1[[#This Row],[PREV_CL_PR]] * 100</f>
        <v>-5.0215951626835578</v>
      </c>
      <c r="M1580">
        <f>Table1[[#This Row],[HIGH_PRICE]]-Table1[[#This Row],[LOW_PRICE]]</f>
        <v>10.52000000000001</v>
      </c>
      <c r="N1580" t="str">
        <f>IF(Table1[[#This Row],[CLOSE_PRICE]]&gt;Table1[[#This Row],[OPEN_PRICE]],"Gain","Loss")</f>
        <v>Loss</v>
      </c>
      <c r="O1580" t="str">
        <f>IF(Table1[[#This Row],[MARKET_CAP]]&gt;200000000000,"Large Cap",
IF(Table1[[#This Row],[MARKET_CAP]]&gt;50000000000,"Mid Cap","Small Cap"))</f>
        <v>Small Cap</v>
      </c>
      <c r="P1580" t="str">
        <f>IF(Table1[[#This Row],[NET_TRDQTY]]&gt;1000000,"High Volume","Low Volume")</f>
        <v>Low Volume</v>
      </c>
    </row>
    <row r="1581" spans="1:16" x14ac:dyDescent="0.3">
      <c r="A1581" t="s">
        <v>3165</v>
      </c>
      <c r="B1581" t="s">
        <v>3166</v>
      </c>
      <c r="C1581">
        <v>108.39</v>
      </c>
      <c r="D1581">
        <v>108.39</v>
      </c>
      <c r="E1581">
        <v>102.1</v>
      </c>
      <c r="F1581">
        <v>103.02</v>
      </c>
      <c r="G1581">
        <v>109.18</v>
      </c>
      <c r="H1581">
        <v>1217719</v>
      </c>
      <c r="I1581">
        <v>7569</v>
      </c>
      <c r="J1581">
        <v>13937060700</v>
      </c>
      <c r="K1581">
        <v>135285000</v>
      </c>
      <c r="L1581">
        <f>(Table1[[#This Row],[CLOSE_PRICE]] - Table1[[#This Row],[PREV_CL_PR]]) / Table1[[#This Row],[PREV_CL_PR]] * 100</f>
        <v>-5.6420589851621274</v>
      </c>
      <c r="M1581">
        <f>Table1[[#This Row],[HIGH_PRICE]]-Table1[[#This Row],[LOW_PRICE]]</f>
        <v>6.2900000000000063</v>
      </c>
      <c r="N1581" t="str">
        <f>IF(Table1[[#This Row],[CLOSE_PRICE]]&gt;Table1[[#This Row],[OPEN_PRICE]],"Gain","Loss")</f>
        <v>Loss</v>
      </c>
      <c r="O1581" t="str">
        <f>IF(Table1[[#This Row],[MARKET_CAP]]&gt;200000000000,"Large Cap",
IF(Table1[[#This Row],[MARKET_CAP]]&gt;50000000000,"Mid Cap","Small Cap"))</f>
        <v>Small Cap</v>
      </c>
      <c r="P1581" t="str">
        <f>IF(Table1[[#This Row],[NET_TRDQTY]]&gt;1000000,"High Volume","Low Volume")</f>
        <v>High Volume</v>
      </c>
    </row>
    <row r="1582" spans="1:16" x14ac:dyDescent="0.3">
      <c r="A1582" t="s">
        <v>3167</v>
      </c>
      <c r="B1582" t="s">
        <v>3168</v>
      </c>
      <c r="C1582">
        <v>688</v>
      </c>
      <c r="D1582">
        <v>708.9</v>
      </c>
      <c r="E1582">
        <v>646.04999999999995</v>
      </c>
      <c r="F1582">
        <v>659.05</v>
      </c>
      <c r="G1582">
        <v>715</v>
      </c>
      <c r="H1582">
        <v>237867</v>
      </c>
      <c r="I1582">
        <v>10604</v>
      </c>
      <c r="J1582">
        <v>9951655000</v>
      </c>
      <c r="K1582">
        <v>15100000</v>
      </c>
      <c r="L1582">
        <f>(Table1[[#This Row],[CLOSE_PRICE]] - Table1[[#This Row],[PREV_CL_PR]]) / Table1[[#This Row],[PREV_CL_PR]] * 100</f>
        <v>-7.8251748251748312</v>
      </c>
      <c r="M1582">
        <f>Table1[[#This Row],[HIGH_PRICE]]-Table1[[#This Row],[LOW_PRICE]]</f>
        <v>62.850000000000023</v>
      </c>
      <c r="N1582" t="str">
        <f>IF(Table1[[#This Row],[CLOSE_PRICE]]&gt;Table1[[#This Row],[OPEN_PRICE]],"Gain","Loss")</f>
        <v>Loss</v>
      </c>
      <c r="O1582" t="str">
        <f>IF(Table1[[#This Row],[MARKET_CAP]]&gt;200000000000,"Large Cap",
IF(Table1[[#This Row],[MARKET_CAP]]&gt;50000000000,"Mid Cap","Small Cap"))</f>
        <v>Small Cap</v>
      </c>
      <c r="P1582" t="str">
        <f>IF(Table1[[#This Row],[NET_TRDQTY]]&gt;1000000,"High Volume","Low Volume")</f>
        <v>Low Volume</v>
      </c>
    </row>
    <row r="1583" spans="1:16" x14ac:dyDescent="0.3">
      <c r="A1583" t="s">
        <v>3169</v>
      </c>
      <c r="B1583" t="s">
        <v>3170</v>
      </c>
      <c r="C1583">
        <v>389.55</v>
      </c>
      <c r="D1583">
        <v>399.95</v>
      </c>
      <c r="E1583">
        <v>360</v>
      </c>
      <c r="F1583">
        <v>362.65</v>
      </c>
      <c r="G1583">
        <v>387.65</v>
      </c>
      <c r="H1583">
        <v>32259</v>
      </c>
      <c r="I1583">
        <v>1588</v>
      </c>
      <c r="J1583">
        <v>13950936614</v>
      </c>
      <c r="K1583">
        <v>38469424</v>
      </c>
      <c r="L1583">
        <f>(Table1[[#This Row],[CLOSE_PRICE]] - Table1[[#This Row],[PREV_CL_PR]]) / Table1[[#This Row],[PREV_CL_PR]] * 100</f>
        <v>-6.4491164710434674</v>
      </c>
      <c r="M1583">
        <f>Table1[[#This Row],[HIGH_PRICE]]-Table1[[#This Row],[LOW_PRICE]]</f>
        <v>39.949999999999989</v>
      </c>
      <c r="N1583" t="str">
        <f>IF(Table1[[#This Row],[CLOSE_PRICE]]&gt;Table1[[#This Row],[OPEN_PRICE]],"Gain","Loss")</f>
        <v>Loss</v>
      </c>
      <c r="O1583" t="str">
        <f>IF(Table1[[#This Row],[MARKET_CAP]]&gt;200000000000,"Large Cap",
IF(Table1[[#This Row],[MARKET_CAP]]&gt;50000000000,"Mid Cap","Small Cap"))</f>
        <v>Small Cap</v>
      </c>
      <c r="P1583" t="str">
        <f>IF(Table1[[#This Row],[NET_TRDQTY]]&gt;1000000,"High Volume","Low Volume")</f>
        <v>Low Volume</v>
      </c>
    </row>
    <row r="1584" spans="1:16" x14ac:dyDescent="0.3">
      <c r="A1584" t="s">
        <v>3171</v>
      </c>
      <c r="B1584" t="s">
        <v>3172</v>
      </c>
      <c r="C1584">
        <v>193.45</v>
      </c>
      <c r="D1584">
        <v>194.39</v>
      </c>
      <c r="E1584">
        <v>185</v>
      </c>
      <c r="F1584">
        <v>186</v>
      </c>
      <c r="G1584">
        <v>196.41</v>
      </c>
      <c r="H1584">
        <v>48283</v>
      </c>
      <c r="I1584">
        <v>1136</v>
      </c>
      <c r="J1584">
        <v>5323832802</v>
      </c>
      <c r="K1584">
        <v>28622757</v>
      </c>
      <c r="L1584">
        <f>(Table1[[#This Row],[CLOSE_PRICE]] - Table1[[#This Row],[PREV_CL_PR]]) / Table1[[#This Row],[PREV_CL_PR]] * 100</f>
        <v>-5.3001374675423838</v>
      </c>
      <c r="M1584">
        <f>Table1[[#This Row],[HIGH_PRICE]]-Table1[[#This Row],[LOW_PRICE]]</f>
        <v>9.3899999999999864</v>
      </c>
      <c r="N1584" t="str">
        <f>IF(Table1[[#This Row],[CLOSE_PRICE]]&gt;Table1[[#This Row],[OPEN_PRICE]],"Gain","Loss")</f>
        <v>Loss</v>
      </c>
      <c r="O1584" t="str">
        <f>IF(Table1[[#This Row],[MARKET_CAP]]&gt;200000000000,"Large Cap",
IF(Table1[[#This Row],[MARKET_CAP]]&gt;50000000000,"Mid Cap","Small Cap"))</f>
        <v>Small Cap</v>
      </c>
      <c r="P1584" t="str">
        <f>IF(Table1[[#This Row],[NET_TRDQTY]]&gt;1000000,"High Volume","Low Volume")</f>
        <v>Low Volume</v>
      </c>
    </row>
    <row r="1585" spans="1:16" x14ac:dyDescent="0.3">
      <c r="A1585" t="s">
        <v>3173</v>
      </c>
      <c r="B1585" t="s">
        <v>3174</v>
      </c>
      <c r="C1585">
        <v>191.01</v>
      </c>
      <c r="D1585">
        <v>192</v>
      </c>
      <c r="E1585">
        <v>182.25</v>
      </c>
      <c r="F1585">
        <v>183.98</v>
      </c>
      <c r="G1585">
        <v>191.56</v>
      </c>
      <c r="H1585">
        <v>936764</v>
      </c>
      <c r="I1585">
        <v>25690</v>
      </c>
      <c r="J1585">
        <v>88421482341</v>
      </c>
      <c r="K1585">
        <v>480603774</v>
      </c>
      <c r="L1585">
        <f>(Table1[[#This Row],[CLOSE_PRICE]] - Table1[[#This Row],[PREV_CL_PR]]) / Table1[[#This Row],[PREV_CL_PR]] * 100</f>
        <v>-3.9569847567341885</v>
      </c>
      <c r="M1585">
        <f>Table1[[#This Row],[HIGH_PRICE]]-Table1[[#This Row],[LOW_PRICE]]</f>
        <v>9.75</v>
      </c>
      <c r="N1585" t="str">
        <f>IF(Table1[[#This Row],[CLOSE_PRICE]]&gt;Table1[[#This Row],[OPEN_PRICE]],"Gain","Loss")</f>
        <v>Loss</v>
      </c>
      <c r="O1585" t="str">
        <f>IF(Table1[[#This Row],[MARKET_CAP]]&gt;200000000000,"Large Cap",
IF(Table1[[#This Row],[MARKET_CAP]]&gt;50000000000,"Mid Cap","Small Cap"))</f>
        <v>Mid Cap</v>
      </c>
      <c r="P1585" t="str">
        <f>IF(Table1[[#This Row],[NET_TRDQTY]]&gt;1000000,"High Volume","Low Volume")</f>
        <v>Low Volume</v>
      </c>
    </row>
    <row r="1586" spans="1:16" x14ac:dyDescent="0.3">
      <c r="A1586" t="s">
        <v>3175</v>
      </c>
      <c r="B1586" t="s">
        <v>3176</v>
      </c>
      <c r="C1586">
        <v>18.8</v>
      </c>
      <c r="D1586">
        <v>19.14</v>
      </c>
      <c r="E1586">
        <v>17.059999999999999</v>
      </c>
      <c r="F1586">
        <v>17.239999999999998</v>
      </c>
      <c r="G1586">
        <v>18.670000000000002</v>
      </c>
      <c r="H1586">
        <v>34841</v>
      </c>
      <c r="I1586">
        <v>491</v>
      </c>
      <c r="J1586">
        <v>413760000</v>
      </c>
      <c r="K1586">
        <v>24000000</v>
      </c>
      <c r="L1586">
        <f>(Table1[[#This Row],[CLOSE_PRICE]] - Table1[[#This Row],[PREV_CL_PR]]) / Table1[[#This Row],[PREV_CL_PR]] * 100</f>
        <v>-7.6593465452597913</v>
      </c>
      <c r="M1586">
        <f>Table1[[#This Row],[HIGH_PRICE]]-Table1[[#This Row],[LOW_PRICE]]</f>
        <v>2.0800000000000018</v>
      </c>
      <c r="N1586" t="str">
        <f>IF(Table1[[#This Row],[CLOSE_PRICE]]&gt;Table1[[#This Row],[OPEN_PRICE]],"Gain","Loss")</f>
        <v>Loss</v>
      </c>
      <c r="O1586" t="str">
        <f>IF(Table1[[#This Row],[MARKET_CAP]]&gt;200000000000,"Large Cap",
IF(Table1[[#This Row],[MARKET_CAP]]&gt;50000000000,"Mid Cap","Small Cap"))</f>
        <v>Small Cap</v>
      </c>
      <c r="P1586" t="str">
        <f>IF(Table1[[#This Row],[NET_TRDQTY]]&gt;1000000,"High Volume","Low Volume")</f>
        <v>Low Volume</v>
      </c>
    </row>
    <row r="1587" spans="1:16" x14ac:dyDescent="0.3">
      <c r="A1587" t="s">
        <v>3177</v>
      </c>
      <c r="B1587" t="s">
        <v>3178</v>
      </c>
      <c r="C1587">
        <v>33.979999999999997</v>
      </c>
      <c r="D1587">
        <v>33.979999999999997</v>
      </c>
      <c r="E1587">
        <v>31.05</v>
      </c>
      <c r="F1587">
        <v>31.67</v>
      </c>
      <c r="G1587">
        <v>34.24</v>
      </c>
      <c r="H1587">
        <v>69097</v>
      </c>
      <c r="I1587">
        <v>694</v>
      </c>
      <c r="J1587">
        <v>817738402</v>
      </c>
      <c r="K1587">
        <v>25820600</v>
      </c>
      <c r="L1587">
        <f>(Table1[[#This Row],[CLOSE_PRICE]] - Table1[[#This Row],[PREV_CL_PR]]) / Table1[[#This Row],[PREV_CL_PR]] * 100</f>
        <v>-7.5058411214953269</v>
      </c>
      <c r="M1587">
        <f>Table1[[#This Row],[HIGH_PRICE]]-Table1[[#This Row],[LOW_PRICE]]</f>
        <v>2.9299999999999962</v>
      </c>
      <c r="N1587" t="str">
        <f>IF(Table1[[#This Row],[CLOSE_PRICE]]&gt;Table1[[#This Row],[OPEN_PRICE]],"Gain","Loss")</f>
        <v>Loss</v>
      </c>
      <c r="O1587" t="str">
        <f>IF(Table1[[#This Row],[MARKET_CAP]]&gt;200000000000,"Large Cap",
IF(Table1[[#This Row],[MARKET_CAP]]&gt;50000000000,"Mid Cap","Small Cap"))</f>
        <v>Small Cap</v>
      </c>
      <c r="P1587" t="str">
        <f>IF(Table1[[#This Row],[NET_TRDQTY]]&gt;1000000,"High Volume","Low Volume")</f>
        <v>Low Volume</v>
      </c>
    </row>
    <row r="1588" spans="1:16" x14ac:dyDescent="0.3">
      <c r="A1588" t="s">
        <v>3179</v>
      </c>
      <c r="B1588" t="s">
        <v>3180</v>
      </c>
      <c r="C1588">
        <v>497.55</v>
      </c>
      <c r="D1588">
        <v>497.55</v>
      </c>
      <c r="E1588">
        <v>460.15</v>
      </c>
      <c r="F1588">
        <v>462.7</v>
      </c>
      <c r="G1588">
        <v>499.6</v>
      </c>
      <c r="H1588">
        <v>514309</v>
      </c>
      <c r="I1588">
        <v>20558</v>
      </c>
      <c r="J1588">
        <v>83762860471</v>
      </c>
      <c r="K1588">
        <v>181030604</v>
      </c>
      <c r="L1588">
        <f>(Table1[[#This Row],[CLOSE_PRICE]] - Table1[[#This Row],[PREV_CL_PR]]) / Table1[[#This Row],[PREV_CL_PR]] * 100</f>
        <v>-7.385908726981592</v>
      </c>
      <c r="M1588">
        <f>Table1[[#This Row],[HIGH_PRICE]]-Table1[[#This Row],[LOW_PRICE]]</f>
        <v>37.400000000000034</v>
      </c>
      <c r="N1588" t="str">
        <f>IF(Table1[[#This Row],[CLOSE_PRICE]]&gt;Table1[[#This Row],[OPEN_PRICE]],"Gain","Loss")</f>
        <v>Loss</v>
      </c>
      <c r="O1588" t="str">
        <f>IF(Table1[[#This Row],[MARKET_CAP]]&gt;200000000000,"Large Cap",
IF(Table1[[#This Row],[MARKET_CAP]]&gt;50000000000,"Mid Cap","Small Cap"))</f>
        <v>Mid Cap</v>
      </c>
      <c r="P1588" t="str">
        <f>IF(Table1[[#This Row],[NET_TRDQTY]]&gt;1000000,"High Volume","Low Volume")</f>
        <v>Low Volume</v>
      </c>
    </row>
    <row r="1589" spans="1:16" x14ac:dyDescent="0.3">
      <c r="A1589" t="s">
        <v>3181</v>
      </c>
      <c r="B1589" t="s">
        <v>3182</v>
      </c>
      <c r="C1589">
        <v>85</v>
      </c>
      <c r="D1589">
        <v>85.74</v>
      </c>
      <c r="E1589">
        <v>76.11</v>
      </c>
      <c r="F1589">
        <v>78.650000000000006</v>
      </c>
      <c r="G1589">
        <v>86.17</v>
      </c>
      <c r="H1589">
        <v>124810</v>
      </c>
      <c r="I1589">
        <v>1485</v>
      </c>
      <c r="J1589">
        <v>3970035005</v>
      </c>
      <c r="K1589">
        <v>50477241</v>
      </c>
      <c r="L1589">
        <f>(Table1[[#This Row],[CLOSE_PRICE]] - Table1[[#This Row],[PREV_CL_PR]]) / Table1[[#This Row],[PREV_CL_PR]] * 100</f>
        <v>-8.7269351282348797</v>
      </c>
      <c r="M1589">
        <f>Table1[[#This Row],[HIGH_PRICE]]-Table1[[#This Row],[LOW_PRICE]]</f>
        <v>9.6299999999999955</v>
      </c>
      <c r="N1589" t="str">
        <f>IF(Table1[[#This Row],[CLOSE_PRICE]]&gt;Table1[[#This Row],[OPEN_PRICE]],"Gain","Loss")</f>
        <v>Loss</v>
      </c>
      <c r="O1589" t="str">
        <f>IF(Table1[[#This Row],[MARKET_CAP]]&gt;200000000000,"Large Cap",
IF(Table1[[#This Row],[MARKET_CAP]]&gt;50000000000,"Mid Cap","Small Cap"))</f>
        <v>Small Cap</v>
      </c>
      <c r="P1589" t="str">
        <f>IF(Table1[[#This Row],[NET_TRDQTY]]&gt;1000000,"High Volume","Low Volume")</f>
        <v>Low Volume</v>
      </c>
    </row>
    <row r="1590" spans="1:16" x14ac:dyDescent="0.3">
      <c r="A1590" t="s">
        <v>3183</v>
      </c>
      <c r="B1590" t="s">
        <v>3184</v>
      </c>
      <c r="C1590">
        <v>44</v>
      </c>
      <c r="D1590">
        <v>44</v>
      </c>
      <c r="E1590">
        <v>40.71</v>
      </c>
      <c r="F1590">
        <v>40.71</v>
      </c>
      <c r="G1590">
        <v>42.85</v>
      </c>
      <c r="H1590">
        <v>4913014</v>
      </c>
      <c r="I1590">
        <v>10084</v>
      </c>
      <c r="J1590">
        <v>10169358000</v>
      </c>
      <c r="K1590">
        <v>249800000</v>
      </c>
      <c r="L1590">
        <f>(Table1[[#This Row],[CLOSE_PRICE]] - Table1[[#This Row],[PREV_CL_PR]]) / Table1[[#This Row],[PREV_CL_PR]] * 100</f>
        <v>-4.9941656942823816</v>
      </c>
      <c r="M1590">
        <f>Table1[[#This Row],[HIGH_PRICE]]-Table1[[#This Row],[LOW_PRICE]]</f>
        <v>3.2899999999999991</v>
      </c>
      <c r="N1590" t="str">
        <f>IF(Table1[[#This Row],[CLOSE_PRICE]]&gt;Table1[[#This Row],[OPEN_PRICE]],"Gain","Loss")</f>
        <v>Loss</v>
      </c>
      <c r="O1590" t="str">
        <f>IF(Table1[[#This Row],[MARKET_CAP]]&gt;200000000000,"Large Cap",
IF(Table1[[#This Row],[MARKET_CAP]]&gt;50000000000,"Mid Cap","Small Cap"))</f>
        <v>Small Cap</v>
      </c>
      <c r="P1590" t="str">
        <f>IF(Table1[[#This Row],[NET_TRDQTY]]&gt;1000000,"High Volume","Low Volume")</f>
        <v>High Volume</v>
      </c>
    </row>
    <row r="1591" spans="1:16" x14ac:dyDescent="0.3">
      <c r="A1591" t="s">
        <v>3185</v>
      </c>
      <c r="B1591" t="s">
        <v>3186</v>
      </c>
      <c r="C1591">
        <v>710</v>
      </c>
      <c r="D1591">
        <v>730.5</v>
      </c>
      <c r="E1591">
        <v>675.8</v>
      </c>
      <c r="F1591">
        <v>684.65</v>
      </c>
      <c r="G1591">
        <v>723.85</v>
      </c>
      <c r="H1591">
        <v>19588</v>
      </c>
      <c r="I1591">
        <v>1457</v>
      </c>
      <c r="J1591">
        <v>18921765847</v>
      </c>
      <c r="K1591">
        <v>27637137</v>
      </c>
      <c r="L1591">
        <f>(Table1[[#This Row],[CLOSE_PRICE]] - Table1[[#This Row],[PREV_CL_PR]]) / Table1[[#This Row],[PREV_CL_PR]] * 100</f>
        <v>-5.4154866339711321</v>
      </c>
      <c r="M1591">
        <f>Table1[[#This Row],[HIGH_PRICE]]-Table1[[#This Row],[LOW_PRICE]]</f>
        <v>54.700000000000045</v>
      </c>
      <c r="N1591" t="str">
        <f>IF(Table1[[#This Row],[CLOSE_PRICE]]&gt;Table1[[#This Row],[OPEN_PRICE]],"Gain","Loss")</f>
        <v>Loss</v>
      </c>
      <c r="O1591" t="str">
        <f>IF(Table1[[#This Row],[MARKET_CAP]]&gt;200000000000,"Large Cap",
IF(Table1[[#This Row],[MARKET_CAP]]&gt;50000000000,"Mid Cap","Small Cap"))</f>
        <v>Small Cap</v>
      </c>
      <c r="P1591" t="str">
        <f>IF(Table1[[#This Row],[NET_TRDQTY]]&gt;1000000,"High Volume","Low Volume")</f>
        <v>Low Volume</v>
      </c>
    </row>
    <row r="1592" spans="1:16" x14ac:dyDescent="0.3">
      <c r="A1592" t="s">
        <v>3187</v>
      </c>
      <c r="B1592" t="s">
        <v>3188</v>
      </c>
      <c r="C1592">
        <v>305.45</v>
      </c>
      <c r="D1592">
        <v>317.60000000000002</v>
      </c>
      <c r="E1592">
        <v>285.35000000000002</v>
      </c>
      <c r="F1592">
        <v>289.35000000000002</v>
      </c>
      <c r="G1592">
        <v>313.64999999999998</v>
      </c>
      <c r="H1592">
        <v>106525</v>
      </c>
      <c r="I1592">
        <v>3405</v>
      </c>
      <c r="J1592">
        <v>7935485960</v>
      </c>
      <c r="K1592">
        <v>27425215</v>
      </c>
      <c r="L1592">
        <f>(Table1[[#This Row],[CLOSE_PRICE]] - Table1[[#This Row],[PREV_CL_PR]]) / Table1[[#This Row],[PREV_CL_PR]] * 100</f>
        <v>-7.7474892395982637</v>
      </c>
      <c r="M1592">
        <f>Table1[[#This Row],[HIGH_PRICE]]-Table1[[#This Row],[LOW_PRICE]]</f>
        <v>32.25</v>
      </c>
      <c r="N1592" t="str">
        <f>IF(Table1[[#This Row],[CLOSE_PRICE]]&gt;Table1[[#This Row],[OPEN_PRICE]],"Gain","Loss")</f>
        <v>Loss</v>
      </c>
      <c r="O1592" t="str">
        <f>IF(Table1[[#This Row],[MARKET_CAP]]&gt;200000000000,"Large Cap",
IF(Table1[[#This Row],[MARKET_CAP]]&gt;50000000000,"Mid Cap","Small Cap"))</f>
        <v>Small Cap</v>
      </c>
      <c r="P1592" t="str">
        <f>IF(Table1[[#This Row],[NET_TRDQTY]]&gt;1000000,"High Volume","Low Volume")</f>
        <v>Low Volume</v>
      </c>
    </row>
    <row r="1593" spans="1:16" x14ac:dyDescent="0.3">
      <c r="A1593" t="s">
        <v>3189</v>
      </c>
      <c r="B1593" t="s">
        <v>3190</v>
      </c>
      <c r="C1593">
        <v>117</v>
      </c>
      <c r="D1593">
        <v>117</v>
      </c>
      <c r="E1593">
        <v>111.1</v>
      </c>
      <c r="F1593">
        <v>112.4</v>
      </c>
      <c r="G1593">
        <v>119.14</v>
      </c>
      <c r="H1593">
        <v>443351</v>
      </c>
      <c r="I1593">
        <v>6982</v>
      </c>
      <c r="J1593">
        <v>30610242688</v>
      </c>
      <c r="K1593">
        <v>272333120</v>
      </c>
      <c r="L1593">
        <f>(Table1[[#This Row],[CLOSE_PRICE]] - Table1[[#This Row],[PREV_CL_PR]]) / Table1[[#This Row],[PREV_CL_PR]] * 100</f>
        <v>-5.6572100050360872</v>
      </c>
      <c r="M1593">
        <f>Table1[[#This Row],[HIGH_PRICE]]-Table1[[#This Row],[LOW_PRICE]]</f>
        <v>5.9000000000000057</v>
      </c>
      <c r="N1593" t="str">
        <f>IF(Table1[[#This Row],[CLOSE_PRICE]]&gt;Table1[[#This Row],[OPEN_PRICE]],"Gain","Loss")</f>
        <v>Loss</v>
      </c>
      <c r="O1593" t="str">
        <f>IF(Table1[[#This Row],[MARKET_CAP]]&gt;200000000000,"Large Cap",
IF(Table1[[#This Row],[MARKET_CAP]]&gt;50000000000,"Mid Cap","Small Cap"))</f>
        <v>Small Cap</v>
      </c>
      <c r="P1593" t="str">
        <f>IF(Table1[[#This Row],[NET_TRDQTY]]&gt;1000000,"High Volume","Low Volume")</f>
        <v>Low Volume</v>
      </c>
    </row>
    <row r="1594" spans="1:16" x14ac:dyDescent="0.3">
      <c r="A1594" t="s">
        <v>3191</v>
      </c>
      <c r="B1594" t="s">
        <v>3192</v>
      </c>
      <c r="C1594">
        <v>44.37</v>
      </c>
      <c r="D1594">
        <v>44.37</v>
      </c>
      <c r="E1594">
        <v>42.06</v>
      </c>
      <c r="F1594">
        <v>42.33</v>
      </c>
      <c r="G1594">
        <v>43.5</v>
      </c>
      <c r="H1594">
        <v>1100</v>
      </c>
      <c r="I1594">
        <v>44</v>
      </c>
      <c r="J1594">
        <v>634470993.70000005</v>
      </c>
      <c r="K1594">
        <v>14988684</v>
      </c>
      <c r="L1594">
        <f>(Table1[[#This Row],[CLOSE_PRICE]] - Table1[[#This Row],[PREV_CL_PR]]) / Table1[[#This Row],[PREV_CL_PR]] * 100</f>
        <v>-2.6896551724137971</v>
      </c>
      <c r="M1594">
        <f>Table1[[#This Row],[HIGH_PRICE]]-Table1[[#This Row],[LOW_PRICE]]</f>
        <v>2.3099999999999952</v>
      </c>
      <c r="N1594" t="str">
        <f>IF(Table1[[#This Row],[CLOSE_PRICE]]&gt;Table1[[#This Row],[OPEN_PRICE]],"Gain","Loss")</f>
        <v>Loss</v>
      </c>
      <c r="O1594" t="str">
        <f>IF(Table1[[#This Row],[MARKET_CAP]]&gt;200000000000,"Large Cap",
IF(Table1[[#This Row],[MARKET_CAP]]&gt;50000000000,"Mid Cap","Small Cap"))</f>
        <v>Small Cap</v>
      </c>
      <c r="P1594" t="str">
        <f>IF(Table1[[#This Row],[NET_TRDQTY]]&gt;1000000,"High Volume","Low Volume")</f>
        <v>Low Volume</v>
      </c>
    </row>
    <row r="1595" spans="1:16" x14ac:dyDescent="0.3">
      <c r="A1595" t="s">
        <v>3193</v>
      </c>
      <c r="B1595" t="s">
        <v>3194</v>
      </c>
      <c r="C1595">
        <v>405</v>
      </c>
      <c r="D1595">
        <v>408.75</v>
      </c>
      <c r="E1595">
        <v>385</v>
      </c>
      <c r="F1595">
        <v>388.75</v>
      </c>
      <c r="G1595">
        <v>411.35</v>
      </c>
      <c r="H1595">
        <v>85114</v>
      </c>
      <c r="I1595">
        <v>4031</v>
      </c>
      <c r="J1595">
        <v>21529506033</v>
      </c>
      <c r="K1595">
        <v>55381366</v>
      </c>
      <c r="L1595">
        <f>(Table1[[#This Row],[CLOSE_PRICE]] - Table1[[#This Row],[PREV_CL_PR]]) / Table1[[#This Row],[PREV_CL_PR]] * 100</f>
        <v>-5.4941047769539377</v>
      </c>
      <c r="M1595">
        <f>Table1[[#This Row],[HIGH_PRICE]]-Table1[[#This Row],[LOW_PRICE]]</f>
        <v>23.75</v>
      </c>
      <c r="N1595" t="str">
        <f>IF(Table1[[#This Row],[CLOSE_PRICE]]&gt;Table1[[#This Row],[OPEN_PRICE]],"Gain","Loss")</f>
        <v>Loss</v>
      </c>
      <c r="O1595" t="str">
        <f>IF(Table1[[#This Row],[MARKET_CAP]]&gt;200000000000,"Large Cap",
IF(Table1[[#This Row],[MARKET_CAP]]&gt;50000000000,"Mid Cap","Small Cap"))</f>
        <v>Small Cap</v>
      </c>
      <c r="P1595" t="str">
        <f>IF(Table1[[#This Row],[NET_TRDQTY]]&gt;1000000,"High Volume","Low Volume")</f>
        <v>Low Volume</v>
      </c>
    </row>
    <row r="1596" spans="1:16" x14ac:dyDescent="0.3">
      <c r="A1596" t="s">
        <v>3195</v>
      </c>
      <c r="B1596" t="s">
        <v>3196</v>
      </c>
      <c r="C1596">
        <v>46.85</v>
      </c>
      <c r="D1596">
        <v>46.85</v>
      </c>
      <c r="E1596">
        <v>44.5</v>
      </c>
      <c r="F1596">
        <v>45.39</v>
      </c>
      <c r="G1596">
        <v>46.85</v>
      </c>
      <c r="H1596">
        <v>57554</v>
      </c>
      <c r="I1596">
        <v>650</v>
      </c>
      <c r="J1596">
        <v>2833619175</v>
      </c>
      <c r="K1596">
        <v>62428270</v>
      </c>
      <c r="L1596">
        <f>(Table1[[#This Row],[CLOSE_PRICE]] - Table1[[#This Row],[PREV_CL_PR]]) / Table1[[#This Row],[PREV_CL_PR]] * 100</f>
        <v>-3.1163287086446121</v>
      </c>
      <c r="M1596">
        <f>Table1[[#This Row],[HIGH_PRICE]]-Table1[[#This Row],[LOW_PRICE]]</f>
        <v>2.3500000000000014</v>
      </c>
      <c r="N1596" t="str">
        <f>IF(Table1[[#This Row],[CLOSE_PRICE]]&gt;Table1[[#This Row],[OPEN_PRICE]],"Gain","Loss")</f>
        <v>Loss</v>
      </c>
      <c r="O1596" t="str">
        <f>IF(Table1[[#This Row],[MARKET_CAP]]&gt;200000000000,"Large Cap",
IF(Table1[[#This Row],[MARKET_CAP]]&gt;50000000000,"Mid Cap","Small Cap"))</f>
        <v>Small Cap</v>
      </c>
      <c r="P1596" t="str">
        <f>IF(Table1[[#This Row],[NET_TRDQTY]]&gt;1000000,"High Volume","Low Volume")</f>
        <v>Low Volume</v>
      </c>
    </row>
    <row r="1597" spans="1:16" x14ac:dyDescent="0.3">
      <c r="A1597" t="s">
        <v>3197</v>
      </c>
      <c r="B1597" t="s">
        <v>3198</v>
      </c>
      <c r="C1597">
        <v>702.6</v>
      </c>
      <c r="D1597">
        <v>715</v>
      </c>
      <c r="E1597">
        <v>663.65</v>
      </c>
      <c r="F1597">
        <v>673.9</v>
      </c>
      <c r="G1597">
        <v>720.1</v>
      </c>
      <c r="H1597">
        <v>42750</v>
      </c>
      <c r="I1597">
        <v>2397</v>
      </c>
      <c r="J1597">
        <v>25403654503</v>
      </c>
      <c r="K1597">
        <v>37696475</v>
      </c>
      <c r="L1597">
        <f>(Table1[[#This Row],[CLOSE_PRICE]] - Table1[[#This Row],[PREV_CL_PR]]) / Table1[[#This Row],[PREV_CL_PR]] * 100</f>
        <v>-6.415775586724072</v>
      </c>
      <c r="M1597">
        <f>Table1[[#This Row],[HIGH_PRICE]]-Table1[[#This Row],[LOW_PRICE]]</f>
        <v>51.350000000000023</v>
      </c>
      <c r="N1597" t="str">
        <f>IF(Table1[[#This Row],[CLOSE_PRICE]]&gt;Table1[[#This Row],[OPEN_PRICE]],"Gain","Loss")</f>
        <v>Loss</v>
      </c>
      <c r="O1597" t="str">
        <f>IF(Table1[[#This Row],[MARKET_CAP]]&gt;200000000000,"Large Cap",
IF(Table1[[#This Row],[MARKET_CAP]]&gt;50000000000,"Mid Cap","Small Cap"))</f>
        <v>Small Cap</v>
      </c>
      <c r="P1597" t="str">
        <f>IF(Table1[[#This Row],[NET_TRDQTY]]&gt;1000000,"High Volume","Low Volume")</f>
        <v>Low Volume</v>
      </c>
    </row>
    <row r="1598" spans="1:16" x14ac:dyDescent="0.3">
      <c r="A1598" t="s">
        <v>3199</v>
      </c>
      <c r="B1598" t="s">
        <v>3200</v>
      </c>
      <c r="C1598">
        <v>56.54</v>
      </c>
      <c r="D1598">
        <v>56.54</v>
      </c>
      <c r="E1598">
        <v>52.21</v>
      </c>
      <c r="F1598">
        <v>52.81</v>
      </c>
      <c r="G1598">
        <v>56.67</v>
      </c>
      <c r="H1598">
        <v>463623</v>
      </c>
      <c r="I1598">
        <v>3283</v>
      </c>
      <c r="J1598">
        <v>9951815305</v>
      </c>
      <c r="K1598">
        <v>188445660</v>
      </c>
      <c r="L1598">
        <f>(Table1[[#This Row],[CLOSE_PRICE]] - Table1[[#This Row],[PREV_CL_PR]]) / Table1[[#This Row],[PREV_CL_PR]] * 100</f>
        <v>-6.8113640374095636</v>
      </c>
      <c r="M1598">
        <f>Table1[[#This Row],[HIGH_PRICE]]-Table1[[#This Row],[LOW_PRICE]]</f>
        <v>4.3299999999999983</v>
      </c>
      <c r="N1598" t="str">
        <f>IF(Table1[[#This Row],[CLOSE_PRICE]]&gt;Table1[[#This Row],[OPEN_PRICE]],"Gain","Loss")</f>
        <v>Loss</v>
      </c>
      <c r="O1598" t="str">
        <f>IF(Table1[[#This Row],[MARKET_CAP]]&gt;200000000000,"Large Cap",
IF(Table1[[#This Row],[MARKET_CAP]]&gt;50000000000,"Mid Cap","Small Cap"))</f>
        <v>Small Cap</v>
      </c>
      <c r="P1598" t="str">
        <f>IF(Table1[[#This Row],[NET_TRDQTY]]&gt;1000000,"High Volume","Low Volume")</f>
        <v>Low Volume</v>
      </c>
    </row>
    <row r="1599" spans="1:16" x14ac:dyDescent="0.3">
      <c r="A1599" t="s">
        <v>3201</v>
      </c>
      <c r="B1599" t="s">
        <v>3202</v>
      </c>
      <c r="C1599">
        <v>460</v>
      </c>
      <c r="D1599">
        <v>462</v>
      </c>
      <c r="E1599">
        <v>443</v>
      </c>
      <c r="F1599">
        <v>445.45</v>
      </c>
      <c r="G1599">
        <v>468</v>
      </c>
      <c r="H1599">
        <v>247101</v>
      </c>
      <c r="I1599">
        <v>8397</v>
      </c>
      <c r="J1599">
        <v>28062272902</v>
      </c>
      <c r="K1599">
        <v>62997582</v>
      </c>
      <c r="L1599">
        <f>(Table1[[#This Row],[CLOSE_PRICE]] - Table1[[#This Row],[PREV_CL_PR]]) / Table1[[#This Row],[PREV_CL_PR]] * 100</f>
        <v>-4.8183760683760708</v>
      </c>
      <c r="M1599">
        <f>Table1[[#This Row],[HIGH_PRICE]]-Table1[[#This Row],[LOW_PRICE]]</f>
        <v>19</v>
      </c>
      <c r="N1599" t="str">
        <f>IF(Table1[[#This Row],[CLOSE_PRICE]]&gt;Table1[[#This Row],[OPEN_PRICE]],"Gain","Loss")</f>
        <v>Loss</v>
      </c>
      <c r="O1599" t="str">
        <f>IF(Table1[[#This Row],[MARKET_CAP]]&gt;200000000000,"Large Cap",
IF(Table1[[#This Row],[MARKET_CAP]]&gt;50000000000,"Mid Cap","Small Cap"))</f>
        <v>Small Cap</v>
      </c>
      <c r="P1599" t="str">
        <f>IF(Table1[[#This Row],[NET_TRDQTY]]&gt;1000000,"High Volume","Low Volume")</f>
        <v>Low Volume</v>
      </c>
    </row>
    <row r="1600" spans="1:16" x14ac:dyDescent="0.3">
      <c r="A1600" t="s">
        <v>3203</v>
      </c>
      <c r="B1600" t="s">
        <v>3204</v>
      </c>
      <c r="C1600">
        <v>645.85</v>
      </c>
      <c r="D1600">
        <v>645.85</v>
      </c>
      <c r="E1600">
        <v>583.5</v>
      </c>
      <c r="F1600">
        <v>591.75</v>
      </c>
      <c r="G1600">
        <v>642.6</v>
      </c>
      <c r="H1600">
        <v>99450</v>
      </c>
      <c r="I1600">
        <v>3770</v>
      </c>
      <c r="J1600">
        <v>27168402330</v>
      </c>
      <c r="K1600">
        <v>45911960</v>
      </c>
      <c r="L1600">
        <f>(Table1[[#This Row],[CLOSE_PRICE]] - Table1[[#This Row],[PREV_CL_PR]]) / Table1[[#This Row],[PREV_CL_PR]] * 100</f>
        <v>-7.9131652661064464</v>
      </c>
      <c r="M1600">
        <f>Table1[[#This Row],[HIGH_PRICE]]-Table1[[#This Row],[LOW_PRICE]]</f>
        <v>62.350000000000023</v>
      </c>
      <c r="N1600" t="str">
        <f>IF(Table1[[#This Row],[CLOSE_PRICE]]&gt;Table1[[#This Row],[OPEN_PRICE]],"Gain","Loss")</f>
        <v>Loss</v>
      </c>
      <c r="O1600" t="str">
        <f>IF(Table1[[#This Row],[MARKET_CAP]]&gt;200000000000,"Large Cap",
IF(Table1[[#This Row],[MARKET_CAP]]&gt;50000000000,"Mid Cap","Small Cap"))</f>
        <v>Small Cap</v>
      </c>
      <c r="P1600" t="str">
        <f>IF(Table1[[#This Row],[NET_TRDQTY]]&gt;1000000,"High Volume","Low Volume")</f>
        <v>Low Volume</v>
      </c>
    </row>
    <row r="1601" spans="1:16" x14ac:dyDescent="0.3">
      <c r="A1601" t="s">
        <v>3205</v>
      </c>
      <c r="B1601" t="s">
        <v>3206</v>
      </c>
      <c r="C1601">
        <v>1870</v>
      </c>
      <c r="D1601">
        <v>1879.5</v>
      </c>
      <c r="E1601">
        <v>1733</v>
      </c>
      <c r="F1601">
        <v>1744</v>
      </c>
      <c r="G1601">
        <v>1879.7</v>
      </c>
      <c r="H1601">
        <v>13786</v>
      </c>
      <c r="I1601">
        <v>2045</v>
      </c>
      <c r="J1601">
        <v>28844042160</v>
      </c>
      <c r="K1601">
        <v>16539015</v>
      </c>
      <c r="L1601">
        <f>(Table1[[#This Row],[CLOSE_PRICE]] - Table1[[#This Row],[PREV_CL_PR]]) / Table1[[#This Row],[PREV_CL_PR]] * 100</f>
        <v>-7.2192371123051577</v>
      </c>
      <c r="M1601">
        <f>Table1[[#This Row],[HIGH_PRICE]]-Table1[[#This Row],[LOW_PRICE]]</f>
        <v>146.5</v>
      </c>
      <c r="N1601" t="str">
        <f>IF(Table1[[#This Row],[CLOSE_PRICE]]&gt;Table1[[#This Row],[OPEN_PRICE]],"Gain","Loss")</f>
        <v>Loss</v>
      </c>
      <c r="O1601" t="str">
        <f>IF(Table1[[#This Row],[MARKET_CAP]]&gt;200000000000,"Large Cap",
IF(Table1[[#This Row],[MARKET_CAP]]&gt;50000000000,"Mid Cap","Small Cap"))</f>
        <v>Small Cap</v>
      </c>
      <c r="P1601" t="str">
        <f>IF(Table1[[#This Row],[NET_TRDQTY]]&gt;1000000,"High Volume","Low Volume")</f>
        <v>Low Volume</v>
      </c>
    </row>
    <row r="1602" spans="1:16" x14ac:dyDescent="0.3">
      <c r="A1602" t="s">
        <v>3207</v>
      </c>
      <c r="B1602" t="s">
        <v>3208</v>
      </c>
      <c r="C1602">
        <v>22.55</v>
      </c>
      <c r="D1602">
        <v>22.55</v>
      </c>
      <c r="E1602">
        <v>20.8</v>
      </c>
      <c r="F1602">
        <v>20.97</v>
      </c>
      <c r="G1602">
        <v>22.62</v>
      </c>
      <c r="H1602">
        <v>52461895</v>
      </c>
      <c r="I1602">
        <v>70943</v>
      </c>
      <c r="J1602">
        <v>86727117157</v>
      </c>
      <c r="K1602">
        <v>4135770966</v>
      </c>
      <c r="L1602">
        <f>(Table1[[#This Row],[CLOSE_PRICE]] - Table1[[#This Row],[PREV_CL_PR]]) / Table1[[#This Row],[PREV_CL_PR]] * 100</f>
        <v>-7.29442970822282</v>
      </c>
      <c r="M1602">
        <f>Table1[[#This Row],[HIGH_PRICE]]-Table1[[#This Row],[LOW_PRICE]]</f>
        <v>1.75</v>
      </c>
      <c r="N1602" t="str">
        <f>IF(Table1[[#This Row],[CLOSE_PRICE]]&gt;Table1[[#This Row],[OPEN_PRICE]],"Gain","Loss")</f>
        <v>Loss</v>
      </c>
      <c r="O1602" t="str">
        <f>IF(Table1[[#This Row],[MARKET_CAP]]&gt;200000000000,"Large Cap",
IF(Table1[[#This Row],[MARKET_CAP]]&gt;50000000000,"Mid Cap","Small Cap"))</f>
        <v>Mid Cap</v>
      </c>
      <c r="P1602" t="str">
        <f>IF(Table1[[#This Row],[NET_TRDQTY]]&gt;1000000,"High Volume","Low Volume")</f>
        <v>High Volume</v>
      </c>
    </row>
    <row r="1603" spans="1:16" x14ac:dyDescent="0.3">
      <c r="A1603" t="s">
        <v>3209</v>
      </c>
      <c r="B1603" t="s">
        <v>3210</v>
      </c>
      <c r="C1603">
        <v>67.5</v>
      </c>
      <c r="D1603">
        <v>67.5</v>
      </c>
      <c r="E1603">
        <v>61.5</v>
      </c>
      <c r="F1603">
        <v>62.2</v>
      </c>
      <c r="G1603">
        <v>67.53</v>
      </c>
      <c r="H1603">
        <v>149973</v>
      </c>
      <c r="I1603">
        <v>2120</v>
      </c>
      <c r="J1603">
        <v>3084244100</v>
      </c>
      <c r="K1603">
        <v>49585918</v>
      </c>
      <c r="L1603">
        <f>(Table1[[#This Row],[CLOSE_PRICE]] - Table1[[#This Row],[PREV_CL_PR]]) / Table1[[#This Row],[PREV_CL_PR]] * 100</f>
        <v>-7.8927883903450287</v>
      </c>
      <c r="M1603">
        <f>Table1[[#This Row],[HIGH_PRICE]]-Table1[[#This Row],[LOW_PRICE]]</f>
        <v>6</v>
      </c>
      <c r="N1603" t="str">
        <f>IF(Table1[[#This Row],[CLOSE_PRICE]]&gt;Table1[[#This Row],[OPEN_PRICE]],"Gain","Loss")</f>
        <v>Loss</v>
      </c>
      <c r="O1603" t="str">
        <f>IF(Table1[[#This Row],[MARKET_CAP]]&gt;200000000000,"Large Cap",
IF(Table1[[#This Row],[MARKET_CAP]]&gt;50000000000,"Mid Cap","Small Cap"))</f>
        <v>Small Cap</v>
      </c>
      <c r="P1603" t="str">
        <f>IF(Table1[[#This Row],[NET_TRDQTY]]&gt;1000000,"High Volume","Low Volume")</f>
        <v>Low Volume</v>
      </c>
    </row>
    <row r="1604" spans="1:16" x14ac:dyDescent="0.3">
      <c r="A1604" t="s">
        <v>3211</v>
      </c>
      <c r="B1604" t="s">
        <v>3212</v>
      </c>
      <c r="C1604">
        <v>15.47</v>
      </c>
      <c r="D1604">
        <v>15.47</v>
      </c>
      <c r="E1604">
        <v>15</v>
      </c>
      <c r="F1604">
        <v>15</v>
      </c>
      <c r="G1604">
        <v>15.4</v>
      </c>
      <c r="H1604">
        <v>60074</v>
      </c>
      <c r="I1604">
        <v>307</v>
      </c>
      <c r="J1604">
        <v>1113660000</v>
      </c>
      <c r="K1604">
        <v>74244000</v>
      </c>
      <c r="L1604">
        <f>(Table1[[#This Row],[CLOSE_PRICE]] - Table1[[#This Row],[PREV_CL_PR]]) / Table1[[#This Row],[PREV_CL_PR]] * 100</f>
        <v>-2.5974025974025996</v>
      </c>
      <c r="M1604">
        <f>Table1[[#This Row],[HIGH_PRICE]]-Table1[[#This Row],[LOW_PRICE]]</f>
        <v>0.47000000000000064</v>
      </c>
      <c r="N1604" t="str">
        <f>IF(Table1[[#This Row],[CLOSE_PRICE]]&gt;Table1[[#This Row],[OPEN_PRICE]],"Gain","Loss")</f>
        <v>Loss</v>
      </c>
      <c r="O1604" t="str">
        <f>IF(Table1[[#This Row],[MARKET_CAP]]&gt;200000000000,"Large Cap",
IF(Table1[[#This Row],[MARKET_CAP]]&gt;50000000000,"Mid Cap","Small Cap"))</f>
        <v>Small Cap</v>
      </c>
      <c r="P1604" t="str">
        <f>IF(Table1[[#This Row],[NET_TRDQTY]]&gt;1000000,"High Volume","Low Volume")</f>
        <v>Low Volume</v>
      </c>
    </row>
    <row r="1605" spans="1:16" x14ac:dyDescent="0.3">
      <c r="A1605" t="s">
        <v>3213</v>
      </c>
      <c r="B1605" t="s">
        <v>3214</v>
      </c>
      <c r="C1605">
        <v>596.1</v>
      </c>
      <c r="D1605">
        <v>596.29999999999995</v>
      </c>
      <c r="E1605">
        <v>551.9</v>
      </c>
      <c r="F1605">
        <v>559.85</v>
      </c>
      <c r="G1605">
        <v>604</v>
      </c>
      <c r="H1605">
        <v>48534</v>
      </c>
      <c r="I1605">
        <v>2231</v>
      </c>
      <c r="J1605">
        <v>18523426079</v>
      </c>
      <c r="K1605">
        <v>33086409</v>
      </c>
      <c r="L1605">
        <f>(Table1[[#This Row],[CLOSE_PRICE]] - Table1[[#This Row],[PREV_CL_PR]]) / Table1[[#This Row],[PREV_CL_PR]] * 100</f>
        <v>-7.309602649006619</v>
      </c>
      <c r="M1605">
        <f>Table1[[#This Row],[HIGH_PRICE]]-Table1[[#This Row],[LOW_PRICE]]</f>
        <v>44.399999999999977</v>
      </c>
      <c r="N1605" t="str">
        <f>IF(Table1[[#This Row],[CLOSE_PRICE]]&gt;Table1[[#This Row],[OPEN_PRICE]],"Gain","Loss")</f>
        <v>Loss</v>
      </c>
      <c r="O1605" t="str">
        <f>IF(Table1[[#This Row],[MARKET_CAP]]&gt;200000000000,"Large Cap",
IF(Table1[[#This Row],[MARKET_CAP]]&gt;50000000000,"Mid Cap","Small Cap"))</f>
        <v>Small Cap</v>
      </c>
      <c r="P1605" t="str">
        <f>IF(Table1[[#This Row],[NET_TRDQTY]]&gt;1000000,"High Volume","Low Volume")</f>
        <v>Low Volume</v>
      </c>
    </row>
    <row r="1606" spans="1:16" x14ac:dyDescent="0.3">
      <c r="A1606" t="s">
        <v>3215</v>
      </c>
      <c r="B1606" t="s">
        <v>3216</v>
      </c>
      <c r="C1606">
        <v>337.2</v>
      </c>
      <c r="D1606">
        <v>346.65</v>
      </c>
      <c r="E1606">
        <v>333</v>
      </c>
      <c r="F1606">
        <v>342.1</v>
      </c>
      <c r="G1606">
        <v>342.35</v>
      </c>
      <c r="H1606">
        <v>107593</v>
      </c>
      <c r="I1606">
        <v>2214</v>
      </c>
      <c r="J1606">
        <v>22544275397</v>
      </c>
      <c r="K1606">
        <v>65899665</v>
      </c>
      <c r="L1606">
        <f>(Table1[[#This Row],[CLOSE_PRICE]] - Table1[[#This Row],[PREV_CL_PR]]) / Table1[[#This Row],[PREV_CL_PR]] * 100</f>
        <v>-7.3024682342631805E-2</v>
      </c>
      <c r="M1606">
        <f>Table1[[#This Row],[HIGH_PRICE]]-Table1[[#This Row],[LOW_PRICE]]</f>
        <v>13.649999999999977</v>
      </c>
      <c r="N1606" t="str">
        <f>IF(Table1[[#This Row],[CLOSE_PRICE]]&gt;Table1[[#This Row],[OPEN_PRICE]],"Gain","Loss")</f>
        <v>Gain</v>
      </c>
      <c r="O1606" t="str">
        <f>IF(Table1[[#This Row],[MARKET_CAP]]&gt;200000000000,"Large Cap",
IF(Table1[[#This Row],[MARKET_CAP]]&gt;50000000000,"Mid Cap","Small Cap"))</f>
        <v>Small Cap</v>
      </c>
      <c r="P1606" t="str">
        <f>IF(Table1[[#This Row],[NET_TRDQTY]]&gt;1000000,"High Volume","Low Volume")</f>
        <v>Low Volume</v>
      </c>
    </row>
    <row r="1607" spans="1:16" x14ac:dyDescent="0.3">
      <c r="A1607" t="s">
        <v>3217</v>
      </c>
      <c r="B1607" t="s">
        <v>3218</v>
      </c>
      <c r="C1607">
        <v>1379.8</v>
      </c>
      <c r="D1607">
        <v>1380</v>
      </c>
      <c r="E1607">
        <v>1311.1</v>
      </c>
      <c r="F1607">
        <v>1316.1</v>
      </c>
      <c r="G1607">
        <v>1391.4</v>
      </c>
      <c r="H1607">
        <v>132378</v>
      </c>
      <c r="I1607">
        <v>12523</v>
      </c>
      <c r="J1607">
        <v>149000000000</v>
      </c>
      <c r="K1607">
        <v>113089201</v>
      </c>
      <c r="L1607">
        <f>(Table1[[#This Row],[CLOSE_PRICE]] - Table1[[#This Row],[PREV_CL_PR]]) / Table1[[#This Row],[PREV_CL_PR]] * 100</f>
        <v>-5.4118154376886718</v>
      </c>
      <c r="M1607">
        <f>Table1[[#This Row],[HIGH_PRICE]]-Table1[[#This Row],[LOW_PRICE]]</f>
        <v>68.900000000000091</v>
      </c>
      <c r="N1607" t="str">
        <f>IF(Table1[[#This Row],[CLOSE_PRICE]]&gt;Table1[[#This Row],[OPEN_PRICE]],"Gain","Loss")</f>
        <v>Loss</v>
      </c>
      <c r="O1607" t="str">
        <f>IF(Table1[[#This Row],[MARKET_CAP]]&gt;200000000000,"Large Cap",
IF(Table1[[#This Row],[MARKET_CAP]]&gt;50000000000,"Mid Cap","Small Cap"))</f>
        <v>Mid Cap</v>
      </c>
      <c r="P1607" t="str">
        <f>IF(Table1[[#This Row],[NET_TRDQTY]]&gt;1000000,"High Volume","Low Volume")</f>
        <v>Low Volume</v>
      </c>
    </row>
    <row r="1608" spans="1:16" x14ac:dyDescent="0.3">
      <c r="A1608" t="s">
        <v>3219</v>
      </c>
      <c r="B1608" t="s">
        <v>3220</v>
      </c>
      <c r="C1608">
        <v>114.74</v>
      </c>
      <c r="D1608">
        <v>115.67</v>
      </c>
      <c r="E1608">
        <v>105.62</v>
      </c>
      <c r="F1608">
        <v>108.11</v>
      </c>
      <c r="G1608">
        <v>114.13</v>
      </c>
      <c r="H1608">
        <v>1276138</v>
      </c>
      <c r="I1608">
        <v>14954</v>
      </c>
      <c r="J1608">
        <v>9034499506</v>
      </c>
      <c r="K1608">
        <v>83567658</v>
      </c>
      <c r="L1608">
        <f>(Table1[[#This Row],[CLOSE_PRICE]] - Table1[[#This Row],[PREV_CL_PR]]) / Table1[[#This Row],[PREV_CL_PR]] * 100</f>
        <v>-5.2746867607114662</v>
      </c>
      <c r="M1608">
        <f>Table1[[#This Row],[HIGH_PRICE]]-Table1[[#This Row],[LOW_PRICE]]</f>
        <v>10.049999999999997</v>
      </c>
      <c r="N1608" t="str">
        <f>IF(Table1[[#This Row],[CLOSE_PRICE]]&gt;Table1[[#This Row],[OPEN_PRICE]],"Gain","Loss")</f>
        <v>Loss</v>
      </c>
      <c r="O1608" t="str">
        <f>IF(Table1[[#This Row],[MARKET_CAP]]&gt;200000000000,"Large Cap",
IF(Table1[[#This Row],[MARKET_CAP]]&gt;50000000000,"Mid Cap","Small Cap"))</f>
        <v>Small Cap</v>
      </c>
      <c r="P1608" t="str">
        <f>IF(Table1[[#This Row],[NET_TRDQTY]]&gt;1000000,"High Volume","Low Volume")</f>
        <v>High Volume</v>
      </c>
    </row>
    <row r="1609" spans="1:16" x14ac:dyDescent="0.3">
      <c r="A1609" t="s">
        <v>3221</v>
      </c>
      <c r="B1609" t="s">
        <v>3222</v>
      </c>
      <c r="C1609">
        <v>27.63</v>
      </c>
      <c r="D1609">
        <v>27.63</v>
      </c>
      <c r="E1609">
        <v>25.02</v>
      </c>
      <c r="F1609">
        <v>25.91</v>
      </c>
      <c r="G1609">
        <v>27.39</v>
      </c>
      <c r="H1609">
        <v>187326</v>
      </c>
      <c r="I1609">
        <v>754</v>
      </c>
      <c r="J1609">
        <v>669286677</v>
      </c>
      <c r="K1609">
        <v>25831211</v>
      </c>
      <c r="L1609">
        <f>(Table1[[#This Row],[CLOSE_PRICE]] - Table1[[#This Row],[PREV_CL_PR]]) / Table1[[#This Row],[PREV_CL_PR]] * 100</f>
        <v>-5.4034319094560068</v>
      </c>
      <c r="M1609">
        <f>Table1[[#This Row],[HIGH_PRICE]]-Table1[[#This Row],[LOW_PRICE]]</f>
        <v>2.6099999999999994</v>
      </c>
      <c r="N1609" t="str">
        <f>IF(Table1[[#This Row],[CLOSE_PRICE]]&gt;Table1[[#This Row],[OPEN_PRICE]],"Gain","Loss")</f>
        <v>Loss</v>
      </c>
      <c r="O1609" t="str">
        <f>IF(Table1[[#This Row],[MARKET_CAP]]&gt;200000000000,"Large Cap",
IF(Table1[[#This Row],[MARKET_CAP]]&gt;50000000000,"Mid Cap","Small Cap"))</f>
        <v>Small Cap</v>
      </c>
      <c r="P1609" t="str">
        <f>IF(Table1[[#This Row],[NET_TRDQTY]]&gt;1000000,"High Volume","Low Volume")</f>
        <v>Low Volume</v>
      </c>
    </row>
    <row r="1610" spans="1:16" x14ac:dyDescent="0.3">
      <c r="A1610" t="s">
        <v>3223</v>
      </c>
      <c r="B1610" t="s">
        <v>3224</v>
      </c>
      <c r="C1610">
        <v>131.69999999999999</v>
      </c>
      <c r="D1610">
        <v>131.69999999999999</v>
      </c>
      <c r="E1610">
        <v>120.69</v>
      </c>
      <c r="F1610">
        <v>127.33</v>
      </c>
      <c r="G1610">
        <v>132.36000000000001</v>
      </c>
      <c r="H1610">
        <v>101293</v>
      </c>
      <c r="I1610">
        <v>1798</v>
      </c>
      <c r="J1610">
        <v>5997457424</v>
      </c>
      <c r="K1610">
        <v>47101684</v>
      </c>
      <c r="L1610">
        <f>(Table1[[#This Row],[CLOSE_PRICE]] - Table1[[#This Row],[PREV_CL_PR]]) / Table1[[#This Row],[PREV_CL_PR]] * 100</f>
        <v>-3.8002417648836619</v>
      </c>
      <c r="M1610">
        <f>Table1[[#This Row],[HIGH_PRICE]]-Table1[[#This Row],[LOW_PRICE]]</f>
        <v>11.009999999999991</v>
      </c>
      <c r="N1610" t="str">
        <f>IF(Table1[[#This Row],[CLOSE_PRICE]]&gt;Table1[[#This Row],[OPEN_PRICE]],"Gain","Loss")</f>
        <v>Loss</v>
      </c>
      <c r="O1610" t="str">
        <f>IF(Table1[[#This Row],[MARKET_CAP]]&gt;200000000000,"Large Cap",
IF(Table1[[#This Row],[MARKET_CAP]]&gt;50000000000,"Mid Cap","Small Cap"))</f>
        <v>Small Cap</v>
      </c>
      <c r="P1610" t="str">
        <f>IF(Table1[[#This Row],[NET_TRDQTY]]&gt;1000000,"High Volume","Low Volume")</f>
        <v>Low Volume</v>
      </c>
    </row>
    <row r="1611" spans="1:16" x14ac:dyDescent="0.3">
      <c r="A1611" t="s">
        <v>3225</v>
      </c>
      <c r="B1611" t="s">
        <v>3226</v>
      </c>
      <c r="C1611">
        <v>260</v>
      </c>
      <c r="D1611">
        <v>260</v>
      </c>
      <c r="E1611">
        <v>249.45</v>
      </c>
      <c r="F1611">
        <v>251.95</v>
      </c>
      <c r="G1611">
        <v>264.14999999999998</v>
      </c>
      <c r="H1611">
        <v>391120</v>
      </c>
      <c r="I1611">
        <v>7049</v>
      </c>
      <c r="J1611">
        <v>29830609658</v>
      </c>
      <c r="K1611">
        <v>118398927</v>
      </c>
      <c r="L1611">
        <f>(Table1[[#This Row],[CLOSE_PRICE]] - Table1[[#This Row],[PREV_CL_PR]]) / Table1[[#This Row],[PREV_CL_PR]] * 100</f>
        <v>-4.6185879235282945</v>
      </c>
      <c r="M1611">
        <f>Table1[[#This Row],[HIGH_PRICE]]-Table1[[#This Row],[LOW_PRICE]]</f>
        <v>10.550000000000011</v>
      </c>
      <c r="N1611" t="str">
        <f>IF(Table1[[#This Row],[CLOSE_PRICE]]&gt;Table1[[#This Row],[OPEN_PRICE]],"Gain","Loss")</f>
        <v>Loss</v>
      </c>
      <c r="O1611" t="str">
        <f>IF(Table1[[#This Row],[MARKET_CAP]]&gt;200000000000,"Large Cap",
IF(Table1[[#This Row],[MARKET_CAP]]&gt;50000000000,"Mid Cap","Small Cap"))</f>
        <v>Small Cap</v>
      </c>
      <c r="P1611" t="str">
        <f>IF(Table1[[#This Row],[NET_TRDQTY]]&gt;1000000,"High Volume","Low Volume")</f>
        <v>Low Volume</v>
      </c>
    </row>
    <row r="1612" spans="1:16" x14ac:dyDescent="0.3">
      <c r="A1612" t="s">
        <v>3227</v>
      </c>
      <c r="B1612" t="s">
        <v>3228</v>
      </c>
      <c r="C1612">
        <v>26.62</v>
      </c>
      <c r="D1612">
        <v>26.62</v>
      </c>
      <c r="E1612">
        <v>25.33</v>
      </c>
      <c r="F1612">
        <v>25.7</v>
      </c>
      <c r="G1612">
        <v>26.71</v>
      </c>
      <c r="H1612">
        <v>2642443</v>
      </c>
      <c r="I1612">
        <v>11491</v>
      </c>
      <c r="J1612">
        <v>35524328514</v>
      </c>
      <c r="K1612">
        <v>1382269592</v>
      </c>
      <c r="L1612">
        <f>(Table1[[#This Row],[CLOSE_PRICE]] - Table1[[#This Row],[PREV_CL_PR]]) / Table1[[#This Row],[PREV_CL_PR]] * 100</f>
        <v>-3.7813552976413387</v>
      </c>
      <c r="M1612">
        <f>Table1[[#This Row],[HIGH_PRICE]]-Table1[[#This Row],[LOW_PRICE]]</f>
        <v>1.2900000000000027</v>
      </c>
      <c r="N1612" t="str">
        <f>IF(Table1[[#This Row],[CLOSE_PRICE]]&gt;Table1[[#This Row],[OPEN_PRICE]],"Gain","Loss")</f>
        <v>Loss</v>
      </c>
      <c r="O1612" t="str">
        <f>IF(Table1[[#This Row],[MARKET_CAP]]&gt;200000000000,"Large Cap",
IF(Table1[[#This Row],[MARKET_CAP]]&gt;50000000000,"Mid Cap","Small Cap"))</f>
        <v>Small Cap</v>
      </c>
      <c r="P1612" t="str">
        <f>IF(Table1[[#This Row],[NET_TRDQTY]]&gt;1000000,"High Volume","Low Volume")</f>
        <v>High Volume</v>
      </c>
    </row>
    <row r="1613" spans="1:16" x14ac:dyDescent="0.3">
      <c r="A1613" t="s">
        <v>3229</v>
      </c>
      <c r="B1613" t="s">
        <v>3230</v>
      </c>
      <c r="C1613">
        <v>8.1999999999999993</v>
      </c>
      <c r="D1613">
        <v>8.1999999999999993</v>
      </c>
      <c r="E1613">
        <v>7.85</v>
      </c>
      <c r="F1613">
        <v>7.92</v>
      </c>
      <c r="G1613">
        <v>8.31</v>
      </c>
      <c r="H1613">
        <v>19614858</v>
      </c>
      <c r="I1613">
        <v>18932</v>
      </c>
      <c r="J1613">
        <v>42531238411</v>
      </c>
      <c r="K1613">
        <v>5370105860</v>
      </c>
      <c r="L1613">
        <f>(Table1[[#This Row],[CLOSE_PRICE]] - Table1[[#This Row],[PREV_CL_PR]]) / Table1[[#This Row],[PREV_CL_PR]] * 100</f>
        <v>-4.693140794223833</v>
      </c>
      <c r="M1613">
        <f>Table1[[#This Row],[HIGH_PRICE]]-Table1[[#This Row],[LOW_PRICE]]</f>
        <v>0.34999999999999964</v>
      </c>
      <c r="N1613" t="str">
        <f>IF(Table1[[#This Row],[CLOSE_PRICE]]&gt;Table1[[#This Row],[OPEN_PRICE]],"Gain","Loss")</f>
        <v>Loss</v>
      </c>
      <c r="O1613" t="str">
        <f>IF(Table1[[#This Row],[MARKET_CAP]]&gt;200000000000,"Large Cap",
IF(Table1[[#This Row],[MARKET_CAP]]&gt;50000000000,"Mid Cap","Small Cap"))</f>
        <v>Small Cap</v>
      </c>
      <c r="P1613" t="str">
        <f>IF(Table1[[#This Row],[NET_TRDQTY]]&gt;1000000,"High Volume","Low Volume")</f>
        <v>High Volume</v>
      </c>
    </row>
    <row r="1614" spans="1:16" x14ac:dyDescent="0.3">
      <c r="A1614" t="s">
        <v>3231</v>
      </c>
      <c r="B1614" t="s">
        <v>3232</v>
      </c>
      <c r="C1614">
        <v>60.01</v>
      </c>
      <c r="D1614">
        <v>61.1</v>
      </c>
      <c r="E1614">
        <v>59.01</v>
      </c>
      <c r="F1614">
        <v>59.53</v>
      </c>
      <c r="G1614">
        <v>61.07</v>
      </c>
      <c r="H1614">
        <v>29873</v>
      </c>
      <c r="I1614">
        <v>366</v>
      </c>
      <c r="J1614">
        <v>3230546001</v>
      </c>
      <c r="K1614">
        <v>54267529</v>
      </c>
      <c r="L1614">
        <f>(Table1[[#This Row],[CLOSE_PRICE]] - Table1[[#This Row],[PREV_CL_PR]]) / Table1[[#This Row],[PREV_CL_PR]] * 100</f>
        <v>-2.5216964139512021</v>
      </c>
      <c r="M1614">
        <f>Table1[[#This Row],[HIGH_PRICE]]-Table1[[#This Row],[LOW_PRICE]]</f>
        <v>2.0900000000000034</v>
      </c>
      <c r="N1614" t="str">
        <f>IF(Table1[[#This Row],[CLOSE_PRICE]]&gt;Table1[[#This Row],[OPEN_PRICE]],"Gain","Loss")</f>
        <v>Loss</v>
      </c>
      <c r="O1614" t="str">
        <f>IF(Table1[[#This Row],[MARKET_CAP]]&gt;200000000000,"Large Cap",
IF(Table1[[#This Row],[MARKET_CAP]]&gt;50000000000,"Mid Cap","Small Cap"))</f>
        <v>Small Cap</v>
      </c>
      <c r="P1614" t="str">
        <f>IF(Table1[[#This Row],[NET_TRDQTY]]&gt;1000000,"High Volume","Low Volume")</f>
        <v>Low Volume</v>
      </c>
    </row>
    <row r="1615" spans="1:16" x14ac:dyDescent="0.3">
      <c r="A1615" t="s">
        <v>3233</v>
      </c>
      <c r="B1615" t="s">
        <v>3234</v>
      </c>
      <c r="C1615">
        <v>771.2</v>
      </c>
      <c r="D1615">
        <v>775</v>
      </c>
      <c r="E1615">
        <v>758.3</v>
      </c>
      <c r="F1615">
        <v>767.4</v>
      </c>
      <c r="G1615">
        <v>782.95</v>
      </c>
      <c r="H1615">
        <v>105568</v>
      </c>
      <c r="I1615">
        <v>8589</v>
      </c>
      <c r="J1615">
        <v>126000000000</v>
      </c>
      <c r="K1615">
        <v>164750309</v>
      </c>
      <c r="L1615">
        <f>(Table1[[#This Row],[CLOSE_PRICE]] - Table1[[#This Row],[PREV_CL_PR]]) / Table1[[#This Row],[PREV_CL_PR]] * 100</f>
        <v>-1.9860782936330632</v>
      </c>
      <c r="M1615">
        <f>Table1[[#This Row],[HIGH_PRICE]]-Table1[[#This Row],[LOW_PRICE]]</f>
        <v>16.700000000000045</v>
      </c>
      <c r="N1615" t="str">
        <f>IF(Table1[[#This Row],[CLOSE_PRICE]]&gt;Table1[[#This Row],[OPEN_PRICE]],"Gain","Loss")</f>
        <v>Loss</v>
      </c>
      <c r="O1615" t="str">
        <f>IF(Table1[[#This Row],[MARKET_CAP]]&gt;200000000000,"Large Cap",
IF(Table1[[#This Row],[MARKET_CAP]]&gt;50000000000,"Mid Cap","Small Cap"))</f>
        <v>Mid Cap</v>
      </c>
      <c r="P1615" t="str">
        <f>IF(Table1[[#This Row],[NET_TRDQTY]]&gt;1000000,"High Volume","Low Volume")</f>
        <v>Low Volume</v>
      </c>
    </row>
    <row r="1616" spans="1:16" x14ac:dyDescent="0.3">
      <c r="A1616" t="s">
        <v>3235</v>
      </c>
      <c r="B1616" t="s">
        <v>3236</v>
      </c>
      <c r="C1616">
        <v>199.07</v>
      </c>
      <c r="D1616">
        <v>201.05</v>
      </c>
      <c r="E1616">
        <v>197.61</v>
      </c>
      <c r="F1616">
        <v>199.7</v>
      </c>
      <c r="G1616">
        <v>201.05</v>
      </c>
      <c r="H1616">
        <v>33037</v>
      </c>
      <c r="I1616">
        <v>771</v>
      </c>
      <c r="J1616">
        <v>6677968000</v>
      </c>
      <c r="K1616">
        <v>33440000</v>
      </c>
      <c r="L1616">
        <f>(Table1[[#This Row],[CLOSE_PRICE]] - Table1[[#This Row],[PREV_CL_PR]]) / Table1[[#This Row],[PREV_CL_PR]] * 100</f>
        <v>-0.67147475752301555</v>
      </c>
      <c r="M1616">
        <f>Table1[[#This Row],[HIGH_PRICE]]-Table1[[#This Row],[LOW_PRICE]]</f>
        <v>3.4399999999999977</v>
      </c>
      <c r="N1616" t="str">
        <f>IF(Table1[[#This Row],[CLOSE_PRICE]]&gt;Table1[[#This Row],[OPEN_PRICE]],"Gain","Loss")</f>
        <v>Gain</v>
      </c>
      <c r="O1616" t="str">
        <f>IF(Table1[[#This Row],[MARKET_CAP]]&gt;200000000000,"Large Cap",
IF(Table1[[#This Row],[MARKET_CAP]]&gt;50000000000,"Mid Cap","Small Cap"))</f>
        <v>Small Cap</v>
      </c>
      <c r="P1616" t="str">
        <f>IF(Table1[[#This Row],[NET_TRDQTY]]&gt;1000000,"High Volume","Low Volume")</f>
        <v>Low Volume</v>
      </c>
    </row>
    <row r="1617" spans="1:16" x14ac:dyDescent="0.3">
      <c r="A1617" t="s">
        <v>3237</v>
      </c>
      <c r="B1617" t="s">
        <v>3238</v>
      </c>
      <c r="C1617">
        <v>4.96</v>
      </c>
      <c r="D1617">
        <v>5.14</v>
      </c>
      <c r="E1617">
        <v>4.7</v>
      </c>
      <c r="F1617">
        <v>4.8499999999999996</v>
      </c>
      <c r="G1617">
        <v>4.96</v>
      </c>
      <c r="H1617">
        <v>85926</v>
      </c>
      <c r="I1617">
        <v>445</v>
      </c>
      <c r="J1617">
        <v>1144720969</v>
      </c>
      <c r="K1617">
        <v>236024942</v>
      </c>
      <c r="L1617">
        <f>(Table1[[#This Row],[CLOSE_PRICE]] - Table1[[#This Row],[PREV_CL_PR]]) / Table1[[#This Row],[PREV_CL_PR]] * 100</f>
        <v>-2.2177419354838772</v>
      </c>
      <c r="M1617">
        <f>Table1[[#This Row],[HIGH_PRICE]]-Table1[[#This Row],[LOW_PRICE]]</f>
        <v>0.4399999999999995</v>
      </c>
      <c r="N1617" t="str">
        <f>IF(Table1[[#This Row],[CLOSE_PRICE]]&gt;Table1[[#This Row],[OPEN_PRICE]],"Gain","Loss")</f>
        <v>Loss</v>
      </c>
      <c r="O1617" t="str">
        <f>IF(Table1[[#This Row],[MARKET_CAP]]&gt;200000000000,"Large Cap",
IF(Table1[[#This Row],[MARKET_CAP]]&gt;50000000000,"Mid Cap","Small Cap"))</f>
        <v>Small Cap</v>
      </c>
      <c r="P1617" t="str">
        <f>IF(Table1[[#This Row],[NET_TRDQTY]]&gt;1000000,"High Volume","Low Volume")</f>
        <v>Low Volume</v>
      </c>
    </row>
    <row r="1618" spans="1:16" x14ac:dyDescent="0.3">
      <c r="A1618" t="s">
        <v>3239</v>
      </c>
      <c r="B1618" t="s">
        <v>3240</v>
      </c>
      <c r="C1618">
        <v>103.9</v>
      </c>
      <c r="D1618">
        <v>103.9</v>
      </c>
      <c r="E1618">
        <v>99.9</v>
      </c>
      <c r="F1618">
        <v>100.53</v>
      </c>
      <c r="G1618">
        <v>102.93</v>
      </c>
      <c r="H1618">
        <v>39452</v>
      </c>
      <c r="I1618">
        <v>463</v>
      </c>
      <c r="J1618">
        <v>3000316242</v>
      </c>
      <c r="K1618">
        <v>29844984</v>
      </c>
      <c r="L1618">
        <f>(Table1[[#This Row],[CLOSE_PRICE]] - Table1[[#This Row],[PREV_CL_PR]]) / Table1[[#This Row],[PREV_CL_PR]] * 100</f>
        <v>-2.3316817254444824</v>
      </c>
      <c r="M1618">
        <f>Table1[[#This Row],[HIGH_PRICE]]-Table1[[#This Row],[LOW_PRICE]]</f>
        <v>4</v>
      </c>
      <c r="N1618" t="str">
        <f>IF(Table1[[#This Row],[CLOSE_PRICE]]&gt;Table1[[#This Row],[OPEN_PRICE]],"Gain","Loss")</f>
        <v>Loss</v>
      </c>
      <c r="O1618" t="str">
        <f>IF(Table1[[#This Row],[MARKET_CAP]]&gt;200000000000,"Large Cap",
IF(Table1[[#This Row],[MARKET_CAP]]&gt;50000000000,"Mid Cap","Small Cap"))</f>
        <v>Small Cap</v>
      </c>
      <c r="P1618" t="str">
        <f>IF(Table1[[#This Row],[NET_TRDQTY]]&gt;1000000,"High Volume","Low Volume")</f>
        <v>Low Volume</v>
      </c>
    </row>
    <row r="1619" spans="1:16" x14ac:dyDescent="0.3">
      <c r="A1619" t="s">
        <v>3241</v>
      </c>
      <c r="B1619" t="s">
        <v>3242</v>
      </c>
      <c r="C1619">
        <v>16</v>
      </c>
      <c r="D1619">
        <v>16.98</v>
      </c>
      <c r="E1619">
        <v>15.37</v>
      </c>
      <c r="F1619">
        <v>15.55</v>
      </c>
      <c r="G1619">
        <v>16.13</v>
      </c>
      <c r="H1619">
        <v>75490</v>
      </c>
      <c r="I1619">
        <v>441</v>
      </c>
      <c r="J1619">
        <v>1560346525</v>
      </c>
      <c r="K1619">
        <v>100343828</v>
      </c>
      <c r="L1619">
        <f>(Table1[[#This Row],[CLOSE_PRICE]] - Table1[[#This Row],[PREV_CL_PR]]) / Table1[[#This Row],[PREV_CL_PR]] * 100</f>
        <v>-3.5957842529448127</v>
      </c>
      <c r="M1619">
        <f>Table1[[#This Row],[HIGH_PRICE]]-Table1[[#This Row],[LOW_PRICE]]</f>
        <v>1.6100000000000012</v>
      </c>
      <c r="N1619" t="str">
        <f>IF(Table1[[#This Row],[CLOSE_PRICE]]&gt;Table1[[#This Row],[OPEN_PRICE]],"Gain","Loss")</f>
        <v>Loss</v>
      </c>
      <c r="O1619" t="str">
        <f>IF(Table1[[#This Row],[MARKET_CAP]]&gt;200000000000,"Large Cap",
IF(Table1[[#This Row],[MARKET_CAP]]&gt;50000000000,"Mid Cap","Small Cap"))</f>
        <v>Small Cap</v>
      </c>
      <c r="P1619" t="str">
        <f>IF(Table1[[#This Row],[NET_TRDQTY]]&gt;1000000,"High Volume","Low Volume")</f>
        <v>Low Volume</v>
      </c>
    </row>
    <row r="1620" spans="1:16" x14ac:dyDescent="0.3">
      <c r="A1620" t="s">
        <v>3243</v>
      </c>
      <c r="B1620" t="s">
        <v>3244</v>
      </c>
      <c r="C1620">
        <v>122.5</v>
      </c>
      <c r="D1620">
        <v>122.78</v>
      </c>
      <c r="E1620">
        <v>116.1</v>
      </c>
      <c r="F1620">
        <v>117.89</v>
      </c>
      <c r="G1620">
        <v>123.93</v>
      </c>
      <c r="H1620">
        <v>287488</v>
      </c>
      <c r="I1620">
        <v>3181</v>
      </c>
      <c r="J1620">
        <v>9375150378</v>
      </c>
      <c r="K1620">
        <v>79524560</v>
      </c>
      <c r="L1620">
        <f>(Table1[[#This Row],[CLOSE_PRICE]] - Table1[[#This Row],[PREV_CL_PR]]) / Table1[[#This Row],[PREV_CL_PR]] * 100</f>
        <v>-4.873719034939084</v>
      </c>
      <c r="M1620">
        <f>Table1[[#This Row],[HIGH_PRICE]]-Table1[[#This Row],[LOW_PRICE]]</f>
        <v>6.6800000000000068</v>
      </c>
      <c r="N1620" t="str">
        <f>IF(Table1[[#This Row],[CLOSE_PRICE]]&gt;Table1[[#This Row],[OPEN_PRICE]],"Gain","Loss")</f>
        <v>Loss</v>
      </c>
      <c r="O1620" t="str">
        <f>IF(Table1[[#This Row],[MARKET_CAP]]&gt;200000000000,"Large Cap",
IF(Table1[[#This Row],[MARKET_CAP]]&gt;50000000000,"Mid Cap","Small Cap"))</f>
        <v>Small Cap</v>
      </c>
      <c r="P1620" t="str">
        <f>IF(Table1[[#This Row],[NET_TRDQTY]]&gt;1000000,"High Volume","Low Volume")</f>
        <v>Low Volume</v>
      </c>
    </row>
    <row r="1621" spans="1:16" x14ac:dyDescent="0.3">
      <c r="A1621" t="s">
        <v>3245</v>
      </c>
      <c r="B1621" t="s">
        <v>3246</v>
      </c>
      <c r="C1621">
        <v>15.65</v>
      </c>
      <c r="D1621">
        <v>16.989999999999998</v>
      </c>
      <c r="E1621">
        <v>15.01</v>
      </c>
      <c r="F1621">
        <v>15.66</v>
      </c>
      <c r="G1621">
        <v>15.54</v>
      </c>
      <c r="H1621">
        <v>943126</v>
      </c>
      <c r="I1621">
        <v>2103</v>
      </c>
      <c r="J1621">
        <v>4594907401</v>
      </c>
      <c r="K1621">
        <v>293416820</v>
      </c>
      <c r="L1621">
        <f>(Table1[[#This Row],[CLOSE_PRICE]] - Table1[[#This Row],[PREV_CL_PR]]) / Table1[[#This Row],[PREV_CL_PR]] * 100</f>
        <v>0.77220077220077865</v>
      </c>
      <c r="M1621">
        <f>Table1[[#This Row],[HIGH_PRICE]]-Table1[[#This Row],[LOW_PRICE]]</f>
        <v>1.9799999999999986</v>
      </c>
      <c r="N1621" t="str">
        <f>IF(Table1[[#This Row],[CLOSE_PRICE]]&gt;Table1[[#This Row],[OPEN_PRICE]],"Gain","Loss")</f>
        <v>Gain</v>
      </c>
      <c r="O1621" t="str">
        <f>IF(Table1[[#This Row],[MARKET_CAP]]&gt;200000000000,"Large Cap",
IF(Table1[[#This Row],[MARKET_CAP]]&gt;50000000000,"Mid Cap","Small Cap"))</f>
        <v>Small Cap</v>
      </c>
      <c r="P1621" t="str">
        <f>IF(Table1[[#This Row],[NET_TRDQTY]]&gt;1000000,"High Volume","Low Volume")</f>
        <v>Low Volume</v>
      </c>
    </row>
    <row r="1622" spans="1:16" x14ac:dyDescent="0.3">
      <c r="A1622" t="s">
        <v>3247</v>
      </c>
      <c r="B1622" t="s">
        <v>3248</v>
      </c>
      <c r="C1622">
        <v>365</v>
      </c>
      <c r="D1622">
        <v>373</v>
      </c>
      <c r="E1622">
        <v>358.8</v>
      </c>
      <c r="F1622">
        <v>370.65</v>
      </c>
      <c r="G1622">
        <v>375.05</v>
      </c>
      <c r="H1622">
        <v>41164</v>
      </c>
      <c r="I1622">
        <v>1822</v>
      </c>
      <c r="J1622">
        <v>46784327000</v>
      </c>
      <c r="K1622">
        <v>126222385</v>
      </c>
      <c r="L1622">
        <f>(Table1[[#This Row],[CLOSE_PRICE]] - Table1[[#This Row],[PREV_CL_PR]]) / Table1[[#This Row],[PREV_CL_PR]] * 100</f>
        <v>-1.1731769097453764</v>
      </c>
      <c r="M1622">
        <f>Table1[[#This Row],[HIGH_PRICE]]-Table1[[#This Row],[LOW_PRICE]]</f>
        <v>14.199999999999989</v>
      </c>
      <c r="N1622" t="str">
        <f>IF(Table1[[#This Row],[CLOSE_PRICE]]&gt;Table1[[#This Row],[OPEN_PRICE]],"Gain","Loss")</f>
        <v>Gain</v>
      </c>
      <c r="O1622" t="str">
        <f>IF(Table1[[#This Row],[MARKET_CAP]]&gt;200000000000,"Large Cap",
IF(Table1[[#This Row],[MARKET_CAP]]&gt;50000000000,"Mid Cap","Small Cap"))</f>
        <v>Small Cap</v>
      </c>
      <c r="P1622" t="str">
        <f>IF(Table1[[#This Row],[NET_TRDQTY]]&gt;1000000,"High Volume","Low Volume")</f>
        <v>Low Volume</v>
      </c>
    </row>
    <row r="1623" spans="1:16" x14ac:dyDescent="0.3">
      <c r="A1623" t="s">
        <v>3249</v>
      </c>
      <c r="B1623" t="s">
        <v>3250</v>
      </c>
      <c r="C1623">
        <v>34.1</v>
      </c>
      <c r="D1623">
        <v>36.49</v>
      </c>
      <c r="E1623">
        <v>32.11</v>
      </c>
      <c r="F1623">
        <v>33.22</v>
      </c>
      <c r="G1623">
        <v>35.130000000000003</v>
      </c>
      <c r="H1623">
        <v>66420</v>
      </c>
      <c r="I1623">
        <v>751</v>
      </c>
      <c r="J1623">
        <v>2037241282</v>
      </c>
      <c r="K1623">
        <v>61325746</v>
      </c>
      <c r="L1623">
        <f>(Table1[[#This Row],[CLOSE_PRICE]] - Table1[[#This Row],[PREV_CL_PR]]) / Table1[[#This Row],[PREV_CL_PR]] * 100</f>
        <v>-5.4369484770851226</v>
      </c>
      <c r="M1623">
        <f>Table1[[#This Row],[HIGH_PRICE]]-Table1[[#This Row],[LOW_PRICE]]</f>
        <v>4.3800000000000026</v>
      </c>
      <c r="N1623" t="str">
        <f>IF(Table1[[#This Row],[CLOSE_PRICE]]&gt;Table1[[#This Row],[OPEN_PRICE]],"Gain","Loss")</f>
        <v>Loss</v>
      </c>
      <c r="O1623" t="str">
        <f>IF(Table1[[#This Row],[MARKET_CAP]]&gt;200000000000,"Large Cap",
IF(Table1[[#This Row],[MARKET_CAP]]&gt;50000000000,"Mid Cap","Small Cap"))</f>
        <v>Small Cap</v>
      </c>
      <c r="P1623" t="str">
        <f>IF(Table1[[#This Row],[NET_TRDQTY]]&gt;1000000,"High Volume","Low Volume")</f>
        <v>Low Volume</v>
      </c>
    </row>
    <row r="1624" spans="1:16" x14ac:dyDescent="0.3">
      <c r="A1624" t="s">
        <v>3251</v>
      </c>
      <c r="B1624" t="s">
        <v>3252</v>
      </c>
      <c r="C1624">
        <v>260.7</v>
      </c>
      <c r="D1624">
        <v>260.75</v>
      </c>
      <c r="E1624">
        <v>249.1</v>
      </c>
      <c r="F1624">
        <v>250.25</v>
      </c>
      <c r="G1624">
        <v>264.55</v>
      </c>
      <c r="H1624">
        <v>6637313</v>
      </c>
      <c r="I1624">
        <v>75267</v>
      </c>
      <c r="J1624">
        <v>522000000000</v>
      </c>
      <c r="K1624">
        <v>2085020100</v>
      </c>
      <c r="L1624">
        <f>(Table1[[#This Row],[CLOSE_PRICE]] - Table1[[#This Row],[PREV_CL_PR]]) / Table1[[#This Row],[PREV_CL_PR]] * 100</f>
        <v>-5.4054054054054088</v>
      </c>
      <c r="M1624">
        <f>Table1[[#This Row],[HIGH_PRICE]]-Table1[[#This Row],[LOW_PRICE]]</f>
        <v>11.650000000000006</v>
      </c>
      <c r="N1624" t="str">
        <f>IF(Table1[[#This Row],[CLOSE_PRICE]]&gt;Table1[[#This Row],[OPEN_PRICE]],"Gain","Loss")</f>
        <v>Loss</v>
      </c>
      <c r="O1624" t="str">
        <f>IF(Table1[[#This Row],[MARKET_CAP]]&gt;200000000000,"Large Cap",
IF(Table1[[#This Row],[MARKET_CAP]]&gt;50000000000,"Mid Cap","Small Cap"))</f>
        <v>Large Cap</v>
      </c>
      <c r="P1624" t="str">
        <f>IF(Table1[[#This Row],[NET_TRDQTY]]&gt;1000000,"High Volume","Low Volume")</f>
        <v>High Volume</v>
      </c>
    </row>
    <row r="1625" spans="1:16" x14ac:dyDescent="0.3">
      <c r="A1625" t="s">
        <v>3253</v>
      </c>
      <c r="B1625" t="s">
        <v>3254</v>
      </c>
      <c r="C1625">
        <v>550.04999999999995</v>
      </c>
      <c r="D1625">
        <v>560</v>
      </c>
      <c r="E1625">
        <v>515</v>
      </c>
      <c r="F1625">
        <v>541.70000000000005</v>
      </c>
      <c r="G1625">
        <v>563.54999999999995</v>
      </c>
      <c r="H1625">
        <v>1327</v>
      </c>
      <c r="I1625">
        <v>260</v>
      </c>
      <c r="J1625">
        <v>1661363023</v>
      </c>
      <c r="K1625">
        <v>3066943</v>
      </c>
      <c r="L1625">
        <f>(Table1[[#This Row],[CLOSE_PRICE]] - Table1[[#This Row],[PREV_CL_PR]]) / Table1[[#This Row],[PREV_CL_PR]] * 100</f>
        <v>-3.8772069913938263</v>
      </c>
      <c r="M1625">
        <f>Table1[[#This Row],[HIGH_PRICE]]-Table1[[#This Row],[LOW_PRICE]]</f>
        <v>45</v>
      </c>
      <c r="N1625" t="str">
        <f>IF(Table1[[#This Row],[CLOSE_PRICE]]&gt;Table1[[#This Row],[OPEN_PRICE]],"Gain","Loss")</f>
        <v>Loss</v>
      </c>
      <c r="O1625" t="str">
        <f>IF(Table1[[#This Row],[MARKET_CAP]]&gt;200000000000,"Large Cap",
IF(Table1[[#This Row],[MARKET_CAP]]&gt;50000000000,"Mid Cap","Small Cap"))</f>
        <v>Small Cap</v>
      </c>
      <c r="P1625" t="str">
        <f>IF(Table1[[#This Row],[NET_TRDQTY]]&gt;1000000,"High Volume","Low Volume")</f>
        <v>Low Volume</v>
      </c>
    </row>
    <row r="1626" spans="1:16" x14ac:dyDescent="0.3">
      <c r="A1626" t="s">
        <v>3255</v>
      </c>
      <c r="B1626" t="s">
        <v>3256</v>
      </c>
      <c r="C1626">
        <v>372</v>
      </c>
      <c r="D1626">
        <v>373</v>
      </c>
      <c r="E1626">
        <v>355.4</v>
      </c>
      <c r="F1626">
        <v>359.2</v>
      </c>
      <c r="G1626">
        <v>371.9</v>
      </c>
      <c r="H1626">
        <v>129619</v>
      </c>
      <c r="I1626">
        <v>4982</v>
      </c>
      <c r="J1626">
        <v>45656117437</v>
      </c>
      <c r="K1626">
        <v>127105004</v>
      </c>
      <c r="L1626">
        <f>(Table1[[#This Row],[CLOSE_PRICE]] - Table1[[#This Row],[PREV_CL_PR]]) / Table1[[#This Row],[PREV_CL_PR]] * 100</f>
        <v>-3.4148964775477251</v>
      </c>
      <c r="M1626">
        <f>Table1[[#This Row],[HIGH_PRICE]]-Table1[[#This Row],[LOW_PRICE]]</f>
        <v>17.600000000000023</v>
      </c>
      <c r="N1626" t="str">
        <f>IF(Table1[[#This Row],[CLOSE_PRICE]]&gt;Table1[[#This Row],[OPEN_PRICE]],"Gain","Loss")</f>
        <v>Loss</v>
      </c>
      <c r="O1626" t="str">
        <f>IF(Table1[[#This Row],[MARKET_CAP]]&gt;200000000000,"Large Cap",
IF(Table1[[#This Row],[MARKET_CAP]]&gt;50000000000,"Mid Cap","Small Cap"))</f>
        <v>Small Cap</v>
      </c>
      <c r="P1626" t="str">
        <f>IF(Table1[[#This Row],[NET_TRDQTY]]&gt;1000000,"High Volume","Low Volume")</f>
        <v>Low Volume</v>
      </c>
    </row>
    <row r="1627" spans="1:16" x14ac:dyDescent="0.3">
      <c r="A1627" t="s">
        <v>3257</v>
      </c>
      <c r="B1627" t="s">
        <v>3258</v>
      </c>
      <c r="C1627">
        <v>2.57</v>
      </c>
      <c r="D1627">
        <v>2.57</v>
      </c>
      <c r="E1627">
        <v>2.4500000000000002</v>
      </c>
      <c r="F1627">
        <v>2.4500000000000002</v>
      </c>
      <c r="G1627">
        <v>2.57</v>
      </c>
      <c r="H1627">
        <v>511165</v>
      </c>
      <c r="I1627">
        <v>588</v>
      </c>
      <c r="J1627">
        <v>862951779.20000005</v>
      </c>
      <c r="K1627">
        <v>352225216</v>
      </c>
      <c r="L1627">
        <f>(Table1[[#This Row],[CLOSE_PRICE]] - Table1[[#This Row],[PREV_CL_PR]]) / Table1[[#This Row],[PREV_CL_PR]] * 100</f>
        <v>-4.669260700389092</v>
      </c>
      <c r="M1627">
        <f>Table1[[#This Row],[HIGH_PRICE]]-Table1[[#This Row],[LOW_PRICE]]</f>
        <v>0.11999999999999966</v>
      </c>
      <c r="N1627" t="str">
        <f>IF(Table1[[#This Row],[CLOSE_PRICE]]&gt;Table1[[#This Row],[OPEN_PRICE]],"Gain","Loss")</f>
        <v>Loss</v>
      </c>
      <c r="O1627" t="str">
        <f>IF(Table1[[#This Row],[MARKET_CAP]]&gt;200000000000,"Large Cap",
IF(Table1[[#This Row],[MARKET_CAP]]&gt;50000000000,"Mid Cap","Small Cap"))</f>
        <v>Small Cap</v>
      </c>
      <c r="P1627" t="str">
        <f>IF(Table1[[#This Row],[NET_TRDQTY]]&gt;1000000,"High Volume","Low Volume")</f>
        <v>Low Volume</v>
      </c>
    </row>
    <row r="1628" spans="1:16" x14ac:dyDescent="0.3">
      <c r="A1628" t="s">
        <v>3259</v>
      </c>
      <c r="B1628" t="s">
        <v>3260</v>
      </c>
      <c r="C1628">
        <v>1.39</v>
      </c>
      <c r="D1628">
        <v>1.39</v>
      </c>
      <c r="E1628">
        <v>1.39</v>
      </c>
      <c r="F1628">
        <v>1.39</v>
      </c>
      <c r="G1628">
        <v>1.46</v>
      </c>
      <c r="H1628">
        <v>874982</v>
      </c>
      <c r="I1628">
        <v>767</v>
      </c>
      <c r="J1628">
        <v>4120932323</v>
      </c>
      <c r="K1628">
        <v>2964699513</v>
      </c>
      <c r="L1628">
        <f>(Table1[[#This Row],[CLOSE_PRICE]] - Table1[[#This Row],[PREV_CL_PR]]) / Table1[[#This Row],[PREV_CL_PR]] * 100</f>
        <v>-4.7945205479452104</v>
      </c>
      <c r="M1628">
        <f>Table1[[#This Row],[HIGH_PRICE]]-Table1[[#This Row],[LOW_PRICE]]</f>
        <v>0</v>
      </c>
      <c r="N1628" t="str">
        <f>IF(Table1[[#This Row],[CLOSE_PRICE]]&gt;Table1[[#This Row],[OPEN_PRICE]],"Gain","Loss")</f>
        <v>Loss</v>
      </c>
      <c r="O1628" t="str">
        <f>IF(Table1[[#This Row],[MARKET_CAP]]&gt;200000000000,"Large Cap",
IF(Table1[[#This Row],[MARKET_CAP]]&gt;50000000000,"Mid Cap","Small Cap"))</f>
        <v>Small Cap</v>
      </c>
      <c r="P1628" t="str">
        <f>IF(Table1[[#This Row],[NET_TRDQTY]]&gt;1000000,"High Volume","Low Volume")</f>
        <v>Low Volume</v>
      </c>
    </row>
    <row r="1629" spans="1:16" x14ac:dyDescent="0.3">
      <c r="A1629" t="s">
        <v>3261</v>
      </c>
      <c r="B1629" t="s">
        <v>3262</v>
      </c>
      <c r="C1629">
        <v>1514.3</v>
      </c>
      <c r="D1629">
        <v>1519.9</v>
      </c>
      <c r="E1629">
        <v>1456.2</v>
      </c>
      <c r="F1629">
        <v>1482.8</v>
      </c>
      <c r="G1629">
        <v>1520.5</v>
      </c>
      <c r="H1629">
        <v>35163</v>
      </c>
      <c r="I1629">
        <v>6586</v>
      </c>
      <c r="J1629">
        <v>72645751301</v>
      </c>
      <c r="K1629">
        <v>48992279</v>
      </c>
      <c r="L1629">
        <f>(Table1[[#This Row],[CLOSE_PRICE]] - Table1[[#This Row],[PREV_CL_PR]]) / Table1[[#This Row],[PREV_CL_PR]] * 100</f>
        <v>-2.4794475501479805</v>
      </c>
      <c r="M1629">
        <f>Table1[[#This Row],[HIGH_PRICE]]-Table1[[#This Row],[LOW_PRICE]]</f>
        <v>63.700000000000045</v>
      </c>
      <c r="N1629" t="str">
        <f>IF(Table1[[#This Row],[CLOSE_PRICE]]&gt;Table1[[#This Row],[OPEN_PRICE]],"Gain","Loss")</f>
        <v>Loss</v>
      </c>
      <c r="O1629" t="str">
        <f>IF(Table1[[#This Row],[MARKET_CAP]]&gt;200000000000,"Large Cap",
IF(Table1[[#This Row],[MARKET_CAP]]&gt;50000000000,"Mid Cap","Small Cap"))</f>
        <v>Mid Cap</v>
      </c>
      <c r="P1629" t="str">
        <f>IF(Table1[[#This Row],[NET_TRDQTY]]&gt;1000000,"High Volume","Low Volume")</f>
        <v>Low Volume</v>
      </c>
    </row>
    <row r="1630" spans="1:16" x14ac:dyDescent="0.3">
      <c r="A1630" t="s">
        <v>3263</v>
      </c>
      <c r="B1630" t="s">
        <v>3264</v>
      </c>
      <c r="C1630">
        <v>23.99</v>
      </c>
      <c r="D1630">
        <v>23.99</v>
      </c>
      <c r="E1630">
        <v>22.53</v>
      </c>
      <c r="F1630">
        <v>22.63</v>
      </c>
      <c r="G1630">
        <v>23.03</v>
      </c>
      <c r="H1630">
        <v>2210</v>
      </c>
      <c r="I1630">
        <v>45</v>
      </c>
      <c r="J1630">
        <v>386008962</v>
      </c>
      <c r="K1630">
        <v>17057400</v>
      </c>
      <c r="L1630">
        <f>(Table1[[#This Row],[CLOSE_PRICE]] - Table1[[#This Row],[PREV_CL_PR]]) / Table1[[#This Row],[PREV_CL_PR]] * 100</f>
        <v>-1.7368649587494664</v>
      </c>
      <c r="M1630">
        <f>Table1[[#This Row],[HIGH_PRICE]]-Table1[[#This Row],[LOW_PRICE]]</f>
        <v>1.4599999999999973</v>
      </c>
      <c r="N1630" t="str">
        <f>IF(Table1[[#This Row],[CLOSE_PRICE]]&gt;Table1[[#This Row],[OPEN_PRICE]],"Gain","Loss")</f>
        <v>Loss</v>
      </c>
      <c r="O1630" t="str">
        <f>IF(Table1[[#This Row],[MARKET_CAP]]&gt;200000000000,"Large Cap",
IF(Table1[[#This Row],[MARKET_CAP]]&gt;50000000000,"Mid Cap","Small Cap"))</f>
        <v>Small Cap</v>
      </c>
      <c r="P1630" t="str">
        <f>IF(Table1[[#This Row],[NET_TRDQTY]]&gt;1000000,"High Volume","Low Volume")</f>
        <v>Low Volume</v>
      </c>
    </row>
    <row r="1631" spans="1:16" x14ac:dyDescent="0.3">
      <c r="A1631" t="s">
        <v>3265</v>
      </c>
      <c r="B1631" t="s">
        <v>3266</v>
      </c>
      <c r="C1631">
        <v>164.5</v>
      </c>
      <c r="D1631">
        <v>167.67</v>
      </c>
      <c r="E1631">
        <v>151.15</v>
      </c>
      <c r="F1631">
        <v>154.09</v>
      </c>
      <c r="G1631">
        <v>167.68</v>
      </c>
      <c r="H1631">
        <v>217308</v>
      </c>
      <c r="I1631">
        <v>3183</v>
      </c>
      <c r="J1631">
        <v>20140726071</v>
      </c>
      <c r="K1631">
        <v>130707548</v>
      </c>
      <c r="L1631">
        <f>(Table1[[#This Row],[CLOSE_PRICE]] - Table1[[#This Row],[PREV_CL_PR]]) / Table1[[#This Row],[PREV_CL_PR]] * 100</f>
        <v>-8.10472328244275</v>
      </c>
      <c r="M1631">
        <f>Table1[[#This Row],[HIGH_PRICE]]-Table1[[#This Row],[LOW_PRICE]]</f>
        <v>16.519999999999982</v>
      </c>
      <c r="N1631" t="str">
        <f>IF(Table1[[#This Row],[CLOSE_PRICE]]&gt;Table1[[#This Row],[OPEN_PRICE]],"Gain","Loss")</f>
        <v>Loss</v>
      </c>
      <c r="O1631" t="str">
        <f>IF(Table1[[#This Row],[MARKET_CAP]]&gt;200000000000,"Large Cap",
IF(Table1[[#This Row],[MARKET_CAP]]&gt;50000000000,"Mid Cap","Small Cap"))</f>
        <v>Small Cap</v>
      </c>
      <c r="P1631" t="str">
        <f>IF(Table1[[#This Row],[NET_TRDQTY]]&gt;1000000,"High Volume","Low Volume")</f>
        <v>Low Volume</v>
      </c>
    </row>
    <row r="1632" spans="1:16" x14ac:dyDescent="0.3">
      <c r="A1632" t="s">
        <v>3267</v>
      </c>
      <c r="B1632" t="s">
        <v>3268</v>
      </c>
      <c r="C1632">
        <v>38.5</v>
      </c>
      <c r="D1632">
        <v>38.5</v>
      </c>
      <c r="E1632">
        <v>35.83</v>
      </c>
      <c r="F1632">
        <v>36.35</v>
      </c>
      <c r="G1632">
        <v>39.06</v>
      </c>
      <c r="H1632">
        <v>33007629</v>
      </c>
      <c r="I1632">
        <v>92880</v>
      </c>
      <c r="J1632">
        <v>170000000000</v>
      </c>
      <c r="K1632">
        <v>4681328413</v>
      </c>
      <c r="L1632">
        <f>(Table1[[#This Row],[CLOSE_PRICE]] - Table1[[#This Row],[PREV_CL_PR]]) / Table1[[#This Row],[PREV_CL_PR]] * 100</f>
        <v>-6.9380440348182306</v>
      </c>
      <c r="M1632">
        <f>Table1[[#This Row],[HIGH_PRICE]]-Table1[[#This Row],[LOW_PRICE]]</f>
        <v>2.6700000000000017</v>
      </c>
      <c r="N1632" t="str">
        <f>IF(Table1[[#This Row],[CLOSE_PRICE]]&gt;Table1[[#This Row],[OPEN_PRICE]],"Gain","Loss")</f>
        <v>Loss</v>
      </c>
      <c r="O1632" t="str">
        <f>IF(Table1[[#This Row],[MARKET_CAP]]&gt;200000000000,"Large Cap",
IF(Table1[[#This Row],[MARKET_CAP]]&gt;50000000000,"Mid Cap","Small Cap"))</f>
        <v>Mid Cap</v>
      </c>
      <c r="P1632" t="str">
        <f>IF(Table1[[#This Row],[NET_TRDQTY]]&gt;1000000,"High Volume","Low Volume")</f>
        <v>High Volume</v>
      </c>
    </row>
    <row r="1633" spans="1:16" x14ac:dyDescent="0.3">
      <c r="A1633" t="s">
        <v>3269</v>
      </c>
      <c r="B1633" t="s">
        <v>3270</v>
      </c>
      <c r="C1633">
        <v>231.6</v>
      </c>
      <c r="D1633">
        <v>244</v>
      </c>
      <c r="E1633">
        <v>223.15</v>
      </c>
      <c r="F1633">
        <v>223.75</v>
      </c>
      <c r="G1633">
        <v>240.45</v>
      </c>
      <c r="H1633">
        <v>4928</v>
      </c>
      <c r="I1633">
        <v>195</v>
      </c>
      <c r="J1633">
        <v>2449234625</v>
      </c>
      <c r="K1633">
        <v>10946300</v>
      </c>
      <c r="L1633">
        <f>(Table1[[#This Row],[CLOSE_PRICE]] - Table1[[#This Row],[PREV_CL_PR]]) / Table1[[#This Row],[PREV_CL_PR]] * 100</f>
        <v>-6.9453108754418746</v>
      </c>
      <c r="M1633">
        <f>Table1[[#This Row],[HIGH_PRICE]]-Table1[[#This Row],[LOW_PRICE]]</f>
        <v>20.849999999999994</v>
      </c>
      <c r="N1633" t="str">
        <f>IF(Table1[[#This Row],[CLOSE_PRICE]]&gt;Table1[[#This Row],[OPEN_PRICE]],"Gain","Loss")</f>
        <v>Loss</v>
      </c>
      <c r="O1633" t="str">
        <f>IF(Table1[[#This Row],[MARKET_CAP]]&gt;200000000000,"Large Cap",
IF(Table1[[#This Row],[MARKET_CAP]]&gt;50000000000,"Mid Cap","Small Cap"))</f>
        <v>Small Cap</v>
      </c>
      <c r="P1633" t="str">
        <f>IF(Table1[[#This Row],[NET_TRDQTY]]&gt;1000000,"High Volume","Low Volume")</f>
        <v>Low Volume</v>
      </c>
    </row>
    <row r="1634" spans="1:16" x14ac:dyDescent="0.3">
      <c r="A1634" t="s">
        <v>3271</v>
      </c>
      <c r="B1634" t="s">
        <v>3272</v>
      </c>
      <c r="C1634">
        <v>153.04</v>
      </c>
      <c r="D1634">
        <v>154</v>
      </c>
      <c r="E1634">
        <v>142.26</v>
      </c>
      <c r="F1634">
        <v>143.04</v>
      </c>
      <c r="G1634">
        <v>155.52000000000001</v>
      </c>
      <c r="H1634">
        <v>21470572</v>
      </c>
      <c r="I1634">
        <v>88933</v>
      </c>
      <c r="J1634">
        <v>591000000000</v>
      </c>
      <c r="K1634">
        <v>4130525289</v>
      </c>
      <c r="L1634">
        <f>(Table1[[#This Row],[CLOSE_PRICE]] - Table1[[#This Row],[PREV_CL_PR]]) / Table1[[#This Row],[PREV_CL_PR]] * 100</f>
        <v>-8.0246913580247021</v>
      </c>
      <c r="M1634">
        <f>Table1[[#This Row],[HIGH_PRICE]]-Table1[[#This Row],[LOW_PRICE]]</f>
        <v>11.740000000000009</v>
      </c>
      <c r="N1634" t="str">
        <f>IF(Table1[[#This Row],[CLOSE_PRICE]]&gt;Table1[[#This Row],[OPEN_PRICE]],"Gain","Loss")</f>
        <v>Loss</v>
      </c>
      <c r="O1634" t="str">
        <f>IF(Table1[[#This Row],[MARKET_CAP]]&gt;200000000000,"Large Cap",
IF(Table1[[#This Row],[MARKET_CAP]]&gt;50000000000,"Mid Cap","Small Cap"))</f>
        <v>Large Cap</v>
      </c>
      <c r="P1634" t="str">
        <f>IF(Table1[[#This Row],[NET_TRDQTY]]&gt;1000000,"High Volume","Low Volume")</f>
        <v>High Volume</v>
      </c>
    </row>
    <row r="1635" spans="1:16" x14ac:dyDescent="0.3">
      <c r="A1635" t="s">
        <v>3273</v>
      </c>
      <c r="B1635" t="s">
        <v>3274</v>
      </c>
      <c r="C1635">
        <v>990</v>
      </c>
      <c r="D1635">
        <v>1002.6</v>
      </c>
      <c r="E1635">
        <v>963</v>
      </c>
      <c r="F1635">
        <v>988.2</v>
      </c>
      <c r="G1635">
        <v>1000.05</v>
      </c>
      <c r="H1635">
        <v>383961</v>
      </c>
      <c r="I1635">
        <v>24018</v>
      </c>
      <c r="J1635">
        <v>208000000000</v>
      </c>
      <c r="K1635">
        <v>210342083</v>
      </c>
      <c r="L1635">
        <f>(Table1[[#This Row],[CLOSE_PRICE]] - Table1[[#This Row],[PREV_CL_PR]]) / Table1[[#This Row],[PREV_CL_PR]] * 100</f>
        <v>-1.1849407529623428</v>
      </c>
      <c r="M1635">
        <f>Table1[[#This Row],[HIGH_PRICE]]-Table1[[#This Row],[LOW_PRICE]]</f>
        <v>39.600000000000023</v>
      </c>
      <c r="N1635" t="str">
        <f>IF(Table1[[#This Row],[CLOSE_PRICE]]&gt;Table1[[#This Row],[OPEN_PRICE]],"Gain","Loss")</f>
        <v>Loss</v>
      </c>
      <c r="O1635" t="str">
        <f>IF(Table1[[#This Row],[MARKET_CAP]]&gt;200000000000,"Large Cap",
IF(Table1[[#This Row],[MARKET_CAP]]&gt;50000000000,"Mid Cap","Small Cap"))</f>
        <v>Large Cap</v>
      </c>
      <c r="P1635" t="str">
        <f>IF(Table1[[#This Row],[NET_TRDQTY]]&gt;1000000,"High Volume","Low Volume")</f>
        <v>Low Volume</v>
      </c>
    </row>
    <row r="1636" spans="1:16" x14ac:dyDescent="0.3">
      <c r="A1636" t="s">
        <v>3275</v>
      </c>
      <c r="B1636" t="s">
        <v>3276</v>
      </c>
      <c r="C1636">
        <v>531.79999999999995</v>
      </c>
      <c r="D1636">
        <v>542.25</v>
      </c>
      <c r="E1636">
        <v>503.1</v>
      </c>
      <c r="F1636">
        <v>505.55</v>
      </c>
      <c r="G1636">
        <v>531</v>
      </c>
      <c r="H1636">
        <v>65384</v>
      </c>
      <c r="I1636">
        <v>3181</v>
      </c>
      <c r="J1636">
        <v>11248442001</v>
      </c>
      <c r="K1636">
        <v>22249910</v>
      </c>
      <c r="L1636">
        <f>(Table1[[#This Row],[CLOSE_PRICE]] - Table1[[#This Row],[PREV_CL_PR]]) / Table1[[#This Row],[PREV_CL_PR]] * 100</f>
        <v>-4.7928436911487733</v>
      </c>
      <c r="M1636">
        <f>Table1[[#This Row],[HIGH_PRICE]]-Table1[[#This Row],[LOW_PRICE]]</f>
        <v>39.149999999999977</v>
      </c>
      <c r="N1636" t="str">
        <f>IF(Table1[[#This Row],[CLOSE_PRICE]]&gt;Table1[[#This Row],[OPEN_PRICE]],"Gain","Loss")</f>
        <v>Loss</v>
      </c>
      <c r="O1636" t="str">
        <f>IF(Table1[[#This Row],[MARKET_CAP]]&gt;200000000000,"Large Cap",
IF(Table1[[#This Row],[MARKET_CAP]]&gt;50000000000,"Mid Cap","Small Cap"))</f>
        <v>Small Cap</v>
      </c>
      <c r="P1636" t="str">
        <f>IF(Table1[[#This Row],[NET_TRDQTY]]&gt;1000000,"High Volume","Low Volume")</f>
        <v>Low Volume</v>
      </c>
    </row>
    <row r="1637" spans="1:16" x14ac:dyDescent="0.3">
      <c r="A1637" t="s">
        <v>3277</v>
      </c>
      <c r="B1637" t="s">
        <v>3278</v>
      </c>
      <c r="C1637">
        <v>14.71</v>
      </c>
      <c r="D1637">
        <v>14.71</v>
      </c>
      <c r="E1637">
        <v>13.52</v>
      </c>
      <c r="F1637">
        <v>13.83</v>
      </c>
      <c r="G1637">
        <v>14.74</v>
      </c>
      <c r="H1637">
        <v>123490</v>
      </c>
      <c r="I1637">
        <v>712</v>
      </c>
      <c r="J1637">
        <v>1643682168</v>
      </c>
      <c r="K1637">
        <v>118849036</v>
      </c>
      <c r="L1637">
        <f>(Table1[[#This Row],[CLOSE_PRICE]] - Table1[[#This Row],[PREV_CL_PR]]) / Table1[[#This Row],[PREV_CL_PR]] * 100</f>
        <v>-6.1736770691994582</v>
      </c>
      <c r="M1637">
        <f>Table1[[#This Row],[HIGH_PRICE]]-Table1[[#This Row],[LOW_PRICE]]</f>
        <v>1.1900000000000013</v>
      </c>
      <c r="N1637" t="str">
        <f>IF(Table1[[#This Row],[CLOSE_PRICE]]&gt;Table1[[#This Row],[OPEN_PRICE]],"Gain","Loss")</f>
        <v>Loss</v>
      </c>
      <c r="O1637" t="str">
        <f>IF(Table1[[#This Row],[MARKET_CAP]]&gt;200000000000,"Large Cap",
IF(Table1[[#This Row],[MARKET_CAP]]&gt;50000000000,"Mid Cap","Small Cap"))</f>
        <v>Small Cap</v>
      </c>
      <c r="P1637" t="str">
        <f>IF(Table1[[#This Row],[NET_TRDQTY]]&gt;1000000,"High Volume","Low Volume")</f>
        <v>Low Volume</v>
      </c>
    </row>
    <row r="1638" spans="1:16" x14ac:dyDescent="0.3">
      <c r="A1638" t="s">
        <v>3279</v>
      </c>
      <c r="B1638" t="s">
        <v>3280</v>
      </c>
      <c r="C1638">
        <v>116</v>
      </c>
      <c r="D1638">
        <v>117.5</v>
      </c>
      <c r="E1638">
        <v>112.01</v>
      </c>
      <c r="F1638">
        <v>114.76</v>
      </c>
      <c r="G1638">
        <v>119.57</v>
      </c>
      <c r="H1638">
        <v>313585</v>
      </c>
      <c r="I1638">
        <v>6212</v>
      </c>
      <c r="J1638">
        <v>15211581450</v>
      </c>
      <c r="K1638">
        <v>132551250</v>
      </c>
      <c r="L1638">
        <f>(Table1[[#This Row],[CLOSE_PRICE]] - Table1[[#This Row],[PREV_CL_PR]]) / Table1[[#This Row],[PREV_CL_PR]] * 100</f>
        <v>-4.0227481809818419</v>
      </c>
      <c r="M1638">
        <f>Table1[[#This Row],[HIGH_PRICE]]-Table1[[#This Row],[LOW_PRICE]]</f>
        <v>5.4899999999999949</v>
      </c>
      <c r="N1638" t="str">
        <f>IF(Table1[[#This Row],[CLOSE_PRICE]]&gt;Table1[[#This Row],[OPEN_PRICE]],"Gain","Loss")</f>
        <v>Loss</v>
      </c>
      <c r="O1638" t="str">
        <f>IF(Table1[[#This Row],[MARKET_CAP]]&gt;200000000000,"Large Cap",
IF(Table1[[#This Row],[MARKET_CAP]]&gt;50000000000,"Mid Cap","Small Cap"))</f>
        <v>Small Cap</v>
      </c>
      <c r="P1638" t="str">
        <f>IF(Table1[[#This Row],[NET_TRDQTY]]&gt;1000000,"High Volume","Low Volume")</f>
        <v>Low Volume</v>
      </c>
    </row>
    <row r="1639" spans="1:16" x14ac:dyDescent="0.3">
      <c r="A1639" t="s">
        <v>3281</v>
      </c>
      <c r="B1639" t="s">
        <v>3282</v>
      </c>
      <c r="C1639">
        <v>1.46</v>
      </c>
      <c r="D1639">
        <v>1.46</v>
      </c>
      <c r="E1639">
        <v>1.33</v>
      </c>
      <c r="F1639">
        <v>1.36</v>
      </c>
      <c r="G1639">
        <v>1.46</v>
      </c>
      <c r="H1639">
        <v>2416382</v>
      </c>
      <c r="I1639">
        <v>2349</v>
      </c>
      <c r="J1639">
        <v>2132097350</v>
      </c>
      <c r="K1639">
        <v>1567718640</v>
      </c>
      <c r="L1639">
        <f>(Table1[[#This Row],[CLOSE_PRICE]] - Table1[[#This Row],[PREV_CL_PR]]) / Table1[[#This Row],[PREV_CL_PR]] * 100</f>
        <v>-6.8493150684931416</v>
      </c>
      <c r="M1639">
        <f>Table1[[#This Row],[HIGH_PRICE]]-Table1[[#This Row],[LOW_PRICE]]</f>
        <v>0.12999999999999989</v>
      </c>
      <c r="N1639" t="str">
        <f>IF(Table1[[#This Row],[CLOSE_PRICE]]&gt;Table1[[#This Row],[OPEN_PRICE]],"Gain","Loss")</f>
        <v>Loss</v>
      </c>
      <c r="O1639" t="str">
        <f>IF(Table1[[#This Row],[MARKET_CAP]]&gt;200000000000,"Large Cap",
IF(Table1[[#This Row],[MARKET_CAP]]&gt;50000000000,"Mid Cap","Small Cap"))</f>
        <v>Small Cap</v>
      </c>
      <c r="P1639" t="str">
        <f>IF(Table1[[#This Row],[NET_TRDQTY]]&gt;1000000,"High Volume","Low Volume")</f>
        <v>High Volume</v>
      </c>
    </row>
    <row r="1640" spans="1:16" x14ac:dyDescent="0.3">
      <c r="A1640" t="s">
        <v>3283</v>
      </c>
      <c r="B1640" t="s">
        <v>3284</v>
      </c>
      <c r="C1640">
        <v>6.8</v>
      </c>
      <c r="D1640">
        <v>6.91</v>
      </c>
      <c r="E1640">
        <v>6.07</v>
      </c>
      <c r="F1640">
        <v>6.14</v>
      </c>
      <c r="G1640">
        <v>6.94</v>
      </c>
      <c r="H1640">
        <v>20016700</v>
      </c>
      <c r="I1640">
        <v>13662</v>
      </c>
      <c r="J1640">
        <v>10732414781</v>
      </c>
      <c r="K1640">
        <v>1747950290</v>
      </c>
      <c r="L1640">
        <f>(Table1[[#This Row],[CLOSE_PRICE]] - Table1[[#This Row],[PREV_CL_PR]]) / Table1[[#This Row],[PREV_CL_PR]] * 100</f>
        <v>-11.527377521613841</v>
      </c>
      <c r="M1640">
        <f>Table1[[#This Row],[HIGH_PRICE]]-Table1[[#This Row],[LOW_PRICE]]</f>
        <v>0.83999999999999986</v>
      </c>
      <c r="N1640" t="str">
        <f>IF(Table1[[#This Row],[CLOSE_PRICE]]&gt;Table1[[#This Row],[OPEN_PRICE]],"Gain","Loss")</f>
        <v>Loss</v>
      </c>
      <c r="O1640" t="str">
        <f>IF(Table1[[#This Row],[MARKET_CAP]]&gt;200000000000,"Large Cap",
IF(Table1[[#This Row],[MARKET_CAP]]&gt;50000000000,"Mid Cap","Small Cap"))</f>
        <v>Small Cap</v>
      </c>
      <c r="P1640" t="str">
        <f>IF(Table1[[#This Row],[NET_TRDQTY]]&gt;1000000,"High Volume","Low Volume")</f>
        <v>High Volume</v>
      </c>
    </row>
    <row r="1641" spans="1:16" x14ac:dyDescent="0.3">
      <c r="A1641" t="s">
        <v>3285</v>
      </c>
      <c r="B1641" t="s">
        <v>3286</v>
      </c>
      <c r="C1641">
        <v>260.5</v>
      </c>
      <c r="D1641">
        <v>272.8</v>
      </c>
      <c r="E1641">
        <v>256.2</v>
      </c>
      <c r="F1641">
        <v>269.45</v>
      </c>
      <c r="G1641">
        <v>267</v>
      </c>
      <c r="H1641">
        <v>26</v>
      </c>
      <c r="I1641">
        <v>15</v>
      </c>
      <c r="J1641">
        <v>1417953680</v>
      </c>
      <c r="K1641">
        <v>5262400</v>
      </c>
      <c r="L1641">
        <f>(Table1[[#This Row],[CLOSE_PRICE]] - Table1[[#This Row],[PREV_CL_PR]]) / Table1[[#This Row],[PREV_CL_PR]] * 100</f>
        <v>0.91760299625467734</v>
      </c>
      <c r="M1641">
        <f>Table1[[#This Row],[HIGH_PRICE]]-Table1[[#This Row],[LOW_PRICE]]</f>
        <v>16.600000000000023</v>
      </c>
      <c r="N1641" t="str">
        <f>IF(Table1[[#This Row],[CLOSE_PRICE]]&gt;Table1[[#This Row],[OPEN_PRICE]],"Gain","Loss")</f>
        <v>Gain</v>
      </c>
      <c r="O1641" t="str">
        <f>IF(Table1[[#This Row],[MARKET_CAP]]&gt;200000000000,"Large Cap",
IF(Table1[[#This Row],[MARKET_CAP]]&gt;50000000000,"Mid Cap","Small Cap"))</f>
        <v>Small Cap</v>
      </c>
      <c r="P1641" t="str">
        <f>IF(Table1[[#This Row],[NET_TRDQTY]]&gt;1000000,"High Volume","Low Volume")</f>
        <v>Low Volume</v>
      </c>
    </row>
    <row r="1642" spans="1:16" x14ac:dyDescent="0.3">
      <c r="A1642" t="s">
        <v>3287</v>
      </c>
      <c r="B1642" t="s">
        <v>3288</v>
      </c>
      <c r="C1642">
        <v>540.20000000000005</v>
      </c>
      <c r="D1642">
        <v>545.95000000000005</v>
      </c>
      <c r="E1642">
        <v>518.29999999999995</v>
      </c>
      <c r="F1642">
        <v>521.9</v>
      </c>
      <c r="G1642">
        <v>551.1</v>
      </c>
      <c r="H1642">
        <v>85618</v>
      </c>
      <c r="I1642">
        <v>4583</v>
      </c>
      <c r="J1642">
        <v>9228620440</v>
      </c>
      <c r="K1642">
        <v>17682737</v>
      </c>
      <c r="L1642">
        <f>(Table1[[#This Row],[CLOSE_PRICE]] - Table1[[#This Row],[PREV_CL_PR]]) / Table1[[#This Row],[PREV_CL_PR]] * 100</f>
        <v>-5.2984939212484203</v>
      </c>
      <c r="M1642">
        <f>Table1[[#This Row],[HIGH_PRICE]]-Table1[[#This Row],[LOW_PRICE]]</f>
        <v>27.650000000000091</v>
      </c>
      <c r="N1642" t="str">
        <f>IF(Table1[[#This Row],[CLOSE_PRICE]]&gt;Table1[[#This Row],[OPEN_PRICE]],"Gain","Loss")</f>
        <v>Loss</v>
      </c>
      <c r="O1642" t="str">
        <f>IF(Table1[[#This Row],[MARKET_CAP]]&gt;200000000000,"Large Cap",
IF(Table1[[#This Row],[MARKET_CAP]]&gt;50000000000,"Mid Cap","Small Cap"))</f>
        <v>Small Cap</v>
      </c>
      <c r="P1642" t="str">
        <f>IF(Table1[[#This Row],[NET_TRDQTY]]&gt;1000000,"High Volume","Low Volume")</f>
        <v>Low Volume</v>
      </c>
    </row>
    <row r="1643" spans="1:16" x14ac:dyDescent="0.3">
      <c r="A1643" t="s">
        <v>3289</v>
      </c>
      <c r="B1643" t="s">
        <v>3290</v>
      </c>
      <c r="C1643">
        <v>5.99</v>
      </c>
      <c r="D1643">
        <v>5.99</v>
      </c>
      <c r="E1643">
        <v>5.43</v>
      </c>
      <c r="F1643">
        <v>5.46</v>
      </c>
      <c r="G1643">
        <v>5.71</v>
      </c>
      <c r="H1643">
        <v>14945</v>
      </c>
      <c r="I1643">
        <v>86</v>
      </c>
      <c r="J1643">
        <v>1043465186</v>
      </c>
      <c r="K1643">
        <v>191110840</v>
      </c>
      <c r="L1643">
        <f>(Table1[[#This Row],[CLOSE_PRICE]] - Table1[[#This Row],[PREV_CL_PR]]) / Table1[[#This Row],[PREV_CL_PR]] * 100</f>
        <v>-4.3782837127845884</v>
      </c>
      <c r="M1643">
        <f>Table1[[#This Row],[HIGH_PRICE]]-Table1[[#This Row],[LOW_PRICE]]</f>
        <v>0.5600000000000005</v>
      </c>
      <c r="N1643" t="str">
        <f>IF(Table1[[#This Row],[CLOSE_PRICE]]&gt;Table1[[#This Row],[OPEN_PRICE]],"Gain","Loss")</f>
        <v>Loss</v>
      </c>
      <c r="O1643" t="str">
        <f>IF(Table1[[#This Row],[MARKET_CAP]]&gt;200000000000,"Large Cap",
IF(Table1[[#This Row],[MARKET_CAP]]&gt;50000000000,"Mid Cap","Small Cap"))</f>
        <v>Small Cap</v>
      </c>
      <c r="P1643" t="str">
        <f>IF(Table1[[#This Row],[NET_TRDQTY]]&gt;1000000,"High Volume","Low Volume")</f>
        <v>Low Volume</v>
      </c>
    </row>
    <row r="1644" spans="1:16" x14ac:dyDescent="0.3">
      <c r="A1644" t="s">
        <v>3291</v>
      </c>
      <c r="B1644" t="s">
        <v>3292</v>
      </c>
      <c r="C1644">
        <v>93.5</v>
      </c>
      <c r="D1644">
        <v>93.5</v>
      </c>
      <c r="E1644">
        <v>90</v>
      </c>
      <c r="F1644">
        <v>90.94</v>
      </c>
      <c r="G1644">
        <v>94.48</v>
      </c>
      <c r="H1644">
        <v>983941</v>
      </c>
      <c r="I1644">
        <v>6370</v>
      </c>
      <c r="J1644">
        <v>26797419753</v>
      </c>
      <c r="K1644">
        <v>294671429</v>
      </c>
      <c r="L1644">
        <f>(Table1[[#This Row],[CLOSE_PRICE]] - Table1[[#This Row],[PREV_CL_PR]]) / Table1[[#This Row],[PREV_CL_PR]] * 100</f>
        <v>-3.7468247248094904</v>
      </c>
      <c r="M1644">
        <f>Table1[[#This Row],[HIGH_PRICE]]-Table1[[#This Row],[LOW_PRICE]]</f>
        <v>3.5</v>
      </c>
      <c r="N1644" t="str">
        <f>IF(Table1[[#This Row],[CLOSE_PRICE]]&gt;Table1[[#This Row],[OPEN_PRICE]],"Gain","Loss")</f>
        <v>Loss</v>
      </c>
      <c r="O1644" t="str">
        <f>IF(Table1[[#This Row],[MARKET_CAP]]&gt;200000000000,"Large Cap",
IF(Table1[[#This Row],[MARKET_CAP]]&gt;50000000000,"Mid Cap","Small Cap"))</f>
        <v>Small Cap</v>
      </c>
      <c r="P1644" t="str">
        <f>IF(Table1[[#This Row],[NET_TRDQTY]]&gt;1000000,"High Volume","Low Volume")</f>
        <v>Low Volume</v>
      </c>
    </row>
    <row r="1645" spans="1:16" x14ac:dyDescent="0.3">
      <c r="A1645" t="s">
        <v>3293</v>
      </c>
      <c r="B1645" t="s">
        <v>3294</v>
      </c>
      <c r="C1645">
        <v>142</v>
      </c>
      <c r="D1645">
        <v>144</v>
      </c>
      <c r="E1645">
        <v>132.81</v>
      </c>
      <c r="F1645">
        <v>133.63999999999999</v>
      </c>
      <c r="G1645">
        <v>144.32</v>
      </c>
      <c r="H1645">
        <v>1890540</v>
      </c>
      <c r="I1645">
        <v>23346</v>
      </c>
      <c r="J1645">
        <v>29561990421</v>
      </c>
      <c r="K1645">
        <v>221206154</v>
      </c>
      <c r="L1645">
        <f>(Table1[[#This Row],[CLOSE_PRICE]] - Table1[[#This Row],[PREV_CL_PR]]) / Table1[[#This Row],[PREV_CL_PR]] * 100</f>
        <v>-7.4002217294900268</v>
      </c>
      <c r="M1645">
        <f>Table1[[#This Row],[HIGH_PRICE]]-Table1[[#This Row],[LOW_PRICE]]</f>
        <v>11.189999999999998</v>
      </c>
      <c r="N1645" t="str">
        <f>IF(Table1[[#This Row],[CLOSE_PRICE]]&gt;Table1[[#This Row],[OPEN_PRICE]],"Gain","Loss")</f>
        <v>Loss</v>
      </c>
      <c r="O1645" t="str">
        <f>IF(Table1[[#This Row],[MARKET_CAP]]&gt;200000000000,"Large Cap",
IF(Table1[[#This Row],[MARKET_CAP]]&gt;50000000000,"Mid Cap","Small Cap"))</f>
        <v>Small Cap</v>
      </c>
      <c r="P1645" t="str">
        <f>IF(Table1[[#This Row],[NET_TRDQTY]]&gt;1000000,"High Volume","Low Volume")</f>
        <v>High Volume</v>
      </c>
    </row>
    <row r="1646" spans="1:16" x14ac:dyDescent="0.3">
      <c r="A1646" t="s">
        <v>3295</v>
      </c>
      <c r="B1646" t="s">
        <v>3296</v>
      </c>
      <c r="C1646">
        <v>136</v>
      </c>
      <c r="D1646">
        <v>136.38999999999999</v>
      </c>
      <c r="E1646">
        <v>129</v>
      </c>
      <c r="F1646">
        <v>130</v>
      </c>
      <c r="G1646">
        <v>137.97</v>
      </c>
      <c r="H1646">
        <v>13872898</v>
      </c>
      <c r="I1646">
        <v>33163</v>
      </c>
      <c r="J1646">
        <v>108000000000</v>
      </c>
      <c r="K1646">
        <v>828362949</v>
      </c>
      <c r="L1646">
        <f>(Table1[[#This Row],[CLOSE_PRICE]] - Table1[[#This Row],[PREV_CL_PR]]) / Table1[[#This Row],[PREV_CL_PR]] * 100</f>
        <v>-5.7766181053852277</v>
      </c>
      <c r="M1646">
        <f>Table1[[#This Row],[HIGH_PRICE]]-Table1[[#This Row],[LOW_PRICE]]</f>
        <v>7.3899999999999864</v>
      </c>
      <c r="N1646" t="str">
        <f>IF(Table1[[#This Row],[CLOSE_PRICE]]&gt;Table1[[#This Row],[OPEN_PRICE]],"Gain","Loss")</f>
        <v>Loss</v>
      </c>
      <c r="O1646" t="str">
        <f>IF(Table1[[#This Row],[MARKET_CAP]]&gt;200000000000,"Large Cap",
IF(Table1[[#This Row],[MARKET_CAP]]&gt;50000000000,"Mid Cap","Small Cap"))</f>
        <v>Mid Cap</v>
      </c>
      <c r="P1646" t="str">
        <f>IF(Table1[[#This Row],[NET_TRDQTY]]&gt;1000000,"High Volume","Low Volume")</f>
        <v>High Volume</v>
      </c>
    </row>
    <row r="1647" spans="1:16" x14ac:dyDescent="0.3">
      <c r="A1647" t="s">
        <v>3297</v>
      </c>
      <c r="B1647" t="s">
        <v>3298</v>
      </c>
      <c r="C1647">
        <v>28.41</v>
      </c>
      <c r="D1647">
        <v>28.41</v>
      </c>
      <c r="E1647">
        <v>25.55</v>
      </c>
      <c r="F1647">
        <v>26.13</v>
      </c>
      <c r="G1647">
        <v>28.41</v>
      </c>
      <c r="H1647">
        <v>36386</v>
      </c>
      <c r="I1647">
        <v>356</v>
      </c>
      <c r="J1647">
        <v>1061139300</v>
      </c>
      <c r="K1647">
        <v>40610000</v>
      </c>
      <c r="L1647">
        <f>(Table1[[#This Row],[CLOSE_PRICE]] - Table1[[#This Row],[PREV_CL_PR]]) / Table1[[#This Row],[PREV_CL_PR]] * 100</f>
        <v>-8.0253431890179563</v>
      </c>
      <c r="M1647">
        <f>Table1[[#This Row],[HIGH_PRICE]]-Table1[[#This Row],[LOW_PRICE]]</f>
        <v>2.8599999999999994</v>
      </c>
      <c r="N1647" t="str">
        <f>IF(Table1[[#This Row],[CLOSE_PRICE]]&gt;Table1[[#This Row],[OPEN_PRICE]],"Gain","Loss")</f>
        <v>Loss</v>
      </c>
      <c r="O1647" t="str">
        <f>IF(Table1[[#This Row],[MARKET_CAP]]&gt;200000000000,"Large Cap",
IF(Table1[[#This Row],[MARKET_CAP]]&gt;50000000000,"Mid Cap","Small Cap"))</f>
        <v>Small Cap</v>
      </c>
      <c r="P1647" t="str">
        <f>IF(Table1[[#This Row],[NET_TRDQTY]]&gt;1000000,"High Volume","Low Volume")</f>
        <v>Low Volume</v>
      </c>
    </row>
    <row r="1648" spans="1:16" x14ac:dyDescent="0.3">
      <c r="A1648" t="s">
        <v>3299</v>
      </c>
      <c r="B1648" t="s">
        <v>3300</v>
      </c>
      <c r="C1648">
        <v>382</v>
      </c>
      <c r="D1648">
        <v>382</v>
      </c>
      <c r="E1648">
        <v>358</v>
      </c>
      <c r="F1648">
        <v>365.9</v>
      </c>
      <c r="G1648">
        <v>378.35</v>
      </c>
      <c r="H1648">
        <v>64544</v>
      </c>
      <c r="I1648">
        <v>1405</v>
      </c>
      <c r="J1648">
        <v>30883445188</v>
      </c>
      <c r="K1648">
        <v>84404059</v>
      </c>
      <c r="L1648">
        <f>(Table1[[#This Row],[CLOSE_PRICE]] - Table1[[#This Row],[PREV_CL_PR]]) / Table1[[#This Row],[PREV_CL_PR]] * 100</f>
        <v>-3.2906039381525165</v>
      </c>
      <c r="M1648">
        <f>Table1[[#This Row],[HIGH_PRICE]]-Table1[[#This Row],[LOW_PRICE]]</f>
        <v>24</v>
      </c>
      <c r="N1648" t="str">
        <f>IF(Table1[[#This Row],[CLOSE_PRICE]]&gt;Table1[[#This Row],[OPEN_PRICE]],"Gain","Loss")</f>
        <v>Loss</v>
      </c>
      <c r="O1648" t="str">
        <f>IF(Table1[[#This Row],[MARKET_CAP]]&gt;200000000000,"Large Cap",
IF(Table1[[#This Row],[MARKET_CAP]]&gt;50000000000,"Mid Cap","Small Cap"))</f>
        <v>Small Cap</v>
      </c>
      <c r="P1648" t="str">
        <f>IF(Table1[[#This Row],[NET_TRDQTY]]&gt;1000000,"High Volume","Low Volume")</f>
        <v>Low Volume</v>
      </c>
    </row>
    <row r="1649" spans="1:16" x14ac:dyDescent="0.3">
      <c r="A1649" t="s">
        <v>3301</v>
      </c>
      <c r="B1649" t="s">
        <v>3302</v>
      </c>
      <c r="C1649">
        <v>922.05</v>
      </c>
      <c r="D1649">
        <v>925</v>
      </c>
      <c r="E1649">
        <v>865</v>
      </c>
      <c r="F1649">
        <v>880.1</v>
      </c>
      <c r="G1649">
        <v>936.8</v>
      </c>
      <c r="H1649">
        <v>2794</v>
      </c>
      <c r="I1649">
        <v>310</v>
      </c>
      <c r="J1649">
        <v>6661847422</v>
      </c>
      <c r="K1649">
        <v>7569421</v>
      </c>
      <c r="L1649">
        <f>(Table1[[#This Row],[CLOSE_PRICE]] - Table1[[#This Row],[PREV_CL_PR]]) / Table1[[#This Row],[PREV_CL_PR]] * 100</f>
        <v>-6.052519214346705</v>
      </c>
      <c r="M1649">
        <f>Table1[[#This Row],[HIGH_PRICE]]-Table1[[#This Row],[LOW_PRICE]]</f>
        <v>60</v>
      </c>
      <c r="N1649" t="str">
        <f>IF(Table1[[#This Row],[CLOSE_PRICE]]&gt;Table1[[#This Row],[OPEN_PRICE]],"Gain","Loss")</f>
        <v>Loss</v>
      </c>
      <c r="O1649" t="str">
        <f>IF(Table1[[#This Row],[MARKET_CAP]]&gt;200000000000,"Large Cap",
IF(Table1[[#This Row],[MARKET_CAP]]&gt;50000000000,"Mid Cap","Small Cap"))</f>
        <v>Small Cap</v>
      </c>
      <c r="P1649" t="str">
        <f>IF(Table1[[#This Row],[NET_TRDQTY]]&gt;1000000,"High Volume","Low Volume")</f>
        <v>Low Volume</v>
      </c>
    </row>
    <row r="1650" spans="1:16" x14ac:dyDescent="0.3">
      <c r="A1650" t="s">
        <v>3303</v>
      </c>
      <c r="B1650" t="s">
        <v>3304</v>
      </c>
      <c r="C1650">
        <v>470.15</v>
      </c>
      <c r="D1650">
        <v>472.45</v>
      </c>
      <c r="E1650">
        <v>445.55</v>
      </c>
      <c r="F1650">
        <v>448.1</v>
      </c>
      <c r="G1650">
        <v>477.3</v>
      </c>
      <c r="H1650">
        <v>71780</v>
      </c>
      <c r="I1650">
        <v>4794</v>
      </c>
      <c r="J1650">
        <v>26971456255</v>
      </c>
      <c r="K1650">
        <v>60190708</v>
      </c>
      <c r="L1650">
        <f>(Table1[[#This Row],[CLOSE_PRICE]] - Table1[[#This Row],[PREV_CL_PR]]) / Table1[[#This Row],[PREV_CL_PR]] * 100</f>
        <v>-6.1177456526293712</v>
      </c>
      <c r="M1650">
        <f>Table1[[#This Row],[HIGH_PRICE]]-Table1[[#This Row],[LOW_PRICE]]</f>
        <v>26.899999999999977</v>
      </c>
      <c r="N1650" t="str">
        <f>IF(Table1[[#This Row],[CLOSE_PRICE]]&gt;Table1[[#This Row],[OPEN_PRICE]],"Gain","Loss")</f>
        <v>Loss</v>
      </c>
      <c r="O1650" t="str">
        <f>IF(Table1[[#This Row],[MARKET_CAP]]&gt;200000000000,"Large Cap",
IF(Table1[[#This Row],[MARKET_CAP]]&gt;50000000000,"Mid Cap","Small Cap"))</f>
        <v>Small Cap</v>
      </c>
      <c r="P1650" t="str">
        <f>IF(Table1[[#This Row],[NET_TRDQTY]]&gt;1000000,"High Volume","Low Volume")</f>
        <v>Low Volume</v>
      </c>
    </row>
    <row r="1651" spans="1:16" x14ac:dyDescent="0.3">
      <c r="A1651" t="s">
        <v>3305</v>
      </c>
      <c r="B1651" t="s">
        <v>3306</v>
      </c>
      <c r="C1651">
        <v>183.36</v>
      </c>
      <c r="D1651">
        <v>183.36</v>
      </c>
      <c r="E1651">
        <v>171.1</v>
      </c>
      <c r="F1651">
        <v>171.59</v>
      </c>
      <c r="G1651">
        <v>185.29</v>
      </c>
      <c r="H1651">
        <v>1817880</v>
      </c>
      <c r="I1651">
        <v>24343</v>
      </c>
      <c r="J1651">
        <v>83410725034</v>
      </c>
      <c r="K1651">
        <v>486104814</v>
      </c>
      <c r="L1651">
        <f>(Table1[[#This Row],[CLOSE_PRICE]] - Table1[[#This Row],[PREV_CL_PR]]) / Table1[[#This Row],[PREV_CL_PR]] * 100</f>
        <v>-7.3938151006530246</v>
      </c>
      <c r="M1651">
        <f>Table1[[#This Row],[HIGH_PRICE]]-Table1[[#This Row],[LOW_PRICE]]</f>
        <v>12.260000000000019</v>
      </c>
      <c r="N1651" t="str">
        <f>IF(Table1[[#This Row],[CLOSE_PRICE]]&gt;Table1[[#This Row],[OPEN_PRICE]],"Gain","Loss")</f>
        <v>Loss</v>
      </c>
      <c r="O1651" t="str">
        <f>IF(Table1[[#This Row],[MARKET_CAP]]&gt;200000000000,"Large Cap",
IF(Table1[[#This Row],[MARKET_CAP]]&gt;50000000000,"Mid Cap","Small Cap"))</f>
        <v>Mid Cap</v>
      </c>
      <c r="P1651" t="str">
        <f>IF(Table1[[#This Row],[NET_TRDQTY]]&gt;1000000,"High Volume","Low Volume")</f>
        <v>High Volume</v>
      </c>
    </row>
    <row r="1652" spans="1:16" x14ac:dyDescent="0.3">
      <c r="A1652" t="s">
        <v>3307</v>
      </c>
      <c r="B1652" t="s">
        <v>3308</v>
      </c>
      <c r="C1652">
        <v>427</v>
      </c>
      <c r="D1652">
        <v>427.85</v>
      </c>
      <c r="E1652">
        <v>412.2</v>
      </c>
      <c r="F1652">
        <v>417.05</v>
      </c>
      <c r="G1652">
        <v>435.45</v>
      </c>
      <c r="H1652">
        <v>22861</v>
      </c>
      <c r="I1652">
        <v>537</v>
      </c>
      <c r="J1652">
        <v>20955327431</v>
      </c>
      <c r="K1652">
        <v>50246559</v>
      </c>
      <c r="L1652">
        <f>(Table1[[#This Row],[CLOSE_PRICE]] - Table1[[#This Row],[PREV_CL_PR]]) / Table1[[#This Row],[PREV_CL_PR]] * 100</f>
        <v>-4.2255138362613343</v>
      </c>
      <c r="M1652">
        <f>Table1[[#This Row],[HIGH_PRICE]]-Table1[[#This Row],[LOW_PRICE]]</f>
        <v>15.650000000000034</v>
      </c>
      <c r="N1652" t="str">
        <f>IF(Table1[[#This Row],[CLOSE_PRICE]]&gt;Table1[[#This Row],[OPEN_PRICE]],"Gain","Loss")</f>
        <v>Loss</v>
      </c>
      <c r="O1652" t="str">
        <f>IF(Table1[[#This Row],[MARKET_CAP]]&gt;200000000000,"Large Cap",
IF(Table1[[#This Row],[MARKET_CAP]]&gt;50000000000,"Mid Cap","Small Cap"))</f>
        <v>Small Cap</v>
      </c>
      <c r="P1652" t="str">
        <f>IF(Table1[[#This Row],[NET_TRDQTY]]&gt;1000000,"High Volume","Low Volume")</f>
        <v>Low Volume</v>
      </c>
    </row>
    <row r="1653" spans="1:16" x14ac:dyDescent="0.3">
      <c r="A1653" t="s">
        <v>3309</v>
      </c>
      <c r="B1653" t="s">
        <v>3310</v>
      </c>
      <c r="C1653">
        <v>50</v>
      </c>
      <c r="D1653">
        <v>50</v>
      </c>
      <c r="E1653">
        <v>47</v>
      </c>
      <c r="F1653">
        <v>47.51</v>
      </c>
      <c r="G1653">
        <v>50.44</v>
      </c>
      <c r="H1653">
        <v>669324</v>
      </c>
      <c r="I1653">
        <v>2655</v>
      </c>
      <c r="J1653">
        <v>12273068260</v>
      </c>
      <c r="K1653">
        <v>258326000</v>
      </c>
      <c r="L1653">
        <f>(Table1[[#This Row],[CLOSE_PRICE]] - Table1[[#This Row],[PREV_CL_PR]]) / Table1[[#This Row],[PREV_CL_PR]] * 100</f>
        <v>-5.8088818398096747</v>
      </c>
      <c r="M1653">
        <f>Table1[[#This Row],[HIGH_PRICE]]-Table1[[#This Row],[LOW_PRICE]]</f>
        <v>3</v>
      </c>
      <c r="N1653" t="str">
        <f>IF(Table1[[#This Row],[CLOSE_PRICE]]&gt;Table1[[#This Row],[OPEN_PRICE]],"Gain","Loss")</f>
        <v>Loss</v>
      </c>
      <c r="O1653" t="str">
        <f>IF(Table1[[#This Row],[MARKET_CAP]]&gt;200000000000,"Large Cap",
IF(Table1[[#This Row],[MARKET_CAP]]&gt;50000000000,"Mid Cap","Small Cap"))</f>
        <v>Small Cap</v>
      </c>
      <c r="P1653" t="str">
        <f>IF(Table1[[#This Row],[NET_TRDQTY]]&gt;1000000,"High Volume","Low Volume")</f>
        <v>Low Volume</v>
      </c>
    </row>
    <row r="1654" spans="1:16" x14ac:dyDescent="0.3">
      <c r="A1654" t="s">
        <v>3311</v>
      </c>
      <c r="B1654" t="s">
        <v>3312</v>
      </c>
      <c r="C1654">
        <v>239</v>
      </c>
      <c r="D1654">
        <v>249.95</v>
      </c>
      <c r="E1654">
        <v>230.5</v>
      </c>
      <c r="F1654">
        <v>243.25</v>
      </c>
      <c r="G1654">
        <v>241.15</v>
      </c>
      <c r="H1654">
        <v>323606</v>
      </c>
      <c r="I1654">
        <v>6758</v>
      </c>
      <c r="J1654">
        <v>21059612000</v>
      </c>
      <c r="K1654">
        <v>86576000</v>
      </c>
      <c r="L1654">
        <f>(Table1[[#This Row],[CLOSE_PRICE]] - Table1[[#This Row],[PREV_CL_PR]]) / Table1[[#This Row],[PREV_CL_PR]] * 100</f>
        <v>0.87082728592162328</v>
      </c>
      <c r="M1654">
        <f>Table1[[#This Row],[HIGH_PRICE]]-Table1[[#This Row],[LOW_PRICE]]</f>
        <v>19.449999999999989</v>
      </c>
      <c r="N1654" t="str">
        <f>IF(Table1[[#This Row],[CLOSE_PRICE]]&gt;Table1[[#This Row],[OPEN_PRICE]],"Gain","Loss")</f>
        <v>Gain</v>
      </c>
      <c r="O1654" t="str">
        <f>IF(Table1[[#This Row],[MARKET_CAP]]&gt;200000000000,"Large Cap",
IF(Table1[[#This Row],[MARKET_CAP]]&gt;50000000000,"Mid Cap","Small Cap"))</f>
        <v>Small Cap</v>
      </c>
      <c r="P1654" t="str">
        <f>IF(Table1[[#This Row],[NET_TRDQTY]]&gt;1000000,"High Volume","Low Volume")</f>
        <v>Low Volume</v>
      </c>
    </row>
    <row r="1655" spans="1:16" x14ac:dyDescent="0.3">
      <c r="A1655" t="s">
        <v>3313</v>
      </c>
      <c r="B1655" t="s">
        <v>3314</v>
      </c>
      <c r="C1655">
        <v>3384</v>
      </c>
      <c r="D1655">
        <v>3384</v>
      </c>
      <c r="E1655">
        <v>3217</v>
      </c>
      <c r="F1655">
        <v>3227.4</v>
      </c>
      <c r="G1655">
        <v>3386.1</v>
      </c>
      <c r="H1655">
        <v>25984</v>
      </c>
      <c r="I1655">
        <v>6040</v>
      </c>
      <c r="J1655">
        <v>74329029443</v>
      </c>
      <c r="K1655">
        <v>23030622</v>
      </c>
      <c r="L1655">
        <f>(Table1[[#This Row],[CLOSE_PRICE]] - Table1[[#This Row],[PREV_CL_PR]]) / Table1[[#This Row],[PREV_CL_PR]] * 100</f>
        <v>-4.6868078320191318</v>
      </c>
      <c r="M1655">
        <f>Table1[[#This Row],[HIGH_PRICE]]-Table1[[#This Row],[LOW_PRICE]]</f>
        <v>167</v>
      </c>
      <c r="N1655" t="str">
        <f>IF(Table1[[#This Row],[CLOSE_PRICE]]&gt;Table1[[#This Row],[OPEN_PRICE]],"Gain","Loss")</f>
        <v>Loss</v>
      </c>
      <c r="O1655" t="str">
        <f>IF(Table1[[#This Row],[MARKET_CAP]]&gt;200000000000,"Large Cap",
IF(Table1[[#This Row],[MARKET_CAP]]&gt;50000000000,"Mid Cap","Small Cap"))</f>
        <v>Mid Cap</v>
      </c>
      <c r="P1655" t="str">
        <f>IF(Table1[[#This Row],[NET_TRDQTY]]&gt;1000000,"High Volume","Low Volume")</f>
        <v>Low Volume</v>
      </c>
    </row>
    <row r="1656" spans="1:16" x14ac:dyDescent="0.3">
      <c r="A1656" t="s">
        <v>3315</v>
      </c>
      <c r="B1656" t="s">
        <v>3316</v>
      </c>
      <c r="C1656">
        <v>4202</v>
      </c>
      <c r="D1656">
        <v>4221.3999999999996</v>
      </c>
      <c r="E1656">
        <v>4040</v>
      </c>
      <c r="F1656">
        <v>4073.3</v>
      </c>
      <c r="G1656">
        <v>4252</v>
      </c>
      <c r="H1656">
        <v>6757</v>
      </c>
      <c r="I1656">
        <v>1923</v>
      </c>
      <c r="J1656">
        <v>93810632593</v>
      </c>
      <c r="K1656">
        <v>23030622</v>
      </c>
      <c r="L1656">
        <f>(Table1[[#This Row],[CLOSE_PRICE]] - Table1[[#This Row],[PREV_CL_PR]]) / Table1[[#This Row],[PREV_CL_PR]] * 100</f>
        <v>-4.202728127939789</v>
      </c>
      <c r="M1656">
        <f>Table1[[#This Row],[HIGH_PRICE]]-Table1[[#This Row],[LOW_PRICE]]</f>
        <v>181.39999999999964</v>
      </c>
      <c r="N1656" t="str">
        <f>IF(Table1[[#This Row],[CLOSE_PRICE]]&gt;Table1[[#This Row],[OPEN_PRICE]],"Gain","Loss")</f>
        <v>Loss</v>
      </c>
      <c r="O1656" t="str">
        <f>IF(Table1[[#This Row],[MARKET_CAP]]&gt;200000000000,"Large Cap",
IF(Table1[[#This Row],[MARKET_CAP]]&gt;50000000000,"Mid Cap","Small Cap"))</f>
        <v>Mid Cap</v>
      </c>
      <c r="P1656" t="str">
        <f>IF(Table1[[#This Row],[NET_TRDQTY]]&gt;1000000,"High Volume","Low Volume")</f>
        <v>Low Volume</v>
      </c>
    </row>
    <row r="1657" spans="1:16" x14ac:dyDescent="0.3">
      <c r="A1657" t="s">
        <v>3317</v>
      </c>
      <c r="B1657" t="s">
        <v>3318</v>
      </c>
      <c r="C1657">
        <v>2131</v>
      </c>
      <c r="D1657">
        <v>2145</v>
      </c>
      <c r="E1657">
        <v>2025</v>
      </c>
      <c r="F1657">
        <v>2044.4</v>
      </c>
      <c r="G1657">
        <v>2177.9</v>
      </c>
      <c r="H1657">
        <v>183357</v>
      </c>
      <c r="I1657">
        <v>15659</v>
      </c>
      <c r="J1657">
        <v>127000000000</v>
      </c>
      <c r="K1657">
        <v>62224268</v>
      </c>
      <c r="L1657">
        <f>(Table1[[#This Row],[CLOSE_PRICE]] - Table1[[#This Row],[PREV_CL_PR]]) / Table1[[#This Row],[PREV_CL_PR]] * 100</f>
        <v>-6.1297580237843787</v>
      </c>
      <c r="M1657">
        <f>Table1[[#This Row],[HIGH_PRICE]]-Table1[[#This Row],[LOW_PRICE]]</f>
        <v>120</v>
      </c>
      <c r="N1657" t="str">
        <f>IF(Table1[[#This Row],[CLOSE_PRICE]]&gt;Table1[[#This Row],[OPEN_PRICE]],"Gain","Loss")</f>
        <v>Loss</v>
      </c>
      <c r="O1657" t="str">
        <f>IF(Table1[[#This Row],[MARKET_CAP]]&gt;200000000000,"Large Cap",
IF(Table1[[#This Row],[MARKET_CAP]]&gt;50000000000,"Mid Cap","Small Cap"))</f>
        <v>Mid Cap</v>
      </c>
      <c r="P1657" t="str">
        <f>IF(Table1[[#This Row],[NET_TRDQTY]]&gt;1000000,"High Volume","Low Volume")</f>
        <v>Low Volume</v>
      </c>
    </row>
    <row r="1658" spans="1:16" x14ac:dyDescent="0.3">
      <c r="A1658" t="s">
        <v>3319</v>
      </c>
      <c r="B1658" t="s">
        <v>3320</v>
      </c>
      <c r="C1658">
        <v>81.099999999999994</v>
      </c>
      <c r="D1658">
        <v>82.11</v>
      </c>
      <c r="E1658">
        <v>77.7</v>
      </c>
      <c r="F1658">
        <v>78.13</v>
      </c>
      <c r="G1658">
        <v>82.4</v>
      </c>
      <c r="H1658">
        <v>332373</v>
      </c>
      <c r="I1658">
        <v>4181</v>
      </c>
      <c r="J1658">
        <v>14238743253</v>
      </c>
      <c r="K1658">
        <v>182244250</v>
      </c>
      <c r="L1658">
        <f>(Table1[[#This Row],[CLOSE_PRICE]] - Table1[[#This Row],[PREV_CL_PR]]) / Table1[[#This Row],[PREV_CL_PR]] * 100</f>
        <v>-5.1820388349514683</v>
      </c>
      <c r="M1658">
        <f>Table1[[#This Row],[HIGH_PRICE]]-Table1[[#This Row],[LOW_PRICE]]</f>
        <v>4.4099999999999966</v>
      </c>
      <c r="N1658" t="str">
        <f>IF(Table1[[#This Row],[CLOSE_PRICE]]&gt;Table1[[#This Row],[OPEN_PRICE]],"Gain","Loss")</f>
        <v>Loss</v>
      </c>
      <c r="O1658" t="str">
        <f>IF(Table1[[#This Row],[MARKET_CAP]]&gt;200000000000,"Large Cap",
IF(Table1[[#This Row],[MARKET_CAP]]&gt;50000000000,"Mid Cap","Small Cap"))</f>
        <v>Small Cap</v>
      </c>
      <c r="P1658" t="str">
        <f>IF(Table1[[#This Row],[NET_TRDQTY]]&gt;1000000,"High Volume","Low Volume")</f>
        <v>Low Volume</v>
      </c>
    </row>
    <row r="1659" spans="1:16" x14ac:dyDescent="0.3">
      <c r="A1659" t="s">
        <v>3321</v>
      </c>
      <c r="B1659" t="s">
        <v>3322</v>
      </c>
      <c r="C1659">
        <v>156.47</v>
      </c>
      <c r="D1659">
        <v>158</v>
      </c>
      <c r="E1659">
        <v>153.30000000000001</v>
      </c>
      <c r="F1659">
        <v>154.47999999999999</v>
      </c>
      <c r="G1659">
        <v>160.13</v>
      </c>
      <c r="H1659">
        <v>910592</v>
      </c>
      <c r="I1659">
        <v>14176</v>
      </c>
      <c r="J1659">
        <v>49647231164</v>
      </c>
      <c r="K1659">
        <v>321382905</v>
      </c>
      <c r="L1659">
        <f>(Table1[[#This Row],[CLOSE_PRICE]] - Table1[[#This Row],[PREV_CL_PR]]) / Table1[[#This Row],[PREV_CL_PR]] * 100</f>
        <v>-3.5283831886592183</v>
      </c>
      <c r="M1659">
        <f>Table1[[#This Row],[HIGH_PRICE]]-Table1[[#This Row],[LOW_PRICE]]</f>
        <v>4.6999999999999886</v>
      </c>
      <c r="N1659" t="str">
        <f>IF(Table1[[#This Row],[CLOSE_PRICE]]&gt;Table1[[#This Row],[OPEN_PRICE]],"Gain","Loss")</f>
        <v>Loss</v>
      </c>
      <c r="O1659" t="str">
        <f>IF(Table1[[#This Row],[MARKET_CAP]]&gt;200000000000,"Large Cap",
IF(Table1[[#This Row],[MARKET_CAP]]&gt;50000000000,"Mid Cap","Small Cap"))</f>
        <v>Small Cap</v>
      </c>
      <c r="P1659" t="str">
        <f>IF(Table1[[#This Row],[NET_TRDQTY]]&gt;1000000,"High Volume","Low Volume")</f>
        <v>Low Volume</v>
      </c>
    </row>
    <row r="1660" spans="1:16" x14ac:dyDescent="0.3">
      <c r="A1660" t="s">
        <v>3323</v>
      </c>
      <c r="B1660" t="s">
        <v>3324</v>
      </c>
      <c r="C1660">
        <v>501</v>
      </c>
      <c r="D1660">
        <v>504.45</v>
      </c>
      <c r="E1660">
        <v>477.8</v>
      </c>
      <c r="F1660">
        <v>485.7</v>
      </c>
      <c r="G1660">
        <v>508.75</v>
      </c>
      <c r="H1660">
        <v>514138</v>
      </c>
      <c r="I1660">
        <v>22678</v>
      </c>
      <c r="J1660">
        <v>171000000000</v>
      </c>
      <c r="K1660">
        <v>352381270</v>
      </c>
      <c r="L1660">
        <f>(Table1[[#This Row],[CLOSE_PRICE]] - Table1[[#This Row],[PREV_CL_PR]]) / Table1[[#This Row],[PREV_CL_PR]] * 100</f>
        <v>-4.5307125307125329</v>
      </c>
      <c r="M1660">
        <f>Table1[[#This Row],[HIGH_PRICE]]-Table1[[#This Row],[LOW_PRICE]]</f>
        <v>26.649999999999977</v>
      </c>
      <c r="N1660" t="str">
        <f>IF(Table1[[#This Row],[CLOSE_PRICE]]&gt;Table1[[#This Row],[OPEN_PRICE]],"Gain","Loss")</f>
        <v>Loss</v>
      </c>
      <c r="O1660" t="str">
        <f>IF(Table1[[#This Row],[MARKET_CAP]]&gt;200000000000,"Large Cap",
IF(Table1[[#This Row],[MARKET_CAP]]&gt;50000000000,"Mid Cap","Small Cap"))</f>
        <v>Mid Cap</v>
      </c>
      <c r="P1660" t="str">
        <f>IF(Table1[[#This Row],[NET_TRDQTY]]&gt;1000000,"High Volume","Low Volume")</f>
        <v>Low Volume</v>
      </c>
    </row>
    <row r="1661" spans="1:16" x14ac:dyDescent="0.3">
      <c r="A1661" t="s">
        <v>3325</v>
      </c>
      <c r="B1661" t="s">
        <v>3326</v>
      </c>
      <c r="C1661">
        <v>337.6</v>
      </c>
      <c r="D1661">
        <v>338.75</v>
      </c>
      <c r="E1661">
        <v>330</v>
      </c>
      <c r="F1661">
        <v>331.1</v>
      </c>
      <c r="G1661">
        <v>344.1</v>
      </c>
      <c r="H1661">
        <v>224918</v>
      </c>
      <c r="I1661">
        <v>14799</v>
      </c>
      <c r="J1661">
        <v>63839222139</v>
      </c>
      <c r="K1661">
        <v>192809490</v>
      </c>
      <c r="L1661">
        <f>(Table1[[#This Row],[CLOSE_PRICE]] - Table1[[#This Row],[PREV_CL_PR]]) / Table1[[#This Row],[PREV_CL_PR]] * 100</f>
        <v>-3.7779715199070036</v>
      </c>
      <c r="M1661">
        <f>Table1[[#This Row],[HIGH_PRICE]]-Table1[[#This Row],[LOW_PRICE]]</f>
        <v>8.75</v>
      </c>
      <c r="N1661" t="str">
        <f>IF(Table1[[#This Row],[CLOSE_PRICE]]&gt;Table1[[#This Row],[OPEN_PRICE]],"Gain","Loss")</f>
        <v>Loss</v>
      </c>
      <c r="O1661" t="str">
        <f>IF(Table1[[#This Row],[MARKET_CAP]]&gt;200000000000,"Large Cap",
IF(Table1[[#This Row],[MARKET_CAP]]&gt;50000000000,"Mid Cap","Small Cap"))</f>
        <v>Mid Cap</v>
      </c>
      <c r="P1661" t="str">
        <f>IF(Table1[[#This Row],[NET_TRDQTY]]&gt;1000000,"High Volume","Low Volume")</f>
        <v>Low Volume</v>
      </c>
    </row>
    <row r="1662" spans="1:16" x14ac:dyDescent="0.3">
      <c r="A1662" t="s">
        <v>3327</v>
      </c>
      <c r="B1662" t="s">
        <v>3328</v>
      </c>
      <c r="C1662">
        <v>81.8</v>
      </c>
      <c r="D1662">
        <v>81.8</v>
      </c>
      <c r="E1662">
        <v>76.25</v>
      </c>
      <c r="F1662">
        <v>77.64</v>
      </c>
      <c r="G1662">
        <v>83.01</v>
      </c>
      <c r="H1662">
        <v>141296</v>
      </c>
      <c r="I1662">
        <v>3843</v>
      </c>
      <c r="J1662">
        <v>6483172920</v>
      </c>
      <c r="K1662">
        <v>83503000</v>
      </c>
      <c r="L1662">
        <f>(Table1[[#This Row],[CLOSE_PRICE]] - Table1[[#This Row],[PREV_CL_PR]]) / Table1[[#This Row],[PREV_CL_PR]] * 100</f>
        <v>-6.4691001084206778</v>
      </c>
      <c r="M1662">
        <f>Table1[[#This Row],[HIGH_PRICE]]-Table1[[#This Row],[LOW_PRICE]]</f>
        <v>5.5499999999999972</v>
      </c>
      <c r="N1662" t="str">
        <f>IF(Table1[[#This Row],[CLOSE_PRICE]]&gt;Table1[[#This Row],[OPEN_PRICE]],"Gain","Loss")</f>
        <v>Loss</v>
      </c>
      <c r="O1662" t="str">
        <f>IF(Table1[[#This Row],[MARKET_CAP]]&gt;200000000000,"Large Cap",
IF(Table1[[#This Row],[MARKET_CAP]]&gt;50000000000,"Mid Cap","Small Cap"))</f>
        <v>Small Cap</v>
      </c>
      <c r="P1662" t="str">
        <f>IF(Table1[[#This Row],[NET_TRDQTY]]&gt;1000000,"High Volume","Low Volume")</f>
        <v>Low Volume</v>
      </c>
    </row>
    <row r="1663" spans="1:16" x14ac:dyDescent="0.3">
      <c r="A1663" t="s">
        <v>3329</v>
      </c>
      <c r="B1663" t="s">
        <v>3330</v>
      </c>
      <c r="C1663">
        <v>3.18</v>
      </c>
      <c r="D1663">
        <v>3.18</v>
      </c>
      <c r="E1663">
        <v>2.82</v>
      </c>
      <c r="F1663">
        <v>2.84</v>
      </c>
      <c r="G1663">
        <v>3.22</v>
      </c>
      <c r="H1663">
        <v>12388921</v>
      </c>
      <c r="I1663">
        <v>8879</v>
      </c>
      <c r="J1663">
        <v>3489583172</v>
      </c>
      <c r="K1663">
        <v>1228726469</v>
      </c>
      <c r="L1663">
        <f>(Table1[[#This Row],[CLOSE_PRICE]] - Table1[[#This Row],[PREV_CL_PR]]) / Table1[[#This Row],[PREV_CL_PR]] * 100</f>
        <v>-11.801242236024855</v>
      </c>
      <c r="M1663">
        <f>Table1[[#This Row],[HIGH_PRICE]]-Table1[[#This Row],[LOW_PRICE]]</f>
        <v>0.36000000000000032</v>
      </c>
      <c r="N1663" t="str">
        <f>IF(Table1[[#This Row],[CLOSE_PRICE]]&gt;Table1[[#This Row],[OPEN_PRICE]],"Gain","Loss")</f>
        <v>Loss</v>
      </c>
      <c r="O1663" t="str">
        <f>IF(Table1[[#This Row],[MARKET_CAP]]&gt;200000000000,"Large Cap",
IF(Table1[[#This Row],[MARKET_CAP]]&gt;50000000000,"Mid Cap","Small Cap"))</f>
        <v>Small Cap</v>
      </c>
      <c r="P1663" t="str">
        <f>IF(Table1[[#This Row],[NET_TRDQTY]]&gt;1000000,"High Volume","Low Volume")</f>
        <v>High Volume</v>
      </c>
    </row>
    <row r="1664" spans="1:16" x14ac:dyDescent="0.3">
      <c r="A1664" t="s">
        <v>3331</v>
      </c>
      <c r="B1664" t="s">
        <v>3332</v>
      </c>
      <c r="C1664">
        <v>1136.0999999999999</v>
      </c>
      <c r="D1664">
        <v>1137.4000000000001</v>
      </c>
      <c r="E1664">
        <v>1078.5999999999999</v>
      </c>
      <c r="F1664">
        <v>1093.8</v>
      </c>
      <c r="G1664">
        <v>1174.4000000000001</v>
      </c>
      <c r="H1664">
        <v>24858</v>
      </c>
      <c r="I1664">
        <v>2145</v>
      </c>
      <c r="J1664">
        <v>16563195734</v>
      </c>
      <c r="K1664">
        <v>15142801</v>
      </c>
      <c r="L1664">
        <f>(Table1[[#This Row],[CLOSE_PRICE]] - Table1[[#This Row],[PREV_CL_PR]]) / Table1[[#This Row],[PREV_CL_PR]] * 100</f>
        <v>-6.86307901907358</v>
      </c>
      <c r="M1664">
        <f>Table1[[#This Row],[HIGH_PRICE]]-Table1[[#This Row],[LOW_PRICE]]</f>
        <v>58.800000000000182</v>
      </c>
      <c r="N1664" t="str">
        <f>IF(Table1[[#This Row],[CLOSE_PRICE]]&gt;Table1[[#This Row],[OPEN_PRICE]],"Gain","Loss")</f>
        <v>Loss</v>
      </c>
      <c r="O1664" t="str">
        <f>IF(Table1[[#This Row],[MARKET_CAP]]&gt;200000000000,"Large Cap",
IF(Table1[[#This Row],[MARKET_CAP]]&gt;50000000000,"Mid Cap","Small Cap"))</f>
        <v>Small Cap</v>
      </c>
      <c r="P1664" t="str">
        <f>IF(Table1[[#This Row],[NET_TRDQTY]]&gt;1000000,"High Volume","Low Volume")</f>
        <v>Low Volume</v>
      </c>
    </row>
    <row r="1665" spans="1:16" x14ac:dyDescent="0.3">
      <c r="A1665" t="s">
        <v>3333</v>
      </c>
      <c r="B1665" t="s">
        <v>3334</v>
      </c>
      <c r="C1665">
        <v>278</v>
      </c>
      <c r="D1665">
        <v>291.3</v>
      </c>
      <c r="E1665">
        <v>272</v>
      </c>
      <c r="F1665">
        <v>277.10000000000002</v>
      </c>
      <c r="G1665">
        <v>287.85000000000002</v>
      </c>
      <c r="H1665">
        <v>23062</v>
      </c>
      <c r="I1665">
        <v>595</v>
      </c>
      <c r="J1665">
        <v>8814689550</v>
      </c>
      <c r="K1665">
        <v>31810500</v>
      </c>
      <c r="L1665">
        <f>(Table1[[#This Row],[CLOSE_PRICE]] - Table1[[#This Row],[PREV_CL_PR]]) / Table1[[#This Row],[PREV_CL_PR]] * 100</f>
        <v>-3.7345839847142606</v>
      </c>
      <c r="M1665">
        <f>Table1[[#This Row],[HIGH_PRICE]]-Table1[[#This Row],[LOW_PRICE]]</f>
        <v>19.300000000000011</v>
      </c>
      <c r="N1665" t="str">
        <f>IF(Table1[[#This Row],[CLOSE_PRICE]]&gt;Table1[[#This Row],[OPEN_PRICE]],"Gain","Loss")</f>
        <v>Loss</v>
      </c>
      <c r="O1665" t="str">
        <f>IF(Table1[[#This Row],[MARKET_CAP]]&gt;200000000000,"Large Cap",
IF(Table1[[#This Row],[MARKET_CAP]]&gt;50000000000,"Mid Cap","Small Cap"))</f>
        <v>Small Cap</v>
      </c>
      <c r="P1665" t="str">
        <f>IF(Table1[[#This Row],[NET_TRDQTY]]&gt;1000000,"High Volume","Low Volume")</f>
        <v>Low Volume</v>
      </c>
    </row>
    <row r="1666" spans="1:16" x14ac:dyDescent="0.3">
      <c r="A1666" t="s">
        <v>3335</v>
      </c>
      <c r="B1666" t="s">
        <v>3336</v>
      </c>
      <c r="C1666">
        <v>59.74</v>
      </c>
      <c r="D1666">
        <v>59.74</v>
      </c>
      <c r="E1666">
        <v>56.88</v>
      </c>
      <c r="F1666">
        <v>57.13</v>
      </c>
      <c r="G1666">
        <v>59.78</v>
      </c>
      <c r="H1666">
        <v>161604</v>
      </c>
      <c r="I1666">
        <v>3227</v>
      </c>
      <c r="J1666">
        <v>5713000000</v>
      </c>
      <c r="K1666">
        <v>100000000</v>
      </c>
      <c r="L1666">
        <f>(Table1[[#This Row],[CLOSE_PRICE]] - Table1[[#This Row],[PREV_CL_PR]]) / Table1[[#This Row],[PREV_CL_PR]] * 100</f>
        <v>-4.4329207092673109</v>
      </c>
      <c r="M1666">
        <f>Table1[[#This Row],[HIGH_PRICE]]-Table1[[#This Row],[LOW_PRICE]]</f>
        <v>2.8599999999999994</v>
      </c>
      <c r="N1666" t="str">
        <f>IF(Table1[[#This Row],[CLOSE_PRICE]]&gt;Table1[[#This Row],[OPEN_PRICE]],"Gain","Loss")</f>
        <v>Loss</v>
      </c>
      <c r="O1666" t="str">
        <f>IF(Table1[[#This Row],[MARKET_CAP]]&gt;200000000000,"Large Cap",
IF(Table1[[#This Row],[MARKET_CAP]]&gt;50000000000,"Mid Cap","Small Cap"))</f>
        <v>Small Cap</v>
      </c>
      <c r="P1666" t="str">
        <f>IF(Table1[[#This Row],[NET_TRDQTY]]&gt;1000000,"High Volume","Low Volume")</f>
        <v>Low Volume</v>
      </c>
    </row>
    <row r="1667" spans="1:16" x14ac:dyDescent="0.3">
      <c r="A1667" t="s">
        <v>3337</v>
      </c>
      <c r="B1667" t="s">
        <v>3338</v>
      </c>
      <c r="C1667">
        <v>143.01</v>
      </c>
      <c r="D1667">
        <v>148.44999999999999</v>
      </c>
      <c r="E1667">
        <v>141.1</v>
      </c>
      <c r="F1667">
        <v>142.62</v>
      </c>
      <c r="G1667">
        <v>145.16</v>
      </c>
      <c r="H1667">
        <v>361332</v>
      </c>
      <c r="I1667">
        <v>6211</v>
      </c>
      <c r="J1667">
        <v>15755369028</v>
      </c>
      <c r="K1667">
        <v>110470965</v>
      </c>
      <c r="L1667">
        <f>(Table1[[#This Row],[CLOSE_PRICE]] - Table1[[#This Row],[PREV_CL_PR]]) / Table1[[#This Row],[PREV_CL_PR]] * 100</f>
        <v>-1.7497933314962744</v>
      </c>
      <c r="M1667">
        <f>Table1[[#This Row],[HIGH_PRICE]]-Table1[[#This Row],[LOW_PRICE]]</f>
        <v>7.3499999999999943</v>
      </c>
      <c r="N1667" t="str">
        <f>IF(Table1[[#This Row],[CLOSE_PRICE]]&gt;Table1[[#This Row],[OPEN_PRICE]],"Gain","Loss")</f>
        <v>Loss</v>
      </c>
      <c r="O1667" t="str">
        <f>IF(Table1[[#This Row],[MARKET_CAP]]&gt;200000000000,"Large Cap",
IF(Table1[[#This Row],[MARKET_CAP]]&gt;50000000000,"Mid Cap","Small Cap"))</f>
        <v>Small Cap</v>
      </c>
      <c r="P1667" t="str">
        <f>IF(Table1[[#This Row],[NET_TRDQTY]]&gt;1000000,"High Volume","Low Volume")</f>
        <v>Low Volume</v>
      </c>
    </row>
    <row r="1668" spans="1:16" x14ac:dyDescent="0.3">
      <c r="A1668" t="s">
        <v>3339</v>
      </c>
      <c r="B1668" t="s">
        <v>3340</v>
      </c>
      <c r="C1668">
        <v>58.42</v>
      </c>
      <c r="D1668">
        <v>59</v>
      </c>
      <c r="E1668">
        <v>54.85</v>
      </c>
      <c r="F1668">
        <v>55.15</v>
      </c>
      <c r="G1668">
        <v>59.39</v>
      </c>
      <c r="H1668">
        <v>203858</v>
      </c>
      <c r="I1668">
        <v>1523</v>
      </c>
      <c r="J1668">
        <v>6135611609</v>
      </c>
      <c r="K1668">
        <v>111253157</v>
      </c>
      <c r="L1668">
        <f>(Table1[[#This Row],[CLOSE_PRICE]] - Table1[[#This Row],[PREV_CL_PR]]) / Table1[[#This Row],[PREV_CL_PR]] * 100</f>
        <v>-7.1392490318235424</v>
      </c>
      <c r="M1668">
        <f>Table1[[#This Row],[HIGH_PRICE]]-Table1[[#This Row],[LOW_PRICE]]</f>
        <v>4.1499999999999986</v>
      </c>
      <c r="N1668" t="str">
        <f>IF(Table1[[#This Row],[CLOSE_PRICE]]&gt;Table1[[#This Row],[OPEN_PRICE]],"Gain","Loss")</f>
        <v>Loss</v>
      </c>
      <c r="O1668" t="str">
        <f>IF(Table1[[#This Row],[MARKET_CAP]]&gt;200000000000,"Large Cap",
IF(Table1[[#This Row],[MARKET_CAP]]&gt;50000000000,"Mid Cap","Small Cap"))</f>
        <v>Small Cap</v>
      </c>
      <c r="P1668" t="str">
        <f>IF(Table1[[#This Row],[NET_TRDQTY]]&gt;1000000,"High Volume","Low Volume")</f>
        <v>Low Volume</v>
      </c>
    </row>
    <row r="1669" spans="1:16" x14ac:dyDescent="0.3">
      <c r="A1669" t="s">
        <v>3341</v>
      </c>
      <c r="B1669" t="s">
        <v>3342</v>
      </c>
      <c r="C1669">
        <v>31.57</v>
      </c>
      <c r="D1669">
        <v>31.61</v>
      </c>
      <c r="E1669">
        <v>29.63</v>
      </c>
      <c r="F1669">
        <v>30.37</v>
      </c>
      <c r="G1669">
        <v>31.61</v>
      </c>
      <c r="H1669">
        <v>12548318</v>
      </c>
      <c r="I1669">
        <v>6911</v>
      </c>
      <c r="J1669">
        <v>14461890300</v>
      </c>
      <c r="K1669">
        <v>476190000</v>
      </c>
      <c r="L1669">
        <f>(Table1[[#This Row],[CLOSE_PRICE]] - Table1[[#This Row],[PREV_CL_PR]]) / Table1[[#This Row],[PREV_CL_PR]] * 100</f>
        <v>-3.9228092375830386</v>
      </c>
      <c r="M1669">
        <f>Table1[[#This Row],[HIGH_PRICE]]-Table1[[#This Row],[LOW_PRICE]]</f>
        <v>1.9800000000000004</v>
      </c>
      <c r="N1669" t="str">
        <f>IF(Table1[[#This Row],[CLOSE_PRICE]]&gt;Table1[[#This Row],[OPEN_PRICE]],"Gain","Loss")</f>
        <v>Loss</v>
      </c>
      <c r="O1669" t="str">
        <f>IF(Table1[[#This Row],[MARKET_CAP]]&gt;200000000000,"Large Cap",
IF(Table1[[#This Row],[MARKET_CAP]]&gt;50000000000,"Mid Cap","Small Cap"))</f>
        <v>Small Cap</v>
      </c>
      <c r="P1669" t="str">
        <f>IF(Table1[[#This Row],[NET_TRDQTY]]&gt;1000000,"High Volume","Low Volume")</f>
        <v>High Volume</v>
      </c>
    </row>
    <row r="1670" spans="1:16" x14ac:dyDescent="0.3">
      <c r="A1670" t="s">
        <v>3343</v>
      </c>
      <c r="B1670" t="s">
        <v>3344</v>
      </c>
      <c r="C1670">
        <v>402</v>
      </c>
      <c r="D1670">
        <v>404.8</v>
      </c>
      <c r="E1670">
        <v>390.8</v>
      </c>
      <c r="F1670">
        <v>395.55</v>
      </c>
      <c r="G1670">
        <v>405.55</v>
      </c>
      <c r="H1670">
        <v>121114</v>
      </c>
      <c r="I1670">
        <v>6693</v>
      </c>
      <c r="J1670">
        <v>22785341310</v>
      </c>
      <c r="K1670">
        <v>57604200</v>
      </c>
      <c r="L1670">
        <f>(Table1[[#This Row],[CLOSE_PRICE]] - Table1[[#This Row],[PREV_CL_PR]]) / Table1[[#This Row],[PREV_CL_PR]] * 100</f>
        <v>-2.4657872025644187</v>
      </c>
      <c r="M1670">
        <f>Table1[[#This Row],[HIGH_PRICE]]-Table1[[#This Row],[LOW_PRICE]]</f>
        <v>14</v>
      </c>
      <c r="N1670" t="str">
        <f>IF(Table1[[#This Row],[CLOSE_PRICE]]&gt;Table1[[#This Row],[OPEN_PRICE]],"Gain","Loss")</f>
        <v>Loss</v>
      </c>
      <c r="O1670" t="str">
        <f>IF(Table1[[#This Row],[MARKET_CAP]]&gt;200000000000,"Large Cap",
IF(Table1[[#This Row],[MARKET_CAP]]&gt;50000000000,"Mid Cap","Small Cap"))</f>
        <v>Small Cap</v>
      </c>
      <c r="P1670" t="str">
        <f>IF(Table1[[#This Row],[NET_TRDQTY]]&gt;1000000,"High Volume","Low Volume")</f>
        <v>Low Volume</v>
      </c>
    </row>
    <row r="1671" spans="1:16" x14ac:dyDescent="0.3">
      <c r="A1671" t="s">
        <v>3345</v>
      </c>
      <c r="B1671" t="s">
        <v>3346</v>
      </c>
      <c r="C1671">
        <v>86</v>
      </c>
      <c r="D1671">
        <v>86</v>
      </c>
      <c r="E1671">
        <v>82.52</v>
      </c>
      <c r="F1671">
        <v>84.51</v>
      </c>
      <c r="G1671">
        <v>86.77</v>
      </c>
      <c r="H1671">
        <v>2761303</v>
      </c>
      <c r="I1671">
        <v>26841</v>
      </c>
      <c r="J1671">
        <v>92662884637</v>
      </c>
      <c r="K1671">
        <v>1096472425</v>
      </c>
      <c r="L1671">
        <f>(Table1[[#This Row],[CLOSE_PRICE]] - Table1[[#This Row],[PREV_CL_PR]]) / Table1[[#This Row],[PREV_CL_PR]] * 100</f>
        <v>-2.6045868387691495</v>
      </c>
      <c r="M1671">
        <f>Table1[[#This Row],[HIGH_PRICE]]-Table1[[#This Row],[LOW_PRICE]]</f>
        <v>3.480000000000004</v>
      </c>
      <c r="N1671" t="str">
        <f>IF(Table1[[#This Row],[CLOSE_PRICE]]&gt;Table1[[#This Row],[OPEN_PRICE]],"Gain","Loss")</f>
        <v>Loss</v>
      </c>
      <c r="O1671" t="str">
        <f>IF(Table1[[#This Row],[MARKET_CAP]]&gt;200000000000,"Large Cap",
IF(Table1[[#This Row],[MARKET_CAP]]&gt;50000000000,"Mid Cap","Small Cap"))</f>
        <v>Mid Cap</v>
      </c>
      <c r="P1671" t="str">
        <f>IF(Table1[[#This Row],[NET_TRDQTY]]&gt;1000000,"High Volume","Low Volume")</f>
        <v>High Volume</v>
      </c>
    </row>
    <row r="1672" spans="1:16" x14ac:dyDescent="0.3">
      <c r="A1672" t="s">
        <v>3347</v>
      </c>
      <c r="B1672" t="s">
        <v>3348</v>
      </c>
      <c r="C1672">
        <v>25.11</v>
      </c>
      <c r="D1672">
        <v>25.31</v>
      </c>
      <c r="E1672">
        <v>23</v>
      </c>
      <c r="F1672">
        <v>23.97</v>
      </c>
      <c r="G1672">
        <v>25.43</v>
      </c>
      <c r="H1672">
        <v>598036</v>
      </c>
      <c r="I1672">
        <v>832</v>
      </c>
      <c r="J1672">
        <v>4156792067</v>
      </c>
      <c r="K1672">
        <v>173416440</v>
      </c>
      <c r="L1672">
        <f>(Table1[[#This Row],[CLOSE_PRICE]] - Table1[[#This Row],[PREV_CL_PR]]) / Table1[[#This Row],[PREV_CL_PR]] * 100</f>
        <v>-5.7412504915454221</v>
      </c>
      <c r="M1672">
        <f>Table1[[#This Row],[HIGH_PRICE]]-Table1[[#This Row],[LOW_PRICE]]</f>
        <v>2.3099999999999987</v>
      </c>
      <c r="N1672" t="str">
        <f>IF(Table1[[#This Row],[CLOSE_PRICE]]&gt;Table1[[#This Row],[OPEN_PRICE]],"Gain","Loss")</f>
        <v>Loss</v>
      </c>
      <c r="O1672" t="str">
        <f>IF(Table1[[#This Row],[MARKET_CAP]]&gt;200000000000,"Large Cap",
IF(Table1[[#This Row],[MARKET_CAP]]&gt;50000000000,"Mid Cap","Small Cap"))</f>
        <v>Small Cap</v>
      </c>
      <c r="P1672" t="str">
        <f>IF(Table1[[#This Row],[NET_TRDQTY]]&gt;1000000,"High Volume","Low Volume")</f>
        <v>Low Volume</v>
      </c>
    </row>
    <row r="1673" spans="1:16" x14ac:dyDescent="0.3">
      <c r="A1673" t="s">
        <v>3349</v>
      </c>
      <c r="B1673" t="s">
        <v>3350</v>
      </c>
      <c r="C1673">
        <v>678.4</v>
      </c>
      <c r="D1673">
        <v>681.55</v>
      </c>
      <c r="E1673">
        <v>650.04999999999995</v>
      </c>
      <c r="F1673">
        <v>653.29999999999995</v>
      </c>
      <c r="G1673">
        <v>688.75</v>
      </c>
      <c r="H1673">
        <v>1535060</v>
      </c>
      <c r="I1673">
        <v>65427</v>
      </c>
      <c r="J1673">
        <v>622000000000</v>
      </c>
      <c r="K1673">
        <v>951547504</v>
      </c>
      <c r="L1673">
        <f>(Table1[[#This Row],[CLOSE_PRICE]] - Table1[[#This Row],[PREV_CL_PR]]) / Table1[[#This Row],[PREV_CL_PR]] * 100</f>
        <v>-5.147005444646104</v>
      </c>
      <c r="M1673">
        <f>Table1[[#This Row],[HIGH_PRICE]]-Table1[[#This Row],[LOW_PRICE]]</f>
        <v>31.5</v>
      </c>
      <c r="N1673" t="str">
        <f>IF(Table1[[#This Row],[CLOSE_PRICE]]&gt;Table1[[#This Row],[OPEN_PRICE]],"Gain","Loss")</f>
        <v>Loss</v>
      </c>
      <c r="O1673" t="str">
        <f>IF(Table1[[#This Row],[MARKET_CAP]]&gt;200000000000,"Large Cap",
IF(Table1[[#This Row],[MARKET_CAP]]&gt;50000000000,"Mid Cap","Small Cap"))</f>
        <v>Large Cap</v>
      </c>
      <c r="P1673" t="str">
        <f>IF(Table1[[#This Row],[NET_TRDQTY]]&gt;1000000,"High Volume","Low Volume")</f>
        <v>High Volume</v>
      </c>
    </row>
    <row r="1674" spans="1:16" x14ac:dyDescent="0.3">
      <c r="A1674" t="s">
        <v>3351</v>
      </c>
      <c r="B1674" t="s">
        <v>3352</v>
      </c>
      <c r="C1674">
        <v>4155</v>
      </c>
      <c r="D1674">
        <v>4155</v>
      </c>
      <c r="E1674">
        <v>3922</v>
      </c>
      <c r="F1674">
        <v>3951.6</v>
      </c>
      <c r="G1674">
        <v>4186.5</v>
      </c>
      <c r="H1674">
        <v>63480</v>
      </c>
      <c r="I1674">
        <v>14398</v>
      </c>
      <c r="J1674">
        <v>618000000000</v>
      </c>
      <c r="K1674">
        <v>156303670</v>
      </c>
      <c r="L1674">
        <f>(Table1[[#This Row],[CLOSE_PRICE]] - Table1[[#This Row],[PREV_CL_PR]]) / Table1[[#This Row],[PREV_CL_PR]] * 100</f>
        <v>-5.610892153350056</v>
      </c>
      <c r="M1674">
        <f>Table1[[#This Row],[HIGH_PRICE]]-Table1[[#This Row],[LOW_PRICE]]</f>
        <v>233</v>
      </c>
      <c r="N1674" t="str">
        <f>IF(Table1[[#This Row],[CLOSE_PRICE]]&gt;Table1[[#This Row],[OPEN_PRICE]],"Gain","Loss")</f>
        <v>Loss</v>
      </c>
      <c r="O1674" t="str">
        <f>IF(Table1[[#This Row],[MARKET_CAP]]&gt;200000000000,"Large Cap",
IF(Table1[[#This Row],[MARKET_CAP]]&gt;50000000000,"Mid Cap","Small Cap"))</f>
        <v>Large Cap</v>
      </c>
      <c r="P1674" t="str">
        <f>IF(Table1[[#This Row],[NET_TRDQTY]]&gt;1000000,"High Volume","Low Volume")</f>
        <v>Low Volume</v>
      </c>
    </row>
    <row r="1675" spans="1:16" x14ac:dyDescent="0.3">
      <c r="A1675" t="s">
        <v>3353</v>
      </c>
      <c r="B1675" t="s">
        <v>3354</v>
      </c>
      <c r="C1675">
        <v>145.81</v>
      </c>
      <c r="D1675">
        <v>145.81</v>
      </c>
      <c r="E1675">
        <v>140</v>
      </c>
      <c r="F1675">
        <v>141.01</v>
      </c>
      <c r="G1675">
        <v>146.36000000000001</v>
      </c>
      <c r="H1675">
        <v>78545</v>
      </c>
      <c r="I1675">
        <v>1108</v>
      </c>
      <c r="J1675">
        <v>4973731794</v>
      </c>
      <c r="K1675">
        <v>35272192</v>
      </c>
      <c r="L1675">
        <f>(Table1[[#This Row],[CLOSE_PRICE]] - Table1[[#This Row],[PREV_CL_PR]]) / Table1[[#This Row],[PREV_CL_PR]] * 100</f>
        <v>-3.6553703197595122</v>
      </c>
      <c r="M1675">
        <f>Table1[[#This Row],[HIGH_PRICE]]-Table1[[#This Row],[LOW_PRICE]]</f>
        <v>5.8100000000000023</v>
      </c>
      <c r="N1675" t="str">
        <f>IF(Table1[[#This Row],[CLOSE_PRICE]]&gt;Table1[[#This Row],[OPEN_PRICE]],"Gain","Loss")</f>
        <v>Loss</v>
      </c>
      <c r="O1675" t="str">
        <f>IF(Table1[[#This Row],[MARKET_CAP]]&gt;200000000000,"Large Cap",
IF(Table1[[#This Row],[MARKET_CAP]]&gt;50000000000,"Mid Cap","Small Cap"))</f>
        <v>Small Cap</v>
      </c>
      <c r="P1675" t="str">
        <f>IF(Table1[[#This Row],[NET_TRDQTY]]&gt;1000000,"High Volume","Low Volume")</f>
        <v>Low Volume</v>
      </c>
    </row>
    <row r="1676" spans="1:16" x14ac:dyDescent="0.3">
      <c r="A1676" t="s">
        <v>3355</v>
      </c>
      <c r="B1676" t="s">
        <v>3356</v>
      </c>
      <c r="C1676">
        <v>230.4</v>
      </c>
      <c r="D1676">
        <v>231.3</v>
      </c>
      <c r="E1676">
        <v>217.55</v>
      </c>
      <c r="F1676">
        <v>219.15</v>
      </c>
      <c r="G1676">
        <v>233.35</v>
      </c>
      <c r="H1676">
        <v>2710029</v>
      </c>
      <c r="I1676">
        <v>41327</v>
      </c>
      <c r="J1676">
        <v>102000000000</v>
      </c>
      <c r="K1676">
        <v>465799010</v>
      </c>
      <c r="L1676">
        <f>(Table1[[#This Row],[CLOSE_PRICE]] - Table1[[#This Row],[PREV_CL_PR]]) / Table1[[#This Row],[PREV_CL_PR]] * 100</f>
        <v>-6.0852796228840749</v>
      </c>
      <c r="M1676">
        <f>Table1[[#This Row],[HIGH_PRICE]]-Table1[[#This Row],[LOW_PRICE]]</f>
        <v>13.75</v>
      </c>
      <c r="N1676" t="str">
        <f>IF(Table1[[#This Row],[CLOSE_PRICE]]&gt;Table1[[#This Row],[OPEN_PRICE]],"Gain","Loss")</f>
        <v>Loss</v>
      </c>
      <c r="O1676" t="str">
        <f>IF(Table1[[#This Row],[MARKET_CAP]]&gt;200000000000,"Large Cap",
IF(Table1[[#This Row],[MARKET_CAP]]&gt;50000000000,"Mid Cap","Small Cap"))</f>
        <v>Mid Cap</v>
      </c>
      <c r="P1676" t="str">
        <f>IF(Table1[[#This Row],[NET_TRDQTY]]&gt;1000000,"High Volume","Low Volume")</f>
        <v>High Volume</v>
      </c>
    </row>
    <row r="1677" spans="1:16" x14ac:dyDescent="0.3">
      <c r="A1677" t="s">
        <v>3357</v>
      </c>
      <c r="B1677" t="s">
        <v>3358</v>
      </c>
      <c r="C1677">
        <v>41.7</v>
      </c>
      <c r="D1677">
        <v>41.7</v>
      </c>
      <c r="E1677">
        <v>39.06</v>
      </c>
      <c r="F1677">
        <v>39.450000000000003</v>
      </c>
      <c r="G1677">
        <v>41.65</v>
      </c>
      <c r="H1677">
        <v>673730</v>
      </c>
      <c r="I1677">
        <v>2675</v>
      </c>
      <c r="J1677">
        <v>18375770945</v>
      </c>
      <c r="K1677">
        <v>465799010</v>
      </c>
      <c r="L1677">
        <f>(Table1[[#This Row],[CLOSE_PRICE]] - Table1[[#This Row],[PREV_CL_PR]]) / Table1[[#This Row],[PREV_CL_PR]] * 100</f>
        <v>-5.2821128451380446</v>
      </c>
      <c r="M1677">
        <f>Table1[[#This Row],[HIGH_PRICE]]-Table1[[#This Row],[LOW_PRICE]]</f>
        <v>2.6400000000000006</v>
      </c>
      <c r="N1677" t="str">
        <f>IF(Table1[[#This Row],[CLOSE_PRICE]]&gt;Table1[[#This Row],[OPEN_PRICE]],"Gain","Loss")</f>
        <v>Loss</v>
      </c>
      <c r="O1677" t="str">
        <f>IF(Table1[[#This Row],[MARKET_CAP]]&gt;200000000000,"Large Cap",
IF(Table1[[#This Row],[MARKET_CAP]]&gt;50000000000,"Mid Cap","Small Cap"))</f>
        <v>Small Cap</v>
      </c>
      <c r="P1677" t="str">
        <f>IF(Table1[[#This Row],[NET_TRDQTY]]&gt;1000000,"High Volume","Low Volume")</f>
        <v>Low Volume</v>
      </c>
    </row>
    <row r="1678" spans="1:16" x14ac:dyDescent="0.3">
      <c r="A1678" t="s">
        <v>3359</v>
      </c>
      <c r="B1678" t="s">
        <v>3360</v>
      </c>
      <c r="C1678">
        <v>124.92</v>
      </c>
      <c r="D1678">
        <v>125.51</v>
      </c>
      <c r="E1678">
        <v>114</v>
      </c>
      <c r="F1678">
        <v>116.68</v>
      </c>
      <c r="G1678">
        <v>124.78</v>
      </c>
      <c r="H1678">
        <v>235982</v>
      </c>
      <c r="I1678">
        <v>2136</v>
      </c>
      <c r="J1678">
        <v>6990170452</v>
      </c>
      <c r="K1678">
        <v>59908900</v>
      </c>
      <c r="L1678">
        <f>(Table1[[#This Row],[CLOSE_PRICE]] - Table1[[#This Row],[PREV_CL_PR]]) / Table1[[#This Row],[PREV_CL_PR]] * 100</f>
        <v>-6.4914249078377892</v>
      </c>
      <c r="M1678">
        <f>Table1[[#This Row],[HIGH_PRICE]]-Table1[[#This Row],[LOW_PRICE]]</f>
        <v>11.510000000000005</v>
      </c>
      <c r="N1678" t="str">
        <f>IF(Table1[[#This Row],[CLOSE_PRICE]]&gt;Table1[[#This Row],[OPEN_PRICE]],"Gain","Loss")</f>
        <v>Loss</v>
      </c>
      <c r="O1678" t="str">
        <f>IF(Table1[[#This Row],[MARKET_CAP]]&gt;200000000000,"Large Cap",
IF(Table1[[#This Row],[MARKET_CAP]]&gt;50000000000,"Mid Cap","Small Cap"))</f>
        <v>Small Cap</v>
      </c>
      <c r="P1678" t="str">
        <f>IF(Table1[[#This Row],[NET_TRDQTY]]&gt;1000000,"High Volume","Low Volume")</f>
        <v>Low Volume</v>
      </c>
    </row>
    <row r="1679" spans="1:16" x14ac:dyDescent="0.3">
      <c r="A1679" t="s">
        <v>3361</v>
      </c>
      <c r="B1679" t="s">
        <v>3362</v>
      </c>
      <c r="C1679">
        <v>74.5</v>
      </c>
      <c r="D1679">
        <v>74.5</v>
      </c>
      <c r="E1679">
        <v>69.8</v>
      </c>
      <c r="F1679">
        <v>70.08</v>
      </c>
      <c r="G1679">
        <v>74.66</v>
      </c>
      <c r="H1679">
        <v>998413</v>
      </c>
      <c r="I1679">
        <v>9046</v>
      </c>
      <c r="J1679">
        <v>13664789315</v>
      </c>
      <c r="K1679">
        <v>194988432</v>
      </c>
      <c r="L1679">
        <f>(Table1[[#This Row],[CLOSE_PRICE]] - Table1[[#This Row],[PREV_CL_PR]]) / Table1[[#This Row],[PREV_CL_PR]] * 100</f>
        <v>-6.1344762925261165</v>
      </c>
      <c r="M1679">
        <f>Table1[[#This Row],[HIGH_PRICE]]-Table1[[#This Row],[LOW_PRICE]]</f>
        <v>4.7000000000000028</v>
      </c>
      <c r="N1679" t="str">
        <f>IF(Table1[[#This Row],[CLOSE_PRICE]]&gt;Table1[[#This Row],[OPEN_PRICE]],"Gain","Loss")</f>
        <v>Loss</v>
      </c>
      <c r="O1679" t="str">
        <f>IF(Table1[[#This Row],[MARKET_CAP]]&gt;200000000000,"Large Cap",
IF(Table1[[#This Row],[MARKET_CAP]]&gt;50000000000,"Mid Cap","Small Cap"))</f>
        <v>Small Cap</v>
      </c>
      <c r="P1679" t="str">
        <f>IF(Table1[[#This Row],[NET_TRDQTY]]&gt;1000000,"High Volume","Low Volume")</f>
        <v>Low Volume</v>
      </c>
    </row>
    <row r="1680" spans="1:16" x14ac:dyDescent="0.3">
      <c r="A1680" t="s">
        <v>3363</v>
      </c>
      <c r="B1680" t="s">
        <v>3364</v>
      </c>
      <c r="C1680">
        <v>1351.4</v>
      </c>
      <c r="D1680">
        <v>1379.9</v>
      </c>
      <c r="E1680">
        <v>1302</v>
      </c>
      <c r="F1680">
        <v>1320.5</v>
      </c>
      <c r="G1680">
        <v>1379.3</v>
      </c>
      <c r="H1680">
        <v>51727</v>
      </c>
      <c r="I1680">
        <v>4855</v>
      </c>
      <c r="J1680">
        <v>33573712500</v>
      </c>
      <c r="K1680">
        <v>25425000</v>
      </c>
      <c r="L1680">
        <f>(Table1[[#This Row],[CLOSE_PRICE]] - Table1[[#This Row],[PREV_CL_PR]]) / Table1[[#This Row],[PREV_CL_PR]] * 100</f>
        <v>-4.2630319727397925</v>
      </c>
      <c r="M1680">
        <f>Table1[[#This Row],[HIGH_PRICE]]-Table1[[#This Row],[LOW_PRICE]]</f>
        <v>77.900000000000091</v>
      </c>
      <c r="N1680" t="str">
        <f>IF(Table1[[#This Row],[CLOSE_PRICE]]&gt;Table1[[#This Row],[OPEN_PRICE]],"Gain","Loss")</f>
        <v>Loss</v>
      </c>
      <c r="O1680" t="str">
        <f>IF(Table1[[#This Row],[MARKET_CAP]]&gt;200000000000,"Large Cap",
IF(Table1[[#This Row],[MARKET_CAP]]&gt;50000000000,"Mid Cap","Small Cap"))</f>
        <v>Small Cap</v>
      </c>
      <c r="P1680" t="str">
        <f>IF(Table1[[#This Row],[NET_TRDQTY]]&gt;1000000,"High Volume","Low Volume")</f>
        <v>Low Volume</v>
      </c>
    </row>
    <row r="1681" spans="1:16" x14ac:dyDescent="0.3">
      <c r="A1681" t="s">
        <v>3365</v>
      </c>
      <c r="B1681" t="s">
        <v>3366</v>
      </c>
      <c r="C1681">
        <v>103.01</v>
      </c>
      <c r="D1681">
        <v>112.29</v>
      </c>
      <c r="E1681">
        <v>99</v>
      </c>
      <c r="F1681">
        <v>104.23</v>
      </c>
      <c r="G1681">
        <v>106.26</v>
      </c>
      <c r="H1681">
        <v>4222</v>
      </c>
      <c r="I1681">
        <v>137</v>
      </c>
      <c r="J1681">
        <v>1088890810</v>
      </c>
      <c r="K1681">
        <v>10447000</v>
      </c>
      <c r="L1681">
        <f>(Table1[[#This Row],[CLOSE_PRICE]] - Table1[[#This Row],[PREV_CL_PR]]) / Table1[[#This Row],[PREV_CL_PR]] * 100</f>
        <v>-1.9104084321475634</v>
      </c>
      <c r="M1681">
        <f>Table1[[#This Row],[HIGH_PRICE]]-Table1[[#This Row],[LOW_PRICE]]</f>
        <v>13.290000000000006</v>
      </c>
      <c r="N1681" t="str">
        <f>IF(Table1[[#This Row],[CLOSE_PRICE]]&gt;Table1[[#This Row],[OPEN_PRICE]],"Gain","Loss")</f>
        <v>Gain</v>
      </c>
      <c r="O1681" t="str">
        <f>IF(Table1[[#This Row],[MARKET_CAP]]&gt;200000000000,"Large Cap",
IF(Table1[[#This Row],[MARKET_CAP]]&gt;50000000000,"Mid Cap","Small Cap"))</f>
        <v>Small Cap</v>
      </c>
      <c r="P1681" t="str">
        <f>IF(Table1[[#This Row],[NET_TRDQTY]]&gt;1000000,"High Volume","Low Volume")</f>
        <v>Low Volume</v>
      </c>
    </row>
    <row r="1682" spans="1:16" x14ac:dyDescent="0.3">
      <c r="A1682" t="s">
        <v>3367</v>
      </c>
      <c r="B1682" t="s">
        <v>3368</v>
      </c>
      <c r="C1682">
        <v>21.1</v>
      </c>
      <c r="D1682">
        <v>22.77</v>
      </c>
      <c r="E1682">
        <v>21.1</v>
      </c>
      <c r="F1682">
        <v>21.88</v>
      </c>
      <c r="G1682">
        <v>21.99</v>
      </c>
      <c r="H1682">
        <v>63393</v>
      </c>
      <c r="I1682">
        <v>106</v>
      </c>
      <c r="J1682">
        <v>731024037.39999998</v>
      </c>
      <c r="K1682">
        <v>33410605</v>
      </c>
      <c r="L1682">
        <f>(Table1[[#This Row],[CLOSE_PRICE]] - Table1[[#This Row],[PREV_CL_PR]]) / Table1[[#This Row],[PREV_CL_PR]] * 100</f>
        <v>-0.50022737608003387</v>
      </c>
      <c r="M1682">
        <f>Table1[[#This Row],[HIGH_PRICE]]-Table1[[#This Row],[LOW_PRICE]]</f>
        <v>1.6699999999999982</v>
      </c>
      <c r="N1682" t="str">
        <f>IF(Table1[[#This Row],[CLOSE_PRICE]]&gt;Table1[[#This Row],[OPEN_PRICE]],"Gain","Loss")</f>
        <v>Gain</v>
      </c>
      <c r="O1682" t="str">
        <f>IF(Table1[[#This Row],[MARKET_CAP]]&gt;200000000000,"Large Cap",
IF(Table1[[#This Row],[MARKET_CAP]]&gt;50000000000,"Mid Cap","Small Cap"))</f>
        <v>Small Cap</v>
      </c>
      <c r="P1682" t="str">
        <f>IF(Table1[[#This Row],[NET_TRDQTY]]&gt;1000000,"High Volume","Low Volume")</f>
        <v>Low Volume</v>
      </c>
    </row>
    <row r="1683" spans="1:16" x14ac:dyDescent="0.3">
      <c r="A1683" t="s">
        <v>3369</v>
      </c>
      <c r="B1683" t="s">
        <v>3370</v>
      </c>
      <c r="C1683">
        <v>1495</v>
      </c>
      <c r="D1683">
        <v>1500.4</v>
      </c>
      <c r="E1683">
        <v>1440.2</v>
      </c>
      <c r="F1683">
        <v>1469.5</v>
      </c>
      <c r="G1683">
        <v>1501.2</v>
      </c>
      <c r="H1683">
        <v>66036</v>
      </c>
      <c r="I1683">
        <v>10698</v>
      </c>
      <c r="J1683">
        <v>64895324250</v>
      </c>
      <c r="K1683">
        <v>44161500</v>
      </c>
      <c r="L1683">
        <f>(Table1[[#This Row],[CLOSE_PRICE]] - Table1[[#This Row],[PREV_CL_PR]]) / Table1[[#This Row],[PREV_CL_PR]] * 100</f>
        <v>-2.1116440181188412</v>
      </c>
      <c r="M1683">
        <f>Table1[[#This Row],[HIGH_PRICE]]-Table1[[#This Row],[LOW_PRICE]]</f>
        <v>60.200000000000045</v>
      </c>
      <c r="N1683" t="str">
        <f>IF(Table1[[#This Row],[CLOSE_PRICE]]&gt;Table1[[#This Row],[OPEN_PRICE]],"Gain","Loss")</f>
        <v>Loss</v>
      </c>
      <c r="O1683" t="str">
        <f>IF(Table1[[#This Row],[MARKET_CAP]]&gt;200000000000,"Large Cap",
IF(Table1[[#This Row],[MARKET_CAP]]&gt;50000000000,"Mid Cap","Small Cap"))</f>
        <v>Mid Cap</v>
      </c>
      <c r="P1683" t="str">
        <f>IF(Table1[[#This Row],[NET_TRDQTY]]&gt;1000000,"High Volume","Low Volume")</f>
        <v>Low Volume</v>
      </c>
    </row>
    <row r="1684" spans="1:16" x14ac:dyDescent="0.3">
      <c r="A1684" t="s">
        <v>3371</v>
      </c>
      <c r="B1684" t="s">
        <v>3372</v>
      </c>
      <c r="C1684">
        <v>495</v>
      </c>
      <c r="D1684">
        <v>495</v>
      </c>
      <c r="E1684">
        <v>475.3</v>
      </c>
      <c r="F1684">
        <v>482.5</v>
      </c>
      <c r="G1684">
        <v>481.75</v>
      </c>
      <c r="H1684">
        <v>175872</v>
      </c>
      <c r="I1684">
        <v>767</v>
      </c>
      <c r="J1684">
        <v>4873250000</v>
      </c>
      <c r="K1684">
        <v>10100000</v>
      </c>
      <c r="L1684">
        <f>(Table1[[#This Row],[CLOSE_PRICE]] - Table1[[#This Row],[PREV_CL_PR]]) / Table1[[#This Row],[PREV_CL_PR]] * 100</f>
        <v>0.15568240788790866</v>
      </c>
      <c r="M1684">
        <f>Table1[[#This Row],[HIGH_PRICE]]-Table1[[#This Row],[LOW_PRICE]]</f>
        <v>19.699999999999989</v>
      </c>
      <c r="N1684" t="str">
        <f>IF(Table1[[#This Row],[CLOSE_PRICE]]&gt;Table1[[#This Row],[OPEN_PRICE]],"Gain","Loss")</f>
        <v>Loss</v>
      </c>
      <c r="O1684" t="str">
        <f>IF(Table1[[#This Row],[MARKET_CAP]]&gt;200000000000,"Large Cap",
IF(Table1[[#This Row],[MARKET_CAP]]&gt;50000000000,"Mid Cap","Small Cap"))</f>
        <v>Small Cap</v>
      </c>
      <c r="P1684" t="str">
        <f>IF(Table1[[#This Row],[NET_TRDQTY]]&gt;1000000,"High Volume","Low Volume")</f>
        <v>Low Volume</v>
      </c>
    </row>
    <row r="1685" spans="1:16" x14ac:dyDescent="0.3">
      <c r="A1685" t="s">
        <v>3373</v>
      </c>
      <c r="B1685" t="s">
        <v>3374</v>
      </c>
      <c r="C1685">
        <v>28.95</v>
      </c>
      <c r="D1685">
        <v>29.78</v>
      </c>
      <c r="E1685">
        <v>28.25</v>
      </c>
      <c r="F1685">
        <v>28.59</v>
      </c>
      <c r="G1685">
        <v>28.95</v>
      </c>
      <c r="H1685">
        <v>6450</v>
      </c>
      <c r="I1685">
        <v>87</v>
      </c>
      <c r="J1685">
        <v>947321073</v>
      </c>
      <c r="K1685">
        <v>33134700</v>
      </c>
      <c r="L1685">
        <f>(Table1[[#This Row],[CLOSE_PRICE]] - Table1[[#This Row],[PREV_CL_PR]]) / Table1[[#This Row],[PREV_CL_PR]] * 100</f>
        <v>-1.2435233160621741</v>
      </c>
      <c r="M1685">
        <f>Table1[[#This Row],[HIGH_PRICE]]-Table1[[#This Row],[LOW_PRICE]]</f>
        <v>1.5300000000000011</v>
      </c>
      <c r="N1685" t="str">
        <f>IF(Table1[[#This Row],[CLOSE_PRICE]]&gt;Table1[[#This Row],[OPEN_PRICE]],"Gain","Loss")</f>
        <v>Loss</v>
      </c>
      <c r="O1685" t="str">
        <f>IF(Table1[[#This Row],[MARKET_CAP]]&gt;200000000000,"Large Cap",
IF(Table1[[#This Row],[MARKET_CAP]]&gt;50000000000,"Mid Cap","Small Cap"))</f>
        <v>Small Cap</v>
      </c>
      <c r="P1685" t="str">
        <f>IF(Table1[[#This Row],[NET_TRDQTY]]&gt;1000000,"High Volume","Low Volume")</f>
        <v>Low Volume</v>
      </c>
    </row>
    <row r="1686" spans="1:16" x14ac:dyDescent="0.3">
      <c r="A1686" t="s">
        <v>3375</v>
      </c>
      <c r="B1686" t="s">
        <v>3376</v>
      </c>
      <c r="C1686">
        <v>269.01</v>
      </c>
      <c r="D1686">
        <v>284.99</v>
      </c>
      <c r="E1686">
        <v>262</v>
      </c>
      <c r="F1686">
        <v>269.14999999999998</v>
      </c>
      <c r="G1686">
        <v>274.83999999999997</v>
      </c>
      <c r="H1686">
        <v>4006</v>
      </c>
      <c r="I1686">
        <v>82</v>
      </c>
      <c r="J1686">
        <v>839023448.20000005</v>
      </c>
      <c r="K1686">
        <v>3117308</v>
      </c>
      <c r="L1686">
        <f>(Table1[[#This Row],[CLOSE_PRICE]] - Table1[[#This Row],[PREV_CL_PR]]) / Table1[[#This Row],[PREV_CL_PR]] * 100</f>
        <v>-2.0702954446223254</v>
      </c>
      <c r="M1686">
        <f>Table1[[#This Row],[HIGH_PRICE]]-Table1[[#This Row],[LOW_PRICE]]</f>
        <v>22.990000000000009</v>
      </c>
      <c r="N1686" t="str">
        <f>IF(Table1[[#This Row],[CLOSE_PRICE]]&gt;Table1[[#This Row],[OPEN_PRICE]],"Gain","Loss")</f>
        <v>Gain</v>
      </c>
      <c r="O1686" t="str">
        <f>IF(Table1[[#This Row],[MARKET_CAP]]&gt;200000000000,"Large Cap",
IF(Table1[[#This Row],[MARKET_CAP]]&gt;50000000000,"Mid Cap","Small Cap"))</f>
        <v>Small Cap</v>
      </c>
      <c r="P1686" t="str">
        <f>IF(Table1[[#This Row],[NET_TRDQTY]]&gt;1000000,"High Volume","Low Volume")</f>
        <v>Low Volume</v>
      </c>
    </row>
    <row r="1687" spans="1:16" x14ac:dyDescent="0.3">
      <c r="A1687" t="s">
        <v>3377</v>
      </c>
      <c r="B1687" t="s">
        <v>3378</v>
      </c>
      <c r="C1687">
        <v>291.64999999999998</v>
      </c>
      <c r="D1687">
        <v>294</v>
      </c>
      <c r="E1687">
        <v>281</v>
      </c>
      <c r="F1687">
        <v>284.95</v>
      </c>
      <c r="G1687">
        <v>295.95</v>
      </c>
      <c r="H1687">
        <v>575220</v>
      </c>
      <c r="I1687">
        <v>12305</v>
      </c>
      <c r="J1687">
        <v>46651538703</v>
      </c>
      <c r="K1687">
        <v>163718332</v>
      </c>
      <c r="L1687">
        <f>(Table1[[#This Row],[CLOSE_PRICE]] - Table1[[#This Row],[PREV_CL_PR]]) / Table1[[#This Row],[PREV_CL_PR]] * 100</f>
        <v>-3.7168440614968747</v>
      </c>
      <c r="M1687">
        <f>Table1[[#This Row],[HIGH_PRICE]]-Table1[[#This Row],[LOW_PRICE]]</f>
        <v>13</v>
      </c>
      <c r="N1687" t="str">
        <f>IF(Table1[[#This Row],[CLOSE_PRICE]]&gt;Table1[[#This Row],[OPEN_PRICE]],"Gain","Loss")</f>
        <v>Loss</v>
      </c>
      <c r="O1687" t="str">
        <f>IF(Table1[[#This Row],[MARKET_CAP]]&gt;200000000000,"Large Cap",
IF(Table1[[#This Row],[MARKET_CAP]]&gt;50000000000,"Mid Cap","Small Cap"))</f>
        <v>Small Cap</v>
      </c>
      <c r="P1687" t="str">
        <f>IF(Table1[[#This Row],[NET_TRDQTY]]&gt;1000000,"High Volume","Low Volume")</f>
        <v>Low Volume</v>
      </c>
    </row>
    <row r="1688" spans="1:16" x14ac:dyDescent="0.3">
      <c r="A1688" t="s">
        <v>3379</v>
      </c>
      <c r="B1688" t="s">
        <v>3380</v>
      </c>
      <c r="C1688">
        <v>750</v>
      </c>
      <c r="D1688">
        <v>750</v>
      </c>
      <c r="E1688">
        <v>706</v>
      </c>
      <c r="F1688">
        <v>710.25</v>
      </c>
      <c r="G1688">
        <v>751.6</v>
      </c>
      <c r="H1688">
        <v>150295</v>
      </c>
      <c r="I1688">
        <v>6835</v>
      </c>
      <c r="J1688">
        <v>32709560877</v>
      </c>
      <c r="K1688">
        <v>46053588</v>
      </c>
      <c r="L1688">
        <f>(Table1[[#This Row],[CLOSE_PRICE]] - Table1[[#This Row],[PREV_CL_PR]]) / Table1[[#This Row],[PREV_CL_PR]] * 100</f>
        <v>-5.5015965939329465</v>
      </c>
      <c r="M1688">
        <f>Table1[[#This Row],[HIGH_PRICE]]-Table1[[#This Row],[LOW_PRICE]]</f>
        <v>44</v>
      </c>
      <c r="N1688" t="str">
        <f>IF(Table1[[#This Row],[CLOSE_PRICE]]&gt;Table1[[#This Row],[OPEN_PRICE]],"Gain","Loss")</f>
        <v>Loss</v>
      </c>
      <c r="O1688" t="str">
        <f>IF(Table1[[#This Row],[MARKET_CAP]]&gt;200000000000,"Large Cap",
IF(Table1[[#This Row],[MARKET_CAP]]&gt;50000000000,"Mid Cap","Small Cap"))</f>
        <v>Small Cap</v>
      </c>
      <c r="P1688" t="str">
        <f>IF(Table1[[#This Row],[NET_TRDQTY]]&gt;1000000,"High Volume","Low Volume")</f>
        <v>Low Volume</v>
      </c>
    </row>
    <row r="1689" spans="1:16" x14ac:dyDescent="0.3">
      <c r="A1689" t="s">
        <v>3381</v>
      </c>
      <c r="B1689" t="s">
        <v>3382</v>
      </c>
      <c r="C1689">
        <v>5.15</v>
      </c>
      <c r="D1689">
        <v>5.15</v>
      </c>
      <c r="E1689">
        <v>4.6500000000000004</v>
      </c>
      <c r="F1689">
        <v>4.6500000000000004</v>
      </c>
      <c r="G1689">
        <v>5.16</v>
      </c>
      <c r="H1689">
        <v>32260598</v>
      </c>
      <c r="I1689">
        <v>15849</v>
      </c>
      <c r="J1689">
        <v>8774779533</v>
      </c>
      <c r="K1689">
        <v>1887049362</v>
      </c>
      <c r="L1689">
        <f>(Table1[[#This Row],[CLOSE_PRICE]] - Table1[[#This Row],[PREV_CL_PR]]) / Table1[[#This Row],[PREV_CL_PR]] * 100</f>
        <v>-9.8837209302325526</v>
      </c>
      <c r="M1689">
        <f>Table1[[#This Row],[HIGH_PRICE]]-Table1[[#This Row],[LOW_PRICE]]</f>
        <v>0.5</v>
      </c>
      <c r="N1689" t="str">
        <f>IF(Table1[[#This Row],[CLOSE_PRICE]]&gt;Table1[[#This Row],[OPEN_PRICE]],"Gain","Loss")</f>
        <v>Loss</v>
      </c>
      <c r="O1689" t="str">
        <f>IF(Table1[[#This Row],[MARKET_CAP]]&gt;200000000000,"Large Cap",
IF(Table1[[#This Row],[MARKET_CAP]]&gt;50000000000,"Mid Cap","Small Cap"))</f>
        <v>Small Cap</v>
      </c>
      <c r="P1689" t="str">
        <f>IF(Table1[[#This Row],[NET_TRDQTY]]&gt;1000000,"High Volume","Low Volume")</f>
        <v>High Volume</v>
      </c>
    </row>
    <row r="1690" spans="1:16" x14ac:dyDescent="0.3">
      <c r="A1690" t="s">
        <v>3383</v>
      </c>
      <c r="B1690" t="s">
        <v>3384</v>
      </c>
      <c r="C1690">
        <v>66.349999999999994</v>
      </c>
      <c r="D1690">
        <v>67.66</v>
      </c>
      <c r="E1690">
        <v>64.650000000000006</v>
      </c>
      <c r="F1690">
        <v>65.14</v>
      </c>
      <c r="G1690">
        <v>68.709999999999994</v>
      </c>
      <c r="H1690">
        <v>661812</v>
      </c>
      <c r="I1690">
        <v>6976</v>
      </c>
      <c r="J1690">
        <v>14711565969</v>
      </c>
      <c r="K1690">
        <v>225845348</v>
      </c>
      <c r="L1690">
        <f>(Table1[[#This Row],[CLOSE_PRICE]] - Table1[[#This Row],[PREV_CL_PR]]) / Table1[[#This Row],[PREV_CL_PR]] * 100</f>
        <v>-5.1957502546936301</v>
      </c>
      <c r="M1690">
        <f>Table1[[#This Row],[HIGH_PRICE]]-Table1[[#This Row],[LOW_PRICE]]</f>
        <v>3.0099999999999909</v>
      </c>
      <c r="N1690" t="str">
        <f>IF(Table1[[#This Row],[CLOSE_PRICE]]&gt;Table1[[#This Row],[OPEN_PRICE]],"Gain","Loss")</f>
        <v>Loss</v>
      </c>
      <c r="O1690" t="str">
        <f>IF(Table1[[#This Row],[MARKET_CAP]]&gt;200000000000,"Large Cap",
IF(Table1[[#This Row],[MARKET_CAP]]&gt;50000000000,"Mid Cap","Small Cap"))</f>
        <v>Small Cap</v>
      </c>
      <c r="P1690" t="str">
        <f>IF(Table1[[#This Row],[NET_TRDQTY]]&gt;1000000,"High Volume","Low Volume")</f>
        <v>Low Volume</v>
      </c>
    </row>
    <row r="1691" spans="1:16" x14ac:dyDescent="0.3">
      <c r="A1691" t="s">
        <v>3385</v>
      </c>
      <c r="B1691" t="s">
        <v>3386</v>
      </c>
      <c r="C1691">
        <v>261.05</v>
      </c>
      <c r="D1691">
        <v>261.89999999999998</v>
      </c>
      <c r="E1691">
        <v>241.5</v>
      </c>
      <c r="F1691">
        <v>242.6</v>
      </c>
      <c r="G1691">
        <v>259</v>
      </c>
      <c r="H1691">
        <v>27687</v>
      </c>
      <c r="I1691">
        <v>1543</v>
      </c>
      <c r="J1691">
        <v>15300330764</v>
      </c>
      <c r="K1691">
        <v>63068140</v>
      </c>
      <c r="L1691">
        <f>(Table1[[#This Row],[CLOSE_PRICE]] - Table1[[#This Row],[PREV_CL_PR]]) / Table1[[#This Row],[PREV_CL_PR]] * 100</f>
        <v>-6.3320463320463345</v>
      </c>
      <c r="M1691">
        <f>Table1[[#This Row],[HIGH_PRICE]]-Table1[[#This Row],[LOW_PRICE]]</f>
        <v>20.399999999999977</v>
      </c>
      <c r="N1691" t="str">
        <f>IF(Table1[[#This Row],[CLOSE_PRICE]]&gt;Table1[[#This Row],[OPEN_PRICE]],"Gain","Loss")</f>
        <v>Loss</v>
      </c>
      <c r="O1691" t="str">
        <f>IF(Table1[[#This Row],[MARKET_CAP]]&gt;200000000000,"Large Cap",
IF(Table1[[#This Row],[MARKET_CAP]]&gt;50000000000,"Mid Cap","Small Cap"))</f>
        <v>Small Cap</v>
      </c>
      <c r="P1691" t="str">
        <f>IF(Table1[[#This Row],[NET_TRDQTY]]&gt;1000000,"High Volume","Low Volume")</f>
        <v>Low Volume</v>
      </c>
    </row>
    <row r="1692" spans="1:16" x14ac:dyDescent="0.3">
      <c r="A1692" t="s">
        <v>3387</v>
      </c>
      <c r="B1692" t="s">
        <v>3388</v>
      </c>
      <c r="C1692">
        <v>15.75</v>
      </c>
      <c r="D1692">
        <v>16.510000000000002</v>
      </c>
      <c r="E1692">
        <v>15.42</v>
      </c>
      <c r="F1692">
        <v>16.39</v>
      </c>
      <c r="G1692">
        <v>15.73</v>
      </c>
      <c r="H1692">
        <v>101529</v>
      </c>
      <c r="I1692">
        <v>524</v>
      </c>
      <c r="J1692">
        <v>2192445637</v>
      </c>
      <c r="K1692">
        <v>133767275</v>
      </c>
      <c r="L1692">
        <f>(Table1[[#This Row],[CLOSE_PRICE]] - Table1[[#This Row],[PREV_CL_PR]]) / Table1[[#This Row],[PREV_CL_PR]] * 100</f>
        <v>4.1958041958041967</v>
      </c>
      <c r="M1692">
        <f>Table1[[#This Row],[HIGH_PRICE]]-Table1[[#This Row],[LOW_PRICE]]</f>
        <v>1.0900000000000016</v>
      </c>
      <c r="N1692" t="str">
        <f>IF(Table1[[#This Row],[CLOSE_PRICE]]&gt;Table1[[#This Row],[OPEN_PRICE]],"Gain","Loss")</f>
        <v>Gain</v>
      </c>
      <c r="O1692" t="str">
        <f>IF(Table1[[#This Row],[MARKET_CAP]]&gt;200000000000,"Large Cap",
IF(Table1[[#This Row],[MARKET_CAP]]&gt;50000000000,"Mid Cap","Small Cap"))</f>
        <v>Small Cap</v>
      </c>
      <c r="P1692" t="str">
        <f>IF(Table1[[#This Row],[NET_TRDQTY]]&gt;1000000,"High Volume","Low Volume")</f>
        <v>Low Volume</v>
      </c>
    </row>
    <row r="1693" spans="1:16" x14ac:dyDescent="0.3">
      <c r="A1693" t="s">
        <v>3389</v>
      </c>
      <c r="B1693" t="s">
        <v>3390</v>
      </c>
      <c r="C1693">
        <v>116.81</v>
      </c>
      <c r="D1693">
        <v>116.81</v>
      </c>
      <c r="E1693">
        <v>110</v>
      </c>
      <c r="F1693">
        <v>110.45</v>
      </c>
      <c r="G1693">
        <v>116.81</v>
      </c>
      <c r="H1693">
        <v>273753</v>
      </c>
      <c r="I1693">
        <v>3063</v>
      </c>
      <c r="J1693">
        <v>22033854068</v>
      </c>
      <c r="K1693">
        <v>199491662</v>
      </c>
      <c r="L1693">
        <f>(Table1[[#This Row],[CLOSE_PRICE]] - Table1[[#This Row],[PREV_CL_PR]]) / Table1[[#This Row],[PREV_CL_PR]] * 100</f>
        <v>-5.4447393202636754</v>
      </c>
      <c r="M1693">
        <f>Table1[[#This Row],[HIGH_PRICE]]-Table1[[#This Row],[LOW_PRICE]]</f>
        <v>6.8100000000000023</v>
      </c>
      <c r="N1693" t="str">
        <f>IF(Table1[[#This Row],[CLOSE_PRICE]]&gt;Table1[[#This Row],[OPEN_PRICE]],"Gain","Loss")</f>
        <v>Loss</v>
      </c>
      <c r="O1693" t="str">
        <f>IF(Table1[[#This Row],[MARKET_CAP]]&gt;200000000000,"Large Cap",
IF(Table1[[#This Row],[MARKET_CAP]]&gt;50000000000,"Mid Cap","Small Cap"))</f>
        <v>Small Cap</v>
      </c>
      <c r="P1693" t="str">
        <f>IF(Table1[[#This Row],[NET_TRDQTY]]&gt;1000000,"High Volume","Low Volume")</f>
        <v>Low Volume</v>
      </c>
    </row>
    <row r="1694" spans="1:16" x14ac:dyDescent="0.3">
      <c r="A1694" t="s">
        <v>3391</v>
      </c>
      <c r="B1694" t="s">
        <v>3392</v>
      </c>
      <c r="C1694">
        <v>516</v>
      </c>
      <c r="D1694">
        <v>516.04999999999995</v>
      </c>
      <c r="E1694">
        <v>480</v>
      </c>
      <c r="F1694">
        <v>485.95</v>
      </c>
      <c r="G1694">
        <v>516</v>
      </c>
      <c r="H1694">
        <v>156174</v>
      </c>
      <c r="I1694">
        <v>8918</v>
      </c>
      <c r="J1694">
        <v>52828002569</v>
      </c>
      <c r="K1694">
        <v>108710778</v>
      </c>
      <c r="L1694">
        <f>(Table1[[#This Row],[CLOSE_PRICE]] - Table1[[#This Row],[PREV_CL_PR]]) / Table1[[#This Row],[PREV_CL_PR]] * 100</f>
        <v>-5.823643410852716</v>
      </c>
      <c r="M1694">
        <f>Table1[[#This Row],[HIGH_PRICE]]-Table1[[#This Row],[LOW_PRICE]]</f>
        <v>36.049999999999955</v>
      </c>
      <c r="N1694" t="str">
        <f>IF(Table1[[#This Row],[CLOSE_PRICE]]&gt;Table1[[#This Row],[OPEN_PRICE]],"Gain","Loss")</f>
        <v>Loss</v>
      </c>
      <c r="O1694" t="str">
        <f>IF(Table1[[#This Row],[MARKET_CAP]]&gt;200000000000,"Large Cap",
IF(Table1[[#This Row],[MARKET_CAP]]&gt;50000000000,"Mid Cap","Small Cap"))</f>
        <v>Mid Cap</v>
      </c>
      <c r="P1694" t="str">
        <f>IF(Table1[[#This Row],[NET_TRDQTY]]&gt;1000000,"High Volume","Low Volume")</f>
        <v>Low Volume</v>
      </c>
    </row>
    <row r="1695" spans="1:16" x14ac:dyDescent="0.3">
      <c r="A1695" t="s">
        <v>3393</v>
      </c>
      <c r="B1695" t="s">
        <v>3394</v>
      </c>
      <c r="C1695">
        <v>374.75</v>
      </c>
      <c r="D1695">
        <v>398</v>
      </c>
      <c r="E1695">
        <v>362.8</v>
      </c>
      <c r="F1695">
        <v>384.05</v>
      </c>
      <c r="G1695">
        <v>376.6</v>
      </c>
      <c r="H1695">
        <v>616618</v>
      </c>
      <c r="I1695">
        <v>10844</v>
      </c>
      <c r="J1695">
        <v>21466474750</v>
      </c>
      <c r="K1695">
        <v>55895000</v>
      </c>
      <c r="L1695">
        <f>(Table1[[#This Row],[CLOSE_PRICE]] - Table1[[#This Row],[PREV_CL_PR]]) / Table1[[#This Row],[PREV_CL_PR]] * 100</f>
        <v>1.9782262347318078</v>
      </c>
      <c r="M1695">
        <f>Table1[[#This Row],[HIGH_PRICE]]-Table1[[#This Row],[LOW_PRICE]]</f>
        <v>35.199999999999989</v>
      </c>
      <c r="N1695" t="str">
        <f>IF(Table1[[#This Row],[CLOSE_PRICE]]&gt;Table1[[#This Row],[OPEN_PRICE]],"Gain","Loss")</f>
        <v>Gain</v>
      </c>
      <c r="O1695" t="str">
        <f>IF(Table1[[#This Row],[MARKET_CAP]]&gt;200000000000,"Large Cap",
IF(Table1[[#This Row],[MARKET_CAP]]&gt;50000000000,"Mid Cap","Small Cap"))</f>
        <v>Small Cap</v>
      </c>
      <c r="P1695" t="str">
        <f>IF(Table1[[#This Row],[NET_TRDQTY]]&gt;1000000,"High Volume","Low Volume")</f>
        <v>Low Volume</v>
      </c>
    </row>
    <row r="1696" spans="1:16" x14ac:dyDescent="0.3">
      <c r="A1696" t="s">
        <v>3395</v>
      </c>
      <c r="B1696" t="s">
        <v>3396</v>
      </c>
      <c r="C1696">
        <v>493.1</v>
      </c>
      <c r="D1696">
        <v>499.45</v>
      </c>
      <c r="E1696">
        <v>483.35</v>
      </c>
      <c r="F1696">
        <v>485.8</v>
      </c>
      <c r="G1696">
        <v>500.65</v>
      </c>
      <c r="H1696">
        <v>18532</v>
      </c>
      <c r="I1696">
        <v>763</v>
      </c>
      <c r="J1696">
        <v>7550789400</v>
      </c>
      <c r="K1696">
        <v>15543000</v>
      </c>
      <c r="L1696">
        <f>(Table1[[#This Row],[CLOSE_PRICE]] - Table1[[#This Row],[PREV_CL_PR]]) / Table1[[#This Row],[PREV_CL_PR]] * 100</f>
        <v>-2.9661440127833747</v>
      </c>
      <c r="M1696">
        <f>Table1[[#This Row],[HIGH_PRICE]]-Table1[[#This Row],[LOW_PRICE]]</f>
        <v>16.099999999999966</v>
      </c>
      <c r="N1696" t="str">
        <f>IF(Table1[[#This Row],[CLOSE_PRICE]]&gt;Table1[[#This Row],[OPEN_PRICE]],"Gain","Loss")</f>
        <v>Loss</v>
      </c>
      <c r="O1696" t="str">
        <f>IF(Table1[[#This Row],[MARKET_CAP]]&gt;200000000000,"Large Cap",
IF(Table1[[#This Row],[MARKET_CAP]]&gt;50000000000,"Mid Cap","Small Cap"))</f>
        <v>Small Cap</v>
      </c>
      <c r="P1696" t="str">
        <f>IF(Table1[[#This Row],[NET_TRDQTY]]&gt;1000000,"High Volume","Low Volume")</f>
        <v>Low Volume</v>
      </c>
    </row>
    <row r="1697" spans="1:16" x14ac:dyDescent="0.3">
      <c r="A1697" t="s">
        <v>3397</v>
      </c>
      <c r="B1697" t="s">
        <v>3398</v>
      </c>
      <c r="C1697">
        <v>10.5</v>
      </c>
      <c r="D1697">
        <v>10.5</v>
      </c>
      <c r="E1697">
        <v>9.7200000000000006</v>
      </c>
      <c r="F1697">
        <v>9.73</v>
      </c>
      <c r="G1697">
        <v>10.4</v>
      </c>
      <c r="H1697">
        <v>16726</v>
      </c>
      <c r="I1697">
        <v>145</v>
      </c>
      <c r="J1697">
        <v>262621593.19999999</v>
      </c>
      <c r="K1697">
        <v>26990914</v>
      </c>
      <c r="L1697">
        <f>(Table1[[#This Row],[CLOSE_PRICE]] - Table1[[#This Row],[PREV_CL_PR]]) / Table1[[#This Row],[PREV_CL_PR]] * 100</f>
        <v>-6.4423076923076916</v>
      </c>
      <c r="M1697">
        <f>Table1[[#This Row],[HIGH_PRICE]]-Table1[[#This Row],[LOW_PRICE]]</f>
        <v>0.77999999999999936</v>
      </c>
      <c r="N1697" t="str">
        <f>IF(Table1[[#This Row],[CLOSE_PRICE]]&gt;Table1[[#This Row],[OPEN_PRICE]],"Gain","Loss")</f>
        <v>Loss</v>
      </c>
      <c r="O1697" t="str">
        <f>IF(Table1[[#This Row],[MARKET_CAP]]&gt;200000000000,"Large Cap",
IF(Table1[[#This Row],[MARKET_CAP]]&gt;50000000000,"Mid Cap","Small Cap"))</f>
        <v>Small Cap</v>
      </c>
      <c r="P1697" t="str">
        <f>IF(Table1[[#This Row],[NET_TRDQTY]]&gt;1000000,"High Volume","Low Volume")</f>
        <v>Low Volume</v>
      </c>
    </row>
    <row r="1698" spans="1:16" x14ac:dyDescent="0.3">
      <c r="A1698" t="s">
        <v>3399</v>
      </c>
      <c r="B1698" t="s">
        <v>3400</v>
      </c>
      <c r="C1698">
        <v>435.2</v>
      </c>
      <c r="D1698">
        <v>459</v>
      </c>
      <c r="E1698">
        <v>417.6</v>
      </c>
      <c r="F1698">
        <v>444.25</v>
      </c>
      <c r="G1698">
        <v>433</v>
      </c>
      <c r="H1698">
        <v>1550938</v>
      </c>
      <c r="I1698">
        <v>20214</v>
      </c>
      <c r="J1698">
        <v>55975500000</v>
      </c>
      <c r="K1698">
        <v>126000000</v>
      </c>
      <c r="L1698">
        <f>(Table1[[#This Row],[CLOSE_PRICE]] - Table1[[#This Row],[PREV_CL_PR]]) / Table1[[#This Row],[PREV_CL_PR]] * 100</f>
        <v>2.5981524249422634</v>
      </c>
      <c r="M1698">
        <f>Table1[[#This Row],[HIGH_PRICE]]-Table1[[#This Row],[LOW_PRICE]]</f>
        <v>41.399999999999977</v>
      </c>
      <c r="N1698" t="str">
        <f>IF(Table1[[#This Row],[CLOSE_PRICE]]&gt;Table1[[#This Row],[OPEN_PRICE]],"Gain","Loss")</f>
        <v>Gain</v>
      </c>
      <c r="O1698" t="str">
        <f>IF(Table1[[#This Row],[MARKET_CAP]]&gt;200000000000,"Large Cap",
IF(Table1[[#This Row],[MARKET_CAP]]&gt;50000000000,"Mid Cap","Small Cap"))</f>
        <v>Mid Cap</v>
      </c>
      <c r="P1698" t="str">
        <f>IF(Table1[[#This Row],[NET_TRDQTY]]&gt;1000000,"High Volume","Low Volume")</f>
        <v>High Volume</v>
      </c>
    </row>
    <row r="1699" spans="1:16" x14ac:dyDescent="0.3">
      <c r="A1699" t="s">
        <v>3401</v>
      </c>
      <c r="B1699" t="s">
        <v>3402</v>
      </c>
      <c r="C1699">
        <v>111.87</v>
      </c>
      <c r="D1699">
        <v>114</v>
      </c>
      <c r="E1699">
        <v>107.96</v>
      </c>
      <c r="F1699">
        <v>111.78</v>
      </c>
      <c r="G1699">
        <v>112.11</v>
      </c>
      <c r="H1699">
        <v>1032695</v>
      </c>
      <c r="I1699">
        <v>18473</v>
      </c>
      <c r="J1699">
        <v>64623734126</v>
      </c>
      <c r="K1699">
        <v>578133245</v>
      </c>
      <c r="L1699">
        <f>(Table1[[#This Row],[CLOSE_PRICE]] - Table1[[#This Row],[PREV_CL_PR]]) / Table1[[#This Row],[PREV_CL_PR]] * 100</f>
        <v>-0.29435375970029282</v>
      </c>
      <c r="M1699">
        <f>Table1[[#This Row],[HIGH_PRICE]]-Table1[[#This Row],[LOW_PRICE]]</f>
        <v>6.0400000000000063</v>
      </c>
      <c r="N1699" t="str">
        <f>IF(Table1[[#This Row],[CLOSE_PRICE]]&gt;Table1[[#This Row],[OPEN_PRICE]],"Gain","Loss")</f>
        <v>Loss</v>
      </c>
      <c r="O1699" t="str">
        <f>IF(Table1[[#This Row],[MARKET_CAP]]&gt;200000000000,"Large Cap",
IF(Table1[[#This Row],[MARKET_CAP]]&gt;50000000000,"Mid Cap","Small Cap"))</f>
        <v>Mid Cap</v>
      </c>
      <c r="P1699" t="str">
        <f>IF(Table1[[#This Row],[NET_TRDQTY]]&gt;1000000,"High Volume","Low Volume")</f>
        <v>High Volume</v>
      </c>
    </row>
    <row r="1700" spans="1:16" x14ac:dyDescent="0.3">
      <c r="A1700" t="s">
        <v>3403</v>
      </c>
      <c r="B1700" t="s">
        <v>3404</v>
      </c>
      <c r="C1700">
        <v>4.7</v>
      </c>
      <c r="D1700">
        <v>4.7300000000000004</v>
      </c>
      <c r="E1700">
        <v>4.22</v>
      </c>
      <c r="F1700">
        <v>4.3899999999999997</v>
      </c>
      <c r="G1700">
        <v>4.6500000000000004</v>
      </c>
      <c r="H1700">
        <v>832046</v>
      </c>
      <c r="I1700">
        <v>1031</v>
      </c>
      <c r="J1700">
        <v>3886075702</v>
      </c>
      <c r="K1700">
        <v>885210866</v>
      </c>
      <c r="L1700">
        <f>(Table1[[#This Row],[CLOSE_PRICE]] - Table1[[#This Row],[PREV_CL_PR]]) / Table1[[#This Row],[PREV_CL_PR]] * 100</f>
        <v>-5.5913978494623793</v>
      </c>
      <c r="M1700">
        <f>Table1[[#This Row],[HIGH_PRICE]]-Table1[[#This Row],[LOW_PRICE]]</f>
        <v>0.51000000000000068</v>
      </c>
      <c r="N1700" t="str">
        <f>IF(Table1[[#This Row],[CLOSE_PRICE]]&gt;Table1[[#This Row],[OPEN_PRICE]],"Gain","Loss")</f>
        <v>Loss</v>
      </c>
      <c r="O1700" t="str">
        <f>IF(Table1[[#This Row],[MARKET_CAP]]&gt;200000000000,"Large Cap",
IF(Table1[[#This Row],[MARKET_CAP]]&gt;50000000000,"Mid Cap","Small Cap"))</f>
        <v>Small Cap</v>
      </c>
      <c r="P1700" t="str">
        <f>IF(Table1[[#This Row],[NET_TRDQTY]]&gt;1000000,"High Volume","Low Volume")</f>
        <v>Low Volume</v>
      </c>
    </row>
    <row r="1701" spans="1:16" x14ac:dyDescent="0.3">
      <c r="A1701" t="s">
        <v>3405</v>
      </c>
      <c r="B1701" t="s">
        <v>3406</v>
      </c>
      <c r="C1701">
        <v>61.06</v>
      </c>
      <c r="D1701">
        <v>61.06</v>
      </c>
      <c r="E1701">
        <v>56.11</v>
      </c>
      <c r="F1701">
        <v>57.22</v>
      </c>
      <c r="G1701">
        <v>61.06</v>
      </c>
      <c r="H1701">
        <v>4072</v>
      </c>
      <c r="I1701">
        <v>118</v>
      </c>
      <c r="J1701">
        <v>1132815239</v>
      </c>
      <c r="K1701">
        <v>19797540</v>
      </c>
      <c r="L1701">
        <f>(Table1[[#This Row],[CLOSE_PRICE]] - Table1[[#This Row],[PREV_CL_PR]]) / Table1[[#This Row],[PREV_CL_PR]] * 100</f>
        <v>-6.2888961677039026</v>
      </c>
      <c r="M1701">
        <f>Table1[[#This Row],[HIGH_PRICE]]-Table1[[#This Row],[LOW_PRICE]]</f>
        <v>4.9500000000000028</v>
      </c>
      <c r="N1701" t="str">
        <f>IF(Table1[[#This Row],[CLOSE_PRICE]]&gt;Table1[[#This Row],[OPEN_PRICE]],"Gain","Loss")</f>
        <v>Loss</v>
      </c>
      <c r="O1701" t="str">
        <f>IF(Table1[[#This Row],[MARKET_CAP]]&gt;200000000000,"Large Cap",
IF(Table1[[#This Row],[MARKET_CAP]]&gt;50000000000,"Mid Cap","Small Cap"))</f>
        <v>Small Cap</v>
      </c>
      <c r="P1701" t="str">
        <f>IF(Table1[[#This Row],[NET_TRDQTY]]&gt;1000000,"High Volume","Low Volume")</f>
        <v>Low Volume</v>
      </c>
    </row>
    <row r="1702" spans="1:16" x14ac:dyDescent="0.3">
      <c r="A1702" t="s">
        <v>3407</v>
      </c>
      <c r="B1702" t="s">
        <v>3408</v>
      </c>
      <c r="C1702">
        <v>2350</v>
      </c>
      <c r="D1702">
        <v>2350</v>
      </c>
      <c r="E1702">
        <v>2182.1999999999998</v>
      </c>
      <c r="F1702">
        <v>2209.6</v>
      </c>
      <c r="G1702">
        <v>2399</v>
      </c>
      <c r="H1702">
        <v>442919</v>
      </c>
      <c r="I1702">
        <v>42454</v>
      </c>
      <c r="J1702">
        <v>102000000000</v>
      </c>
      <c r="K1702">
        <v>45955093</v>
      </c>
      <c r="L1702">
        <f>(Table1[[#This Row],[CLOSE_PRICE]] - Table1[[#This Row],[PREV_CL_PR]]) / Table1[[#This Row],[PREV_CL_PR]] * 100</f>
        <v>-7.8949562317632376</v>
      </c>
      <c r="M1702">
        <f>Table1[[#This Row],[HIGH_PRICE]]-Table1[[#This Row],[LOW_PRICE]]</f>
        <v>167.80000000000018</v>
      </c>
      <c r="N1702" t="str">
        <f>IF(Table1[[#This Row],[CLOSE_PRICE]]&gt;Table1[[#This Row],[OPEN_PRICE]],"Gain","Loss")</f>
        <v>Loss</v>
      </c>
      <c r="O1702" t="str">
        <f>IF(Table1[[#This Row],[MARKET_CAP]]&gt;200000000000,"Large Cap",
IF(Table1[[#This Row],[MARKET_CAP]]&gt;50000000000,"Mid Cap","Small Cap"))</f>
        <v>Mid Cap</v>
      </c>
      <c r="P1702" t="str">
        <f>IF(Table1[[#This Row],[NET_TRDQTY]]&gt;1000000,"High Volume","Low Volume")</f>
        <v>Low Volume</v>
      </c>
    </row>
    <row r="1703" spans="1:16" x14ac:dyDescent="0.3">
      <c r="A1703" t="s">
        <v>3409</v>
      </c>
      <c r="B1703" t="s">
        <v>3410</v>
      </c>
      <c r="C1703">
        <v>490</v>
      </c>
      <c r="D1703">
        <v>490</v>
      </c>
      <c r="E1703">
        <v>468</v>
      </c>
      <c r="F1703">
        <v>471.3</v>
      </c>
      <c r="G1703">
        <v>496.45</v>
      </c>
      <c r="H1703">
        <v>910517</v>
      </c>
      <c r="I1703">
        <v>31325</v>
      </c>
      <c r="J1703">
        <v>58157460905</v>
      </c>
      <c r="K1703">
        <v>123397965</v>
      </c>
      <c r="L1703">
        <f>(Table1[[#This Row],[CLOSE_PRICE]] - Table1[[#This Row],[PREV_CL_PR]]) / Table1[[#This Row],[PREV_CL_PR]] * 100</f>
        <v>-5.0659683754658031</v>
      </c>
      <c r="M1703">
        <f>Table1[[#This Row],[HIGH_PRICE]]-Table1[[#This Row],[LOW_PRICE]]</f>
        <v>22</v>
      </c>
      <c r="N1703" t="str">
        <f>IF(Table1[[#This Row],[CLOSE_PRICE]]&gt;Table1[[#This Row],[OPEN_PRICE]],"Gain","Loss")</f>
        <v>Loss</v>
      </c>
      <c r="O1703" t="str">
        <f>IF(Table1[[#This Row],[MARKET_CAP]]&gt;200000000000,"Large Cap",
IF(Table1[[#This Row],[MARKET_CAP]]&gt;50000000000,"Mid Cap","Small Cap"))</f>
        <v>Mid Cap</v>
      </c>
      <c r="P1703" t="str">
        <f>IF(Table1[[#This Row],[NET_TRDQTY]]&gt;1000000,"High Volume","Low Volume")</f>
        <v>Low Volume</v>
      </c>
    </row>
    <row r="1704" spans="1:16" x14ac:dyDescent="0.3">
      <c r="A1704" t="s">
        <v>3411</v>
      </c>
      <c r="B1704" t="s">
        <v>3412</v>
      </c>
      <c r="C1704">
        <v>136.01</v>
      </c>
      <c r="D1704">
        <v>142.5</v>
      </c>
      <c r="E1704">
        <v>131</v>
      </c>
      <c r="F1704">
        <v>131.59</v>
      </c>
      <c r="G1704">
        <v>140.08000000000001</v>
      </c>
      <c r="H1704">
        <v>148334</v>
      </c>
      <c r="I1704">
        <v>2914</v>
      </c>
      <c r="J1704">
        <v>14213005634</v>
      </c>
      <c r="K1704">
        <v>108009770</v>
      </c>
      <c r="L1704">
        <f>(Table1[[#This Row],[CLOSE_PRICE]] - Table1[[#This Row],[PREV_CL_PR]]) / Table1[[#This Row],[PREV_CL_PR]] * 100</f>
        <v>-6.0608223872073159</v>
      </c>
      <c r="M1704">
        <f>Table1[[#This Row],[HIGH_PRICE]]-Table1[[#This Row],[LOW_PRICE]]</f>
        <v>11.5</v>
      </c>
      <c r="N1704" t="str">
        <f>IF(Table1[[#This Row],[CLOSE_PRICE]]&gt;Table1[[#This Row],[OPEN_PRICE]],"Gain","Loss")</f>
        <v>Loss</v>
      </c>
      <c r="O1704" t="str">
        <f>IF(Table1[[#This Row],[MARKET_CAP]]&gt;200000000000,"Large Cap",
IF(Table1[[#This Row],[MARKET_CAP]]&gt;50000000000,"Mid Cap","Small Cap"))</f>
        <v>Small Cap</v>
      </c>
      <c r="P1704" t="str">
        <f>IF(Table1[[#This Row],[NET_TRDQTY]]&gt;1000000,"High Volume","Low Volume")</f>
        <v>Low Volume</v>
      </c>
    </row>
    <row r="1705" spans="1:16" x14ac:dyDescent="0.3">
      <c r="A1705" t="s">
        <v>3413</v>
      </c>
      <c r="B1705" t="s">
        <v>3414</v>
      </c>
      <c r="C1705">
        <v>44.71</v>
      </c>
      <c r="D1705">
        <v>44.74</v>
      </c>
      <c r="E1705">
        <v>40.1</v>
      </c>
      <c r="F1705">
        <v>40.67</v>
      </c>
      <c r="G1705">
        <v>44.71</v>
      </c>
      <c r="H1705">
        <v>159943</v>
      </c>
      <c r="I1705">
        <v>2070</v>
      </c>
      <c r="J1705">
        <v>3404533609</v>
      </c>
      <c r="K1705">
        <v>83711178</v>
      </c>
      <c r="L1705">
        <f>(Table1[[#This Row],[CLOSE_PRICE]] - Table1[[#This Row],[PREV_CL_PR]]) / Table1[[#This Row],[PREV_CL_PR]] * 100</f>
        <v>-9.036009841198835</v>
      </c>
      <c r="M1705">
        <f>Table1[[#This Row],[HIGH_PRICE]]-Table1[[#This Row],[LOW_PRICE]]</f>
        <v>4.6400000000000006</v>
      </c>
      <c r="N1705" t="str">
        <f>IF(Table1[[#This Row],[CLOSE_PRICE]]&gt;Table1[[#This Row],[OPEN_PRICE]],"Gain","Loss")</f>
        <v>Loss</v>
      </c>
      <c r="O1705" t="str">
        <f>IF(Table1[[#This Row],[MARKET_CAP]]&gt;200000000000,"Large Cap",
IF(Table1[[#This Row],[MARKET_CAP]]&gt;50000000000,"Mid Cap","Small Cap"))</f>
        <v>Small Cap</v>
      </c>
      <c r="P1705" t="str">
        <f>IF(Table1[[#This Row],[NET_TRDQTY]]&gt;1000000,"High Volume","Low Volume")</f>
        <v>Low Volume</v>
      </c>
    </row>
    <row r="1706" spans="1:16" x14ac:dyDescent="0.3">
      <c r="A1706" t="s">
        <v>3415</v>
      </c>
      <c r="B1706" t="s">
        <v>3416</v>
      </c>
      <c r="C1706">
        <v>6.24</v>
      </c>
      <c r="D1706">
        <v>6.24</v>
      </c>
      <c r="E1706">
        <v>5.81</v>
      </c>
      <c r="F1706">
        <v>5.85</v>
      </c>
      <c r="G1706">
        <v>6.24</v>
      </c>
      <c r="H1706">
        <v>37244</v>
      </c>
      <c r="I1706">
        <v>223</v>
      </c>
      <c r="J1706">
        <v>64970100</v>
      </c>
      <c r="K1706">
        <v>11106000</v>
      </c>
      <c r="L1706">
        <f>(Table1[[#This Row],[CLOSE_PRICE]] - Table1[[#This Row],[PREV_CL_PR]]) / Table1[[#This Row],[PREV_CL_PR]] * 100</f>
        <v>-6.250000000000008</v>
      </c>
      <c r="M1706">
        <f>Table1[[#This Row],[HIGH_PRICE]]-Table1[[#This Row],[LOW_PRICE]]</f>
        <v>0.4300000000000006</v>
      </c>
      <c r="N1706" t="str">
        <f>IF(Table1[[#This Row],[CLOSE_PRICE]]&gt;Table1[[#This Row],[OPEN_PRICE]],"Gain","Loss")</f>
        <v>Loss</v>
      </c>
      <c r="O1706" t="str">
        <f>IF(Table1[[#This Row],[MARKET_CAP]]&gt;200000000000,"Large Cap",
IF(Table1[[#This Row],[MARKET_CAP]]&gt;50000000000,"Mid Cap","Small Cap"))</f>
        <v>Small Cap</v>
      </c>
      <c r="P1706" t="str">
        <f>IF(Table1[[#This Row],[NET_TRDQTY]]&gt;1000000,"High Volume","Low Volume")</f>
        <v>Low Volume</v>
      </c>
    </row>
    <row r="1707" spans="1:16" x14ac:dyDescent="0.3">
      <c r="A1707" t="s">
        <v>3417</v>
      </c>
      <c r="B1707" t="s">
        <v>3418</v>
      </c>
      <c r="C1707">
        <v>440</v>
      </c>
      <c r="D1707">
        <v>443.45</v>
      </c>
      <c r="E1707">
        <v>430</v>
      </c>
      <c r="F1707">
        <v>435.5</v>
      </c>
      <c r="G1707">
        <v>440.4</v>
      </c>
      <c r="H1707">
        <v>34091</v>
      </c>
      <c r="I1707">
        <v>1050</v>
      </c>
      <c r="J1707">
        <v>33409753982</v>
      </c>
      <c r="K1707">
        <v>76715853</v>
      </c>
      <c r="L1707">
        <f>(Table1[[#This Row],[CLOSE_PRICE]] - Table1[[#This Row],[PREV_CL_PR]]) / Table1[[#This Row],[PREV_CL_PR]] * 100</f>
        <v>-1.1126248864668433</v>
      </c>
      <c r="M1707">
        <f>Table1[[#This Row],[HIGH_PRICE]]-Table1[[#This Row],[LOW_PRICE]]</f>
        <v>13.449999999999989</v>
      </c>
      <c r="N1707" t="str">
        <f>IF(Table1[[#This Row],[CLOSE_PRICE]]&gt;Table1[[#This Row],[OPEN_PRICE]],"Gain","Loss")</f>
        <v>Loss</v>
      </c>
      <c r="O1707" t="str">
        <f>IF(Table1[[#This Row],[MARKET_CAP]]&gt;200000000000,"Large Cap",
IF(Table1[[#This Row],[MARKET_CAP]]&gt;50000000000,"Mid Cap","Small Cap"))</f>
        <v>Small Cap</v>
      </c>
      <c r="P1707" t="str">
        <f>IF(Table1[[#This Row],[NET_TRDQTY]]&gt;1000000,"High Volume","Low Volume")</f>
        <v>Low Volume</v>
      </c>
    </row>
    <row r="1708" spans="1:16" x14ac:dyDescent="0.3">
      <c r="A1708" t="s">
        <v>3419</v>
      </c>
      <c r="B1708" t="s">
        <v>3420</v>
      </c>
      <c r="C1708">
        <v>183.99</v>
      </c>
      <c r="D1708">
        <v>183.99</v>
      </c>
      <c r="E1708">
        <v>169.2</v>
      </c>
      <c r="F1708">
        <v>176.33</v>
      </c>
      <c r="G1708">
        <v>184.62</v>
      </c>
      <c r="H1708">
        <v>780638</v>
      </c>
      <c r="I1708">
        <v>5048</v>
      </c>
      <c r="J1708">
        <v>12712687680</v>
      </c>
      <c r="K1708">
        <v>72096000</v>
      </c>
      <c r="L1708">
        <f>(Table1[[#This Row],[CLOSE_PRICE]] - Table1[[#This Row],[PREV_CL_PR]]) / Table1[[#This Row],[PREV_CL_PR]] * 100</f>
        <v>-4.4903044090564359</v>
      </c>
      <c r="M1708">
        <f>Table1[[#This Row],[HIGH_PRICE]]-Table1[[#This Row],[LOW_PRICE]]</f>
        <v>14.79000000000002</v>
      </c>
      <c r="N1708" t="str">
        <f>IF(Table1[[#This Row],[CLOSE_PRICE]]&gt;Table1[[#This Row],[OPEN_PRICE]],"Gain","Loss")</f>
        <v>Loss</v>
      </c>
      <c r="O1708" t="str">
        <f>IF(Table1[[#This Row],[MARKET_CAP]]&gt;200000000000,"Large Cap",
IF(Table1[[#This Row],[MARKET_CAP]]&gt;50000000000,"Mid Cap","Small Cap"))</f>
        <v>Small Cap</v>
      </c>
      <c r="P1708" t="str">
        <f>IF(Table1[[#This Row],[NET_TRDQTY]]&gt;1000000,"High Volume","Low Volume")</f>
        <v>Low Volume</v>
      </c>
    </row>
    <row r="1709" spans="1:16" x14ac:dyDescent="0.3">
      <c r="A1709" t="s">
        <v>3421</v>
      </c>
      <c r="B1709" t="s">
        <v>3422</v>
      </c>
      <c r="C1709">
        <v>960</v>
      </c>
      <c r="D1709">
        <v>960</v>
      </c>
      <c r="E1709">
        <v>908.1</v>
      </c>
      <c r="F1709">
        <v>911.6</v>
      </c>
      <c r="G1709">
        <v>978.6</v>
      </c>
      <c r="H1709">
        <v>137351</v>
      </c>
      <c r="I1709">
        <v>13284</v>
      </c>
      <c r="J1709">
        <v>82245003242</v>
      </c>
      <c r="K1709">
        <v>90220495</v>
      </c>
      <c r="L1709">
        <f>(Table1[[#This Row],[CLOSE_PRICE]] - Table1[[#This Row],[PREV_CL_PR]]) / Table1[[#This Row],[PREV_CL_PR]] * 100</f>
        <v>-6.8465154302064164</v>
      </c>
      <c r="M1709">
        <f>Table1[[#This Row],[HIGH_PRICE]]-Table1[[#This Row],[LOW_PRICE]]</f>
        <v>51.899999999999977</v>
      </c>
      <c r="N1709" t="str">
        <f>IF(Table1[[#This Row],[CLOSE_PRICE]]&gt;Table1[[#This Row],[OPEN_PRICE]],"Gain","Loss")</f>
        <v>Loss</v>
      </c>
      <c r="O1709" t="str">
        <f>IF(Table1[[#This Row],[MARKET_CAP]]&gt;200000000000,"Large Cap",
IF(Table1[[#This Row],[MARKET_CAP]]&gt;50000000000,"Mid Cap","Small Cap"))</f>
        <v>Mid Cap</v>
      </c>
      <c r="P1709" t="str">
        <f>IF(Table1[[#This Row],[NET_TRDQTY]]&gt;1000000,"High Volume","Low Volume")</f>
        <v>Low Volume</v>
      </c>
    </row>
    <row r="1710" spans="1:16" x14ac:dyDescent="0.3">
      <c r="A1710" t="s">
        <v>3423</v>
      </c>
      <c r="B1710" t="s">
        <v>3424</v>
      </c>
      <c r="C1710">
        <v>783.55</v>
      </c>
      <c r="D1710">
        <v>783.55</v>
      </c>
      <c r="E1710">
        <v>740</v>
      </c>
      <c r="F1710">
        <v>746.4</v>
      </c>
      <c r="G1710">
        <v>786.35</v>
      </c>
      <c r="H1710">
        <v>53842</v>
      </c>
      <c r="I1710">
        <v>6080</v>
      </c>
      <c r="J1710">
        <v>42849111758</v>
      </c>
      <c r="K1710">
        <v>57407706</v>
      </c>
      <c r="L1710">
        <f>(Table1[[#This Row],[CLOSE_PRICE]] - Table1[[#This Row],[PREV_CL_PR]]) / Table1[[#This Row],[PREV_CL_PR]] * 100</f>
        <v>-5.0804349208367832</v>
      </c>
      <c r="M1710">
        <f>Table1[[#This Row],[HIGH_PRICE]]-Table1[[#This Row],[LOW_PRICE]]</f>
        <v>43.549999999999955</v>
      </c>
      <c r="N1710" t="str">
        <f>IF(Table1[[#This Row],[CLOSE_PRICE]]&gt;Table1[[#This Row],[OPEN_PRICE]],"Gain","Loss")</f>
        <v>Loss</v>
      </c>
      <c r="O1710" t="str">
        <f>IF(Table1[[#This Row],[MARKET_CAP]]&gt;200000000000,"Large Cap",
IF(Table1[[#This Row],[MARKET_CAP]]&gt;50000000000,"Mid Cap","Small Cap"))</f>
        <v>Small Cap</v>
      </c>
      <c r="P1710" t="str">
        <f>IF(Table1[[#This Row],[NET_TRDQTY]]&gt;1000000,"High Volume","Low Volume")</f>
        <v>Low Volume</v>
      </c>
    </row>
    <row r="1711" spans="1:16" x14ac:dyDescent="0.3">
      <c r="A1711" t="s">
        <v>3425</v>
      </c>
      <c r="B1711" t="s">
        <v>3426</v>
      </c>
      <c r="C1711">
        <v>122.54</v>
      </c>
      <c r="D1711">
        <v>123.89</v>
      </c>
      <c r="E1711">
        <v>117.01</v>
      </c>
      <c r="F1711">
        <v>117.66</v>
      </c>
      <c r="G1711">
        <v>125.04</v>
      </c>
      <c r="H1711">
        <v>909493</v>
      </c>
      <c r="I1711">
        <v>9124</v>
      </c>
      <c r="J1711">
        <v>25590114603</v>
      </c>
      <c r="K1711">
        <v>217492050</v>
      </c>
      <c r="L1711">
        <f>(Table1[[#This Row],[CLOSE_PRICE]] - Table1[[#This Row],[PREV_CL_PR]]) / Table1[[#This Row],[PREV_CL_PR]] * 100</f>
        <v>-5.9021113243762073</v>
      </c>
      <c r="M1711">
        <f>Table1[[#This Row],[HIGH_PRICE]]-Table1[[#This Row],[LOW_PRICE]]</f>
        <v>6.8799999999999955</v>
      </c>
      <c r="N1711" t="str">
        <f>IF(Table1[[#This Row],[CLOSE_PRICE]]&gt;Table1[[#This Row],[OPEN_PRICE]],"Gain","Loss")</f>
        <v>Loss</v>
      </c>
      <c r="O1711" t="str">
        <f>IF(Table1[[#This Row],[MARKET_CAP]]&gt;200000000000,"Large Cap",
IF(Table1[[#This Row],[MARKET_CAP]]&gt;50000000000,"Mid Cap","Small Cap"))</f>
        <v>Small Cap</v>
      </c>
      <c r="P1711" t="str">
        <f>IF(Table1[[#This Row],[NET_TRDQTY]]&gt;1000000,"High Volume","Low Volume")</f>
        <v>Low Volume</v>
      </c>
    </row>
    <row r="1712" spans="1:16" x14ac:dyDescent="0.3">
      <c r="A1712" t="s">
        <v>3427</v>
      </c>
      <c r="B1712" t="s">
        <v>3428</v>
      </c>
      <c r="C1712">
        <v>11.58</v>
      </c>
      <c r="D1712">
        <v>11.99</v>
      </c>
      <c r="E1712">
        <v>10.77</v>
      </c>
      <c r="F1712">
        <v>10.81</v>
      </c>
      <c r="G1712">
        <v>11.59</v>
      </c>
      <c r="H1712">
        <v>59683</v>
      </c>
      <c r="I1712">
        <v>251</v>
      </c>
      <c r="J1712">
        <v>372620700</v>
      </c>
      <c r="K1712">
        <v>34470000</v>
      </c>
      <c r="L1712">
        <f>(Table1[[#This Row],[CLOSE_PRICE]] - Table1[[#This Row],[PREV_CL_PR]]) / Table1[[#This Row],[PREV_CL_PR]] * 100</f>
        <v>-6.7299396031061205</v>
      </c>
      <c r="M1712">
        <f>Table1[[#This Row],[HIGH_PRICE]]-Table1[[#This Row],[LOW_PRICE]]</f>
        <v>1.2200000000000006</v>
      </c>
      <c r="N1712" t="str">
        <f>IF(Table1[[#This Row],[CLOSE_PRICE]]&gt;Table1[[#This Row],[OPEN_PRICE]],"Gain","Loss")</f>
        <v>Loss</v>
      </c>
      <c r="O1712" t="str">
        <f>IF(Table1[[#This Row],[MARKET_CAP]]&gt;200000000000,"Large Cap",
IF(Table1[[#This Row],[MARKET_CAP]]&gt;50000000000,"Mid Cap","Small Cap"))</f>
        <v>Small Cap</v>
      </c>
      <c r="P1712" t="str">
        <f>IF(Table1[[#This Row],[NET_TRDQTY]]&gt;1000000,"High Volume","Low Volume")</f>
        <v>Low Volume</v>
      </c>
    </row>
    <row r="1713" spans="1:16" x14ac:dyDescent="0.3">
      <c r="A1713" t="s">
        <v>3429</v>
      </c>
      <c r="B1713" t="s">
        <v>3430</v>
      </c>
      <c r="C1713">
        <v>99.77</v>
      </c>
      <c r="D1713">
        <v>99.77</v>
      </c>
      <c r="E1713">
        <v>92.01</v>
      </c>
      <c r="F1713">
        <v>93.3</v>
      </c>
      <c r="G1713">
        <v>96.02</v>
      </c>
      <c r="H1713">
        <v>17910</v>
      </c>
      <c r="I1713">
        <v>185</v>
      </c>
      <c r="J1713">
        <v>2548983897</v>
      </c>
      <c r="K1713">
        <v>27320299</v>
      </c>
      <c r="L1713">
        <f>(Table1[[#This Row],[CLOSE_PRICE]] - Table1[[#This Row],[PREV_CL_PR]]) / Table1[[#This Row],[PREV_CL_PR]] * 100</f>
        <v>-2.8327431785044772</v>
      </c>
      <c r="M1713">
        <f>Table1[[#This Row],[HIGH_PRICE]]-Table1[[#This Row],[LOW_PRICE]]</f>
        <v>7.7599999999999909</v>
      </c>
      <c r="N1713" t="str">
        <f>IF(Table1[[#This Row],[CLOSE_PRICE]]&gt;Table1[[#This Row],[OPEN_PRICE]],"Gain","Loss")</f>
        <v>Loss</v>
      </c>
      <c r="O1713" t="str">
        <f>IF(Table1[[#This Row],[MARKET_CAP]]&gt;200000000000,"Large Cap",
IF(Table1[[#This Row],[MARKET_CAP]]&gt;50000000000,"Mid Cap","Small Cap"))</f>
        <v>Small Cap</v>
      </c>
      <c r="P1713" t="str">
        <f>IF(Table1[[#This Row],[NET_TRDQTY]]&gt;1000000,"High Volume","Low Volume")</f>
        <v>Low Volume</v>
      </c>
    </row>
    <row r="1714" spans="1:16" x14ac:dyDescent="0.3">
      <c r="A1714" t="s">
        <v>3431</v>
      </c>
      <c r="B1714" t="s">
        <v>3432</v>
      </c>
      <c r="C1714">
        <v>3956.1</v>
      </c>
      <c r="D1714">
        <v>3956.1</v>
      </c>
      <c r="E1714">
        <v>3731</v>
      </c>
      <c r="F1714">
        <v>3772.8</v>
      </c>
      <c r="G1714">
        <v>3977.3</v>
      </c>
      <c r="H1714">
        <v>28116</v>
      </c>
      <c r="I1714">
        <v>7552</v>
      </c>
      <c r="J1714">
        <v>43161586560</v>
      </c>
      <c r="K1714">
        <v>11440200</v>
      </c>
      <c r="L1714">
        <f>(Table1[[#This Row],[CLOSE_PRICE]] - Table1[[#This Row],[PREV_CL_PR]]) / Table1[[#This Row],[PREV_CL_PR]] * 100</f>
        <v>-5.1416790284866609</v>
      </c>
      <c r="M1714">
        <f>Table1[[#This Row],[HIGH_PRICE]]-Table1[[#This Row],[LOW_PRICE]]</f>
        <v>225.09999999999991</v>
      </c>
      <c r="N1714" t="str">
        <f>IF(Table1[[#This Row],[CLOSE_PRICE]]&gt;Table1[[#This Row],[OPEN_PRICE]],"Gain","Loss")</f>
        <v>Loss</v>
      </c>
      <c r="O1714" t="str">
        <f>IF(Table1[[#This Row],[MARKET_CAP]]&gt;200000000000,"Large Cap",
IF(Table1[[#This Row],[MARKET_CAP]]&gt;50000000000,"Mid Cap","Small Cap"))</f>
        <v>Small Cap</v>
      </c>
      <c r="P1714" t="str">
        <f>IF(Table1[[#This Row],[NET_TRDQTY]]&gt;1000000,"High Volume","Low Volume")</f>
        <v>Low Volume</v>
      </c>
    </row>
    <row r="1715" spans="1:16" x14ac:dyDescent="0.3">
      <c r="A1715" t="s">
        <v>3433</v>
      </c>
      <c r="B1715" t="s">
        <v>3434</v>
      </c>
      <c r="C1715">
        <v>320.14999999999998</v>
      </c>
      <c r="D1715">
        <v>320.39999999999998</v>
      </c>
      <c r="E1715">
        <v>311.05</v>
      </c>
      <c r="F1715">
        <v>312.35000000000002</v>
      </c>
      <c r="G1715">
        <v>323.25</v>
      </c>
      <c r="H1715">
        <v>250651</v>
      </c>
      <c r="I1715">
        <v>11441</v>
      </c>
      <c r="J1715">
        <v>61089980228</v>
      </c>
      <c r="K1715">
        <v>195581816</v>
      </c>
      <c r="L1715">
        <f>(Table1[[#This Row],[CLOSE_PRICE]] - Table1[[#This Row],[PREV_CL_PR]]) / Table1[[#This Row],[PREV_CL_PR]] * 100</f>
        <v>-3.3720030935808132</v>
      </c>
      <c r="M1715">
        <f>Table1[[#This Row],[HIGH_PRICE]]-Table1[[#This Row],[LOW_PRICE]]</f>
        <v>9.3499999999999659</v>
      </c>
      <c r="N1715" t="str">
        <f>IF(Table1[[#This Row],[CLOSE_PRICE]]&gt;Table1[[#This Row],[OPEN_PRICE]],"Gain","Loss")</f>
        <v>Loss</v>
      </c>
      <c r="O1715" t="str">
        <f>IF(Table1[[#This Row],[MARKET_CAP]]&gt;200000000000,"Large Cap",
IF(Table1[[#This Row],[MARKET_CAP]]&gt;50000000000,"Mid Cap","Small Cap"))</f>
        <v>Mid Cap</v>
      </c>
      <c r="P1715" t="str">
        <f>IF(Table1[[#This Row],[NET_TRDQTY]]&gt;1000000,"High Volume","Low Volume")</f>
        <v>Low Volume</v>
      </c>
    </row>
    <row r="1716" spans="1:16" x14ac:dyDescent="0.3">
      <c r="A1716" t="s">
        <v>3435</v>
      </c>
      <c r="B1716" t="s">
        <v>3436</v>
      </c>
      <c r="C1716">
        <v>232.1</v>
      </c>
      <c r="D1716">
        <v>236.05</v>
      </c>
      <c r="E1716">
        <v>206.75</v>
      </c>
      <c r="F1716">
        <v>209.5</v>
      </c>
      <c r="G1716">
        <v>233.7</v>
      </c>
      <c r="H1716">
        <v>140295</v>
      </c>
      <c r="I1716">
        <v>3659</v>
      </c>
      <c r="J1716">
        <v>3299701468</v>
      </c>
      <c r="K1716">
        <v>15750365</v>
      </c>
      <c r="L1716">
        <f>(Table1[[#This Row],[CLOSE_PRICE]] - Table1[[#This Row],[PREV_CL_PR]]) / Table1[[#This Row],[PREV_CL_PR]] * 100</f>
        <v>-10.355156183140775</v>
      </c>
      <c r="M1716">
        <f>Table1[[#This Row],[HIGH_PRICE]]-Table1[[#This Row],[LOW_PRICE]]</f>
        <v>29.300000000000011</v>
      </c>
      <c r="N1716" t="str">
        <f>IF(Table1[[#This Row],[CLOSE_PRICE]]&gt;Table1[[#This Row],[OPEN_PRICE]],"Gain","Loss")</f>
        <v>Loss</v>
      </c>
      <c r="O1716" t="str">
        <f>IF(Table1[[#This Row],[MARKET_CAP]]&gt;200000000000,"Large Cap",
IF(Table1[[#This Row],[MARKET_CAP]]&gt;50000000000,"Mid Cap","Small Cap"))</f>
        <v>Small Cap</v>
      </c>
      <c r="P1716" t="str">
        <f>IF(Table1[[#This Row],[NET_TRDQTY]]&gt;1000000,"High Volume","Low Volume")</f>
        <v>Low Volume</v>
      </c>
    </row>
    <row r="1717" spans="1:16" x14ac:dyDescent="0.3">
      <c r="A1717" t="s">
        <v>3437</v>
      </c>
      <c r="B1717" t="s">
        <v>3438</v>
      </c>
      <c r="C1717">
        <v>16.399999999999999</v>
      </c>
      <c r="D1717">
        <v>16.399999999999999</v>
      </c>
      <c r="E1717">
        <v>14.75</v>
      </c>
      <c r="F1717">
        <v>15.01</v>
      </c>
      <c r="G1717">
        <v>15.93</v>
      </c>
      <c r="H1717">
        <v>161543</v>
      </c>
      <c r="I1717">
        <v>401</v>
      </c>
      <c r="J1717">
        <v>1973743237</v>
      </c>
      <c r="K1717">
        <v>131495219</v>
      </c>
      <c r="L1717">
        <f>(Table1[[#This Row],[CLOSE_PRICE]] - Table1[[#This Row],[PREV_CL_PR]]) / Table1[[#This Row],[PREV_CL_PR]] * 100</f>
        <v>-5.7752667922159446</v>
      </c>
      <c r="M1717">
        <f>Table1[[#This Row],[HIGH_PRICE]]-Table1[[#This Row],[LOW_PRICE]]</f>
        <v>1.6499999999999986</v>
      </c>
      <c r="N1717" t="str">
        <f>IF(Table1[[#This Row],[CLOSE_PRICE]]&gt;Table1[[#This Row],[OPEN_PRICE]],"Gain","Loss")</f>
        <v>Loss</v>
      </c>
      <c r="O1717" t="str">
        <f>IF(Table1[[#This Row],[MARKET_CAP]]&gt;200000000000,"Large Cap",
IF(Table1[[#This Row],[MARKET_CAP]]&gt;50000000000,"Mid Cap","Small Cap"))</f>
        <v>Small Cap</v>
      </c>
      <c r="P1717" t="str">
        <f>IF(Table1[[#This Row],[NET_TRDQTY]]&gt;1000000,"High Volume","Low Volume")</f>
        <v>Low Volume</v>
      </c>
    </row>
    <row r="1718" spans="1:16" x14ac:dyDescent="0.3">
      <c r="A1718" t="s">
        <v>3439</v>
      </c>
      <c r="B1718" t="s">
        <v>3440</v>
      </c>
      <c r="C1718">
        <v>54.65</v>
      </c>
      <c r="D1718">
        <v>54.65</v>
      </c>
      <c r="E1718">
        <v>50.2</v>
      </c>
      <c r="F1718">
        <v>50.88</v>
      </c>
      <c r="G1718">
        <v>52.86</v>
      </c>
      <c r="H1718">
        <v>4436</v>
      </c>
      <c r="I1718">
        <v>130</v>
      </c>
      <c r="J1718">
        <v>439695191.10000002</v>
      </c>
      <c r="K1718">
        <v>8641808</v>
      </c>
      <c r="L1718">
        <f>(Table1[[#This Row],[CLOSE_PRICE]] - Table1[[#This Row],[PREV_CL_PR]]) / Table1[[#This Row],[PREV_CL_PR]] * 100</f>
        <v>-3.7457434733257604</v>
      </c>
      <c r="M1718">
        <f>Table1[[#This Row],[HIGH_PRICE]]-Table1[[#This Row],[LOW_PRICE]]</f>
        <v>4.4499999999999957</v>
      </c>
      <c r="N1718" t="str">
        <f>IF(Table1[[#This Row],[CLOSE_PRICE]]&gt;Table1[[#This Row],[OPEN_PRICE]],"Gain","Loss")</f>
        <v>Loss</v>
      </c>
      <c r="O1718" t="str">
        <f>IF(Table1[[#This Row],[MARKET_CAP]]&gt;200000000000,"Large Cap",
IF(Table1[[#This Row],[MARKET_CAP]]&gt;50000000000,"Mid Cap","Small Cap"))</f>
        <v>Small Cap</v>
      </c>
      <c r="P1718" t="str">
        <f>IF(Table1[[#This Row],[NET_TRDQTY]]&gt;1000000,"High Volume","Low Volume")</f>
        <v>Low Volume</v>
      </c>
    </row>
    <row r="1719" spans="1:16" x14ac:dyDescent="0.3">
      <c r="A1719" t="s">
        <v>3441</v>
      </c>
      <c r="B1719" t="s">
        <v>3442</v>
      </c>
      <c r="C1719">
        <v>133.74</v>
      </c>
      <c r="D1719">
        <v>138</v>
      </c>
      <c r="E1719">
        <v>130.22</v>
      </c>
      <c r="F1719">
        <v>131.26</v>
      </c>
      <c r="G1719">
        <v>133.54</v>
      </c>
      <c r="H1719">
        <v>2586</v>
      </c>
      <c r="I1719">
        <v>58</v>
      </c>
      <c r="J1719">
        <v>1701485708</v>
      </c>
      <c r="K1719">
        <v>12962713</v>
      </c>
      <c r="L1719">
        <f>(Table1[[#This Row],[CLOSE_PRICE]] - Table1[[#This Row],[PREV_CL_PR]]) / Table1[[#This Row],[PREV_CL_PR]] * 100</f>
        <v>-1.7073536019170295</v>
      </c>
      <c r="M1719">
        <f>Table1[[#This Row],[HIGH_PRICE]]-Table1[[#This Row],[LOW_PRICE]]</f>
        <v>7.7800000000000011</v>
      </c>
      <c r="N1719" t="str">
        <f>IF(Table1[[#This Row],[CLOSE_PRICE]]&gt;Table1[[#This Row],[OPEN_PRICE]],"Gain","Loss")</f>
        <v>Loss</v>
      </c>
      <c r="O1719" t="str">
        <f>IF(Table1[[#This Row],[MARKET_CAP]]&gt;200000000000,"Large Cap",
IF(Table1[[#This Row],[MARKET_CAP]]&gt;50000000000,"Mid Cap","Small Cap"))</f>
        <v>Small Cap</v>
      </c>
      <c r="P1719" t="str">
        <f>IF(Table1[[#This Row],[NET_TRDQTY]]&gt;1000000,"High Volume","Low Volume")</f>
        <v>Low Volume</v>
      </c>
    </row>
    <row r="1720" spans="1:16" x14ac:dyDescent="0.3">
      <c r="A1720" t="s">
        <v>3443</v>
      </c>
      <c r="B1720" t="s">
        <v>3444</v>
      </c>
      <c r="C1720">
        <v>362.65</v>
      </c>
      <c r="D1720">
        <v>375.4</v>
      </c>
      <c r="E1720">
        <v>344.55</v>
      </c>
      <c r="F1720">
        <v>345.15</v>
      </c>
      <c r="G1720">
        <v>362.65</v>
      </c>
      <c r="H1720">
        <v>2402</v>
      </c>
      <c r="I1720">
        <v>83</v>
      </c>
      <c r="J1720">
        <v>4694178060</v>
      </c>
      <c r="K1720">
        <v>13600400</v>
      </c>
      <c r="L1720">
        <f>(Table1[[#This Row],[CLOSE_PRICE]] - Table1[[#This Row],[PREV_CL_PR]]) / Table1[[#This Row],[PREV_CL_PR]] * 100</f>
        <v>-4.8255894112780924</v>
      </c>
      <c r="M1720">
        <f>Table1[[#This Row],[HIGH_PRICE]]-Table1[[#This Row],[LOW_PRICE]]</f>
        <v>30.849999999999966</v>
      </c>
      <c r="N1720" t="str">
        <f>IF(Table1[[#This Row],[CLOSE_PRICE]]&gt;Table1[[#This Row],[OPEN_PRICE]],"Gain","Loss")</f>
        <v>Loss</v>
      </c>
      <c r="O1720" t="str">
        <f>IF(Table1[[#This Row],[MARKET_CAP]]&gt;200000000000,"Large Cap",
IF(Table1[[#This Row],[MARKET_CAP]]&gt;50000000000,"Mid Cap","Small Cap"))</f>
        <v>Small Cap</v>
      </c>
      <c r="P1720" t="str">
        <f>IF(Table1[[#This Row],[NET_TRDQTY]]&gt;1000000,"High Volume","Low Volume")</f>
        <v>Low Volume</v>
      </c>
    </row>
    <row r="1721" spans="1:16" x14ac:dyDescent="0.3">
      <c r="A1721" t="s">
        <v>3445</v>
      </c>
      <c r="B1721" t="s">
        <v>3446</v>
      </c>
      <c r="C1721">
        <v>122.41</v>
      </c>
      <c r="D1721">
        <v>123.39</v>
      </c>
      <c r="E1721">
        <v>118.66</v>
      </c>
      <c r="F1721">
        <v>121.17</v>
      </c>
      <c r="G1721">
        <v>124.84</v>
      </c>
      <c r="H1721">
        <v>495577</v>
      </c>
      <c r="I1721">
        <v>5247</v>
      </c>
      <c r="J1721">
        <v>16772448457</v>
      </c>
      <c r="K1721">
        <v>138420801</v>
      </c>
      <c r="L1721">
        <f>(Table1[[#This Row],[CLOSE_PRICE]] - Table1[[#This Row],[PREV_CL_PR]]) / Table1[[#This Row],[PREV_CL_PR]] * 100</f>
        <v>-2.9397628965075309</v>
      </c>
      <c r="M1721">
        <f>Table1[[#This Row],[HIGH_PRICE]]-Table1[[#This Row],[LOW_PRICE]]</f>
        <v>4.730000000000004</v>
      </c>
      <c r="N1721" t="str">
        <f>IF(Table1[[#This Row],[CLOSE_PRICE]]&gt;Table1[[#This Row],[OPEN_PRICE]],"Gain","Loss")</f>
        <v>Loss</v>
      </c>
      <c r="O1721" t="str">
        <f>IF(Table1[[#This Row],[MARKET_CAP]]&gt;200000000000,"Large Cap",
IF(Table1[[#This Row],[MARKET_CAP]]&gt;50000000000,"Mid Cap","Small Cap"))</f>
        <v>Small Cap</v>
      </c>
      <c r="P1721" t="str">
        <f>IF(Table1[[#This Row],[NET_TRDQTY]]&gt;1000000,"High Volume","Low Volume")</f>
        <v>Low Volume</v>
      </c>
    </row>
    <row r="1722" spans="1:16" x14ac:dyDescent="0.3">
      <c r="A1722" t="s">
        <v>3447</v>
      </c>
      <c r="B1722" t="s">
        <v>3448</v>
      </c>
      <c r="C1722">
        <v>287</v>
      </c>
      <c r="D1722">
        <v>290.3</v>
      </c>
      <c r="E1722">
        <v>277</v>
      </c>
      <c r="F1722">
        <v>287.60000000000002</v>
      </c>
      <c r="G1722">
        <v>288.5</v>
      </c>
      <c r="H1722">
        <v>88478</v>
      </c>
      <c r="I1722">
        <v>3254</v>
      </c>
      <c r="J1722">
        <v>31668241398</v>
      </c>
      <c r="K1722">
        <v>110112105</v>
      </c>
      <c r="L1722">
        <f>(Table1[[#This Row],[CLOSE_PRICE]] - Table1[[#This Row],[PREV_CL_PR]]) / Table1[[#This Row],[PREV_CL_PR]] * 100</f>
        <v>-0.3119584055459193</v>
      </c>
      <c r="M1722">
        <f>Table1[[#This Row],[HIGH_PRICE]]-Table1[[#This Row],[LOW_PRICE]]</f>
        <v>13.300000000000011</v>
      </c>
      <c r="N1722" t="str">
        <f>IF(Table1[[#This Row],[CLOSE_PRICE]]&gt;Table1[[#This Row],[OPEN_PRICE]],"Gain","Loss")</f>
        <v>Gain</v>
      </c>
      <c r="O1722" t="str">
        <f>IF(Table1[[#This Row],[MARKET_CAP]]&gt;200000000000,"Large Cap",
IF(Table1[[#This Row],[MARKET_CAP]]&gt;50000000000,"Mid Cap","Small Cap"))</f>
        <v>Small Cap</v>
      </c>
      <c r="P1722" t="str">
        <f>IF(Table1[[#This Row],[NET_TRDQTY]]&gt;1000000,"High Volume","Low Volume")</f>
        <v>Low Volume</v>
      </c>
    </row>
    <row r="1723" spans="1:16" x14ac:dyDescent="0.3">
      <c r="A1723" t="s">
        <v>3449</v>
      </c>
      <c r="B1723" t="s">
        <v>3450</v>
      </c>
      <c r="C1723">
        <v>32</v>
      </c>
      <c r="D1723">
        <v>32</v>
      </c>
      <c r="E1723">
        <v>28.81</v>
      </c>
      <c r="F1723">
        <v>29.45</v>
      </c>
      <c r="G1723">
        <v>31.88</v>
      </c>
      <c r="H1723">
        <v>8308</v>
      </c>
      <c r="I1723">
        <v>167</v>
      </c>
      <c r="J1723">
        <v>2385378378</v>
      </c>
      <c r="K1723">
        <v>80997568</v>
      </c>
      <c r="L1723">
        <f>(Table1[[#This Row],[CLOSE_PRICE]] - Table1[[#This Row],[PREV_CL_PR]]) / Table1[[#This Row],[PREV_CL_PR]] * 100</f>
        <v>-7.6223337515683802</v>
      </c>
      <c r="M1723">
        <f>Table1[[#This Row],[HIGH_PRICE]]-Table1[[#This Row],[LOW_PRICE]]</f>
        <v>3.1900000000000013</v>
      </c>
      <c r="N1723" t="str">
        <f>IF(Table1[[#This Row],[CLOSE_PRICE]]&gt;Table1[[#This Row],[OPEN_PRICE]],"Gain","Loss")</f>
        <v>Loss</v>
      </c>
      <c r="O1723" t="str">
        <f>IF(Table1[[#This Row],[MARKET_CAP]]&gt;200000000000,"Large Cap",
IF(Table1[[#This Row],[MARKET_CAP]]&gt;50000000000,"Mid Cap","Small Cap"))</f>
        <v>Small Cap</v>
      </c>
      <c r="P1723" t="str">
        <f>IF(Table1[[#This Row],[NET_TRDQTY]]&gt;1000000,"High Volume","Low Volume")</f>
        <v>Low Volume</v>
      </c>
    </row>
    <row r="1724" spans="1:16" x14ac:dyDescent="0.3">
      <c r="A1724" t="s">
        <v>3451</v>
      </c>
      <c r="B1724" t="s">
        <v>3452</v>
      </c>
      <c r="C1724">
        <v>58.5</v>
      </c>
      <c r="D1724">
        <v>59.1</v>
      </c>
      <c r="E1724">
        <v>54.52</v>
      </c>
      <c r="F1724">
        <v>55.48</v>
      </c>
      <c r="G1724">
        <v>60.14</v>
      </c>
      <c r="H1724">
        <v>308935</v>
      </c>
      <c r="I1724">
        <v>3985</v>
      </c>
      <c r="J1724">
        <v>8203787543</v>
      </c>
      <c r="K1724">
        <v>147869278</v>
      </c>
      <c r="L1724">
        <f>(Table1[[#This Row],[CLOSE_PRICE]] - Table1[[#This Row],[PREV_CL_PR]]) / Table1[[#This Row],[PREV_CL_PR]] * 100</f>
        <v>-7.748586631193886</v>
      </c>
      <c r="M1724">
        <f>Table1[[#This Row],[HIGH_PRICE]]-Table1[[#This Row],[LOW_PRICE]]</f>
        <v>4.5799999999999983</v>
      </c>
      <c r="N1724" t="str">
        <f>IF(Table1[[#This Row],[CLOSE_PRICE]]&gt;Table1[[#This Row],[OPEN_PRICE]],"Gain","Loss")</f>
        <v>Loss</v>
      </c>
      <c r="O1724" t="str">
        <f>IF(Table1[[#This Row],[MARKET_CAP]]&gt;200000000000,"Large Cap",
IF(Table1[[#This Row],[MARKET_CAP]]&gt;50000000000,"Mid Cap","Small Cap"))</f>
        <v>Small Cap</v>
      </c>
      <c r="P1724" t="str">
        <f>IF(Table1[[#This Row],[NET_TRDQTY]]&gt;1000000,"High Volume","Low Volume")</f>
        <v>Low Volume</v>
      </c>
    </row>
    <row r="1725" spans="1:16" x14ac:dyDescent="0.3">
      <c r="A1725" t="s">
        <v>3453</v>
      </c>
      <c r="B1725" t="s">
        <v>3454</v>
      </c>
      <c r="C1725">
        <v>356.15</v>
      </c>
      <c r="D1725">
        <v>356.2</v>
      </c>
      <c r="E1725">
        <v>340</v>
      </c>
      <c r="F1725">
        <v>344.3</v>
      </c>
      <c r="G1725">
        <v>357.8</v>
      </c>
      <c r="H1725">
        <v>428629</v>
      </c>
      <c r="I1725">
        <v>3741</v>
      </c>
      <c r="J1725">
        <v>56092754852</v>
      </c>
      <c r="K1725">
        <v>162918254</v>
      </c>
      <c r="L1725">
        <f>(Table1[[#This Row],[CLOSE_PRICE]] - Table1[[#This Row],[PREV_CL_PR]]) / Table1[[#This Row],[PREV_CL_PR]] * 100</f>
        <v>-3.7730575740637229</v>
      </c>
      <c r="M1725">
        <f>Table1[[#This Row],[HIGH_PRICE]]-Table1[[#This Row],[LOW_PRICE]]</f>
        <v>16.199999999999989</v>
      </c>
      <c r="N1725" t="str">
        <f>IF(Table1[[#This Row],[CLOSE_PRICE]]&gt;Table1[[#This Row],[OPEN_PRICE]],"Gain","Loss")</f>
        <v>Loss</v>
      </c>
      <c r="O1725" t="str">
        <f>IF(Table1[[#This Row],[MARKET_CAP]]&gt;200000000000,"Large Cap",
IF(Table1[[#This Row],[MARKET_CAP]]&gt;50000000000,"Mid Cap","Small Cap"))</f>
        <v>Mid Cap</v>
      </c>
      <c r="P1725" t="str">
        <f>IF(Table1[[#This Row],[NET_TRDQTY]]&gt;1000000,"High Volume","Low Volume")</f>
        <v>Low Volume</v>
      </c>
    </row>
    <row r="1726" spans="1:16" x14ac:dyDescent="0.3">
      <c r="A1726" t="s">
        <v>3455</v>
      </c>
      <c r="B1726" t="s">
        <v>3456</v>
      </c>
      <c r="C1726">
        <v>299</v>
      </c>
      <c r="D1726">
        <v>299</v>
      </c>
      <c r="E1726">
        <v>272.45</v>
      </c>
      <c r="F1726">
        <v>275.7</v>
      </c>
      <c r="G1726">
        <v>298.5</v>
      </c>
      <c r="H1726">
        <v>88920</v>
      </c>
      <c r="I1726">
        <v>3367</v>
      </c>
      <c r="J1726">
        <v>8915501409</v>
      </c>
      <c r="K1726">
        <v>32337691</v>
      </c>
      <c r="L1726">
        <f>(Table1[[#This Row],[CLOSE_PRICE]] - Table1[[#This Row],[PREV_CL_PR]]) / Table1[[#This Row],[PREV_CL_PR]] * 100</f>
        <v>-7.6381909547738731</v>
      </c>
      <c r="M1726">
        <f>Table1[[#This Row],[HIGH_PRICE]]-Table1[[#This Row],[LOW_PRICE]]</f>
        <v>26.550000000000011</v>
      </c>
      <c r="N1726" t="str">
        <f>IF(Table1[[#This Row],[CLOSE_PRICE]]&gt;Table1[[#This Row],[OPEN_PRICE]],"Gain","Loss")</f>
        <v>Loss</v>
      </c>
      <c r="O1726" t="str">
        <f>IF(Table1[[#This Row],[MARKET_CAP]]&gt;200000000000,"Large Cap",
IF(Table1[[#This Row],[MARKET_CAP]]&gt;50000000000,"Mid Cap","Small Cap"))</f>
        <v>Small Cap</v>
      </c>
      <c r="P1726" t="str">
        <f>IF(Table1[[#This Row],[NET_TRDQTY]]&gt;1000000,"High Volume","Low Volume")</f>
        <v>Low Volume</v>
      </c>
    </row>
    <row r="1727" spans="1:16" x14ac:dyDescent="0.3">
      <c r="A1727" t="s">
        <v>3457</v>
      </c>
      <c r="B1727" t="s">
        <v>3458</v>
      </c>
      <c r="C1727">
        <v>45</v>
      </c>
      <c r="D1727">
        <v>45</v>
      </c>
      <c r="E1727">
        <v>42.31</v>
      </c>
      <c r="F1727">
        <v>42.73</v>
      </c>
      <c r="G1727">
        <v>44.5</v>
      </c>
      <c r="H1727">
        <v>78155</v>
      </c>
      <c r="I1727">
        <v>2098</v>
      </c>
      <c r="J1727">
        <v>5703087854</v>
      </c>
      <c r="K1727">
        <v>133468005</v>
      </c>
      <c r="L1727">
        <f>(Table1[[#This Row],[CLOSE_PRICE]] - Table1[[#This Row],[PREV_CL_PR]]) / Table1[[#This Row],[PREV_CL_PR]] * 100</f>
        <v>-3.9775280898876475</v>
      </c>
      <c r="M1727">
        <f>Table1[[#This Row],[HIGH_PRICE]]-Table1[[#This Row],[LOW_PRICE]]</f>
        <v>2.6899999999999977</v>
      </c>
      <c r="N1727" t="str">
        <f>IF(Table1[[#This Row],[CLOSE_PRICE]]&gt;Table1[[#This Row],[OPEN_PRICE]],"Gain","Loss")</f>
        <v>Loss</v>
      </c>
      <c r="O1727" t="str">
        <f>IF(Table1[[#This Row],[MARKET_CAP]]&gt;200000000000,"Large Cap",
IF(Table1[[#This Row],[MARKET_CAP]]&gt;50000000000,"Mid Cap","Small Cap"))</f>
        <v>Small Cap</v>
      </c>
      <c r="P1727" t="str">
        <f>IF(Table1[[#This Row],[NET_TRDQTY]]&gt;1000000,"High Volume","Low Volume")</f>
        <v>Low Volume</v>
      </c>
    </row>
    <row r="1728" spans="1:16" x14ac:dyDescent="0.3">
      <c r="A1728" t="s">
        <v>3459</v>
      </c>
      <c r="B1728" t="s">
        <v>3460</v>
      </c>
      <c r="C1728">
        <v>149.82</v>
      </c>
      <c r="D1728">
        <v>149.82</v>
      </c>
      <c r="E1728">
        <v>134.33000000000001</v>
      </c>
      <c r="F1728">
        <v>137.66999999999999</v>
      </c>
      <c r="G1728">
        <v>149.82</v>
      </c>
      <c r="H1728">
        <v>5209</v>
      </c>
      <c r="I1728">
        <v>178</v>
      </c>
      <c r="J1728">
        <v>1903287750</v>
      </c>
      <c r="K1728">
        <v>13825000</v>
      </c>
      <c r="L1728">
        <f>(Table1[[#This Row],[CLOSE_PRICE]] - Table1[[#This Row],[PREV_CL_PR]]) / Table1[[#This Row],[PREV_CL_PR]] * 100</f>
        <v>-8.1097316780136204</v>
      </c>
      <c r="M1728">
        <f>Table1[[#This Row],[HIGH_PRICE]]-Table1[[#This Row],[LOW_PRICE]]</f>
        <v>15.489999999999981</v>
      </c>
      <c r="N1728" t="str">
        <f>IF(Table1[[#This Row],[CLOSE_PRICE]]&gt;Table1[[#This Row],[OPEN_PRICE]],"Gain","Loss")</f>
        <v>Loss</v>
      </c>
      <c r="O1728" t="str">
        <f>IF(Table1[[#This Row],[MARKET_CAP]]&gt;200000000000,"Large Cap",
IF(Table1[[#This Row],[MARKET_CAP]]&gt;50000000000,"Mid Cap","Small Cap"))</f>
        <v>Small Cap</v>
      </c>
      <c r="P1728" t="str">
        <f>IF(Table1[[#This Row],[NET_TRDQTY]]&gt;1000000,"High Volume","Low Volume")</f>
        <v>Low Volume</v>
      </c>
    </row>
    <row r="1729" spans="1:16" x14ac:dyDescent="0.3">
      <c r="A1729" t="s">
        <v>3461</v>
      </c>
      <c r="B1729" t="s">
        <v>3462</v>
      </c>
      <c r="C1729">
        <v>188.05</v>
      </c>
      <c r="D1729">
        <v>188.06</v>
      </c>
      <c r="E1729">
        <v>169.01</v>
      </c>
      <c r="F1729">
        <v>174.35</v>
      </c>
      <c r="G1729">
        <v>190.16</v>
      </c>
      <c r="H1729">
        <v>1187619</v>
      </c>
      <c r="I1729">
        <v>13895</v>
      </c>
      <c r="J1729">
        <v>16812933148</v>
      </c>
      <c r="K1729">
        <v>96432080</v>
      </c>
      <c r="L1729">
        <f>(Table1[[#This Row],[CLOSE_PRICE]] - Table1[[#This Row],[PREV_CL_PR]]) / Table1[[#This Row],[PREV_CL_PR]] * 100</f>
        <v>-8.3140513251998325</v>
      </c>
      <c r="M1729">
        <f>Table1[[#This Row],[HIGH_PRICE]]-Table1[[#This Row],[LOW_PRICE]]</f>
        <v>19.050000000000011</v>
      </c>
      <c r="N1729" t="str">
        <f>IF(Table1[[#This Row],[CLOSE_PRICE]]&gt;Table1[[#This Row],[OPEN_PRICE]],"Gain","Loss")</f>
        <v>Loss</v>
      </c>
      <c r="O1729" t="str">
        <f>IF(Table1[[#This Row],[MARKET_CAP]]&gt;200000000000,"Large Cap",
IF(Table1[[#This Row],[MARKET_CAP]]&gt;50000000000,"Mid Cap","Small Cap"))</f>
        <v>Small Cap</v>
      </c>
      <c r="P1729" t="str">
        <f>IF(Table1[[#This Row],[NET_TRDQTY]]&gt;1000000,"High Volume","Low Volume")</f>
        <v>High Volume</v>
      </c>
    </row>
    <row r="1730" spans="1:16" x14ac:dyDescent="0.3">
      <c r="A1730" t="s">
        <v>3463</v>
      </c>
      <c r="B1730" t="s">
        <v>3464</v>
      </c>
      <c r="C1730">
        <v>3125</v>
      </c>
      <c r="D1730">
        <v>3125</v>
      </c>
      <c r="E1730">
        <v>2925.5</v>
      </c>
      <c r="F1730">
        <v>2938</v>
      </c>
      <c r="G1730">
        <v>3125</v>
      </c>
      <c r="H1730">
        <v>83906</v>
      </c>
      <c r="I1730">
        <v>17442</v>
      </c>
      <c r="J1730">
        <v>129000000000</v>
      </c>
      <c r="K1730">
        <v>44049824</v>
      </c>
      <c r="L1730">
        <f>(Table1[[#This Row],[CLOSE_PRICE]] - Table1[[#This Row],[PREV_CL_PR]]) / Table1[[#This Row],[PREV_CL_PR]] * 100</f>
        <v>-5.984</v>
      </c>
      <c r="M1730">
        <f>Table1[[#This Row],[HIGH_PRICE]]-Table1[[#This Row],[LOW_PRICE]]</f>
        <v>199.5</v>
      </c>
      <c r="N1730" t="str">
        <f>IF(Table1[[#This Row],[CLOSE_PRICE]]&gt;Table1[[#This Row],[OPEN_PRICE]],"Gain","Loss")</f>
        <v>Loss</v>
      </c>
      <c r="O1730" t="str">
        <f>IF(Table1[[#This Row],[MARKET_CAP]]&gt;200000000000,"Large Cap",
IF(Table1[[#This Row],[MARKET_CAP]]&gt;50000000000,"Mid Cap","Small Cap"))</f>
        <v>Mid Cap</v>
      </c>
      <c r="P1730" t="str">
        <f>IF(Table1[[#This Row],[NET_TRDQTY]]&gt;1000000,"High Volume","Low Volume")</f>
        <v>Low Volume</v>
      </c>
    </row>
    <row r="1731" spans="1:16" x14ac:dyDescent="0.3">
      <c r="A1731" t="s">
        <v>3465</v>
      </c>
      <c r="B1731" t="s">
        <v>3466</v>
      </c>
      <c r="C1731">
        <v>66.17</v>
      </c>
      <c r="D1731">
        <v>66.900000000000006</v>
      </c>
      <c r="E1731">
        <v>65.8</v>
      </c>
      <c r="F1731">
        <v>66.099999999999994</v>
      </c>
      <c r="G1731">
        <v>68.22</v>
      </c>
      <c r="H1731">
        <v>1068464</v>
      </c>
      <c r="I1731">
        <v>3384</v>
      </c>
      <c r="J1731">
        <v>11280255311</v>
      </c>
      <c r="K1731">
        <v>170654392</v>
      </c>
      <c r="L1731">
        <f>(Table1[[#This Row],[CLOSE_PRICE]] - Table1[[#This Row],[PREV_CL_PR]]) / Table1[[#This Row],[PREV_CL_PR]] * 100</f>
        <v>-3.1075930812078636</v>
      </c>
      <c r="M1731">
        <f>Table1[[#This Row],[HIGH_PRICE]]-Table1[[#This Row],[LOW_PRICE]]</f>
        <v>1.1000000000000085</v>
      </c>
      <c r="N1731" t="str">
        <f>IF(Table1[[#This Row],[CLOSE_PRICE]]&gt;Table1[[#This Row],[OPEN_PRICE]],"Gain","Loss")</f>
        <v>Loss</v>
      </c>
      <c r="O1731" t="str">
        <f>IF(Table1[[#This Row],[MARKET_CAP]]&gt;200000000000,"Large Cap",
IF(Table1[[#This Row],[MARKET_CAP]]&gt;50000000000,"Mid Cap","Small Cap"))</f>
        <v>Small Cap</v>
      </c>
      <c r="P1731" t="str">
        <f>IF(Table1[[#This Row],[NET_TRDQTY]]&gt;1000000,"High Volume","Low Volume")</f>
        <v>High Volume</v>
      </c>
    </row>
    <row r="1732" spans="1:16" x14ac:dyDescent="0.3">
      <c r="A1732" t="s">
        <v>3467</v>
      </c>
      <c r="B1732" t="s">
        <v>3468</v>
      </c>
      <c r="C1732">
        <v>4.49</v>
      </c>
      <c r="D1732">
        <v>4.51</v>
      </c>
      <c r="E1732">
        <v>4.2699999999999996</v>
      </c>
      <c r="F1732">
        <v>4.28</v>
      </c>
      <c r="G1732">
        <v>4.49</v>
      </c>
      <c r="H1732">
        <v>448263</v>
      </c>
      <c r="I1732">
        <v>357</v>
      </c>
      <c r="J1732">
        <v>908100397.20000005</v>
      </c>
      <c r="K1732">
        <v>212172990</v>
      </c>
      <c r="L1732">
        <f>(Table1[[#This Row],[CLOSE_PRICE]] - Table1[[#This Row],[PREV_CL_PR]]) / Table1[[#This Row],[PREV_CL_PR]] * 100</f>
        <v>-4.6770601336302882</v>
      </c>
      <c r="M1732">
        <f>Table1[[#This Row],[HIGH_PRICE]]-Table1[[#This Row],[LOW_PRICE]]</f>
        <v>0.24000000000000021</v>
      </c>
      <c r="N1732" t="str">
        <f>IF(Table1[[#This Row],[CLOSE_PRICE]]&gt;Table1[[#This Row],[OPEN_PRICE]],"Gain","Loss")</f>
        <v>Loss</v>
      </c>
      <c r="O1732" t="str">
        <f>IF(Table1[[#This Row],[MARKET_CAP]]&gt;200000000000,"Large Cap",
IF(Table1[[#This Row],[MARKET_CAP]]&gt;50000000000,"Mid Cap","Small Cap"))</f>
        <v>Small Cap</v>
      </c>
      <c r="P1732" t="str">
        <f>IF(Table1[[#This Row],[NET_TRDQTY]]&gt;1000000,"High Volume","Low Volume")</f>
        <v>Low Volume</v>
      </c>
    </row>
    <row r="1733" spans="1:16" x14ac:dyDescent="0.3">
      <c r="A1733" t="s">
        <v>3469</v>
      </c>
      <c r="B1733" t="s">
        <v>3470</v>
      </c>
      <c r="C1733">
        <v>774</v>
      </c>
      <c r="D1733">
        <v>790.15</v>
      </c>
      <c r="E1733">
        <v>770</v>
      </c>
      <c r="F1733">
        <v>777.8</v>
      </c>
      <c r="G1733">
        <v>795.3</v>
      </c>
      <c r="H1733">
        <v>291544</v>
      </c>
      <c r="I1733">
        <v>10971</v>
      </c>
      <c r="J1733">
        <v>217000000000</v>
      </c>
      <c r="K1733">
        <v>279131853</v>
      </c>
      <c r="L1733">
        <f>(Table1[[#This Row],[CLOSE_PRICE]] - Table1[[#This Row],[PREV_CL_PR]]) / Table1[[#This Row],[PREV_CL_PR]] * 100</f>
        <v>-2.2004275116308314</v>
      </c>
      <c r="M1733">
        <f>Table1[[#This Row],[HIGH_PRICE]]-Table1[[#This Row],[LOW_PRICE]]</f>
        <v>20.149999999999977</v>
      </c>
      <c r="N1733" t="str">
        <f>IF(Table1[[#This Row],[CLOSE_PRICE]]&gt;Table1[[#This Row],[OPEN_PRICE]],"Gain","Loss")</f>
        <v>Gain</v>
      </c>
      <c r="O1733" t="str">
        <f>IF(Table1[[#This Row],[MARKET_CAP]]&gt;200000000000,"Large Cap",
IF(Table1[[#This Row],[MARKET_CAP]]&gt;50000000000,"Mid Cap","Small Cap"))</f>
        <v>Large Cap</v>
      </c>
      <c r="P1733" t="str">
        <f>IF(Table1[[#This Row],[NET_TRDQTY]]&gt;1000000,"High Volume","Low Volume")</f>
        <v>Low Volume</v>
      </c>
    </row>
    <row r="1734" spans="1:16" x14ac:dyDescent="0.3">
      <c r="A1734" t="s">
        <v>3471</v>
      </c>
      <c r="B1734" t="s">
        <v>3472</v>
      </c>
      <c r="C1734">
        <v>8.9700000000000006</v>
      </c>
      <c r="D1734">
        <v>9.93</v>
      </c>
      <c r="E1734">
        <v>8.3699999999999992</v>
      </c>
      <c r="F1734">
        <v>8.4600000000000009</v>
      </c>
      <c r="G1734">
        <v>8.9700000000000006</v>
      </c>
      <c r="H1734">
        <v>11929</v>
      </c>
      <c r="I1734">
        <v>99</v>
      </c>
      <c r="J1734">
        <v>95344200</v>
      </c>
      <c r="K1734">
        <v>11270000</v>
      </c>
      <c r="L1734">
        <f>(Table1[[#This Row],[CLOSE_PRICE]] - Table1[[#This Row],[PREV_CL_PR]]) / Table1[[#This Row],[PREV_CL_PR]] * 100</f>
        <v>-5.6856187290969871</v>
      </c>
      <c r="M1734">
        <f>Table1[[#This Row],[HIGH_PRICE]]-Table1[[#This Row],[LOW_PRICE]]</f>
        <v>1.5600000000000005</v>
      </c>
      <c r="N1734" t="str">
        <f>IF(Table1[[#This Row],[CLOSE_PRICE]]&gt;Table1[[#This Row],[OPEN_PRICE]],"Gain","Loss")</f>
        <v>Loss</v>
      </c>
      <c r="O1734" t="str">
        <f>IF(Table1[[#This Row],[MARKET_CAP]]&gt;200000000000,"Large Cap",
IF(Table1[[#This Row],[MARKET_CAP]]&gt;50000000000,"Mid Cap","Small Cap"))</f>
        <v>Small Cap</v>
      </c>
      <c r="P1734" t="str">
        <f>IF(Table1[[#This Row],[NET_TRDQTY]]&gt;1000000,"High Volume","Low Volume")</f>
        <v>Low Volume</v>
      </c>
    </row>
    <row r="1735" spans="1:16" x14ac:dyDescent="0.3">
      <c r="A1735" t="s">
        <v>3473</v>
      </c>
      <c r="B1735" t="s">
        <v>3474</v>
      </c>
      <c r="C1735">
        <v>18.98</v>
      </c>
      <c r="D1735">
        <v>19.079999999999998</v>
      </c>
      <c r="E1735">
        <v>17.96</v>
      </c>
      <c r="F1735">
        <v>18.09</v>
      </c>
      <c r="G1735">
        <v>18.98</v>
      </c>
      <c r="H1735">
        <v>3091931</v>
      </c>
      <c r="I1735">
        <v>6585</v>
      </c>
      <c r="J1735">
        <v>6912496711</v>
      </c>
      <c r="K1735">
        <v>382117010</v>
      </c>
      <c r="L1735">
        <f>(Table1[[#This Row],[CLOSE_PRICE]] - Table1[[#This Row],[PREV_CL_PR]]) / Table1[[#This Row],[PREV_CL_PR]] * 100</f>
        <v>-4.6891464699683905</v>
      </c>
      <c r="M1735">
        <f>Table1[[#This Row],[HIGH_PRICE]]-Table1[[#This Row],[LOW_PRICE]]</f>
        <v>1.1199999999999974</v>
      </c>
      <c r="N1735" t="str">
        <f>IF(Table1[[#This Row],[CLOSE_PRICE]]&gt;Table1[[#This Row],[OPEN_PRICE]],"Gain","Loss")</f>
        <v>Loss</v>
      </c>
      <c r="O1735" t="str">
        <f>IF(Table1[[#This Row],[MARKET_CAP]]&gt;200000000000,"Large Cap",
IF(Table1[[#This Row],[MARKET_CAP]]&gt;50000000000,"Mid Cap","Small Cap"))</f>
        <v>Small Cap</v>
      </c>
      <c r="P1735" t="str">
        <f>IF(Table1[[#This Row],[NET_TRDQTY]]&gt;1000000,"High Volume","Low Volume")</f>
        <v>High Volume</v>
      </c>
    </row>
    <row r="1736" spans="1:16" x14ac:dyDescent="0.3">
      <c r="A1736" t="s">
        <v>3475</v>
      </c>
      <c r="B1736" t="s">
        <v>3476</v>
      </c>
      <c r="C1736">
        <v>44.69</v>
      </c>
      <c r="D1736">
        <v>44.69</v>
      </c>
      <c r="E1736">
        <v>40.659999999999997</v>
      </c>
      <c r="F1736">
        <v>41.49</v>
      </c>
      <c r="G1736">
        <v>43.24</v>
      </c>
      <c r="H1736">
        <v>22055</v>
      </c>
      <c r="I1736">
        <v>365</v>
      </c>
      <c r="J1736">
        <v>1221341130</v>
      </c>
      <c r="K1736">
        <v>29437000</v>
      </c>
      <c r="L1736">
        <f>(Table1[[#This Row],[CLOSE_PRICE]] - Table1[[#This Row],[PREV_CL_PR]]) / Table1[[#This Row],[PREV_CL_PR]] * 100</f>
        <v>-4.0471785383903791</v>
      </c>
      <c r="M1736">
        <f>Table1[[#This Row],[HIGH_PRICE]]-Table1[[#This Row],[LOW_PRICE]]</f>
        <v>4.0300000000000011</v>
      </c>
      <c r="N1736" t="str">
        <f>IF(Table1[[#This Row],[CLOSE_PRICE]]&gt;Table1[[#This Row],[OPEN_PRICE]],"Gain","Loss")</f>
        <v>Loss</v>
      </c>
      <c r="O1736" t="str">
        <f>IF(Table1[[#This Row],[MARKET_CAP]]&gt;200000000000,"Large Cap",
IF(Table1[[#This Row],[MARKET_CAP]]&gt;50000000000,"Mid Cap","Small Cap"))</f>
        <v>Small Cap</v>
      </c>
      <c r="P1736" t="str">
        <f>IF(Table1[[#This Row],[NET_TRDQTY]]&gt;1000000,"High Volume","Low Volume")</f>
        <v>Low Volume</v>
      </c>
    </row>
    <row r="1737" spans="1:16" x14ac:dyDescent="0.3">
      <c r="A1737" t="s">
        <v>3477</v>
      </c>
      <c r="B1737" t="s">
        <v>3478</v>
      </c>
      <c r="C1737">
        <v>38.299999999999997</v>
      </c>
      <c r="D1737">
        <v>40.159999999999997</v>
      </c>
      <c r="E1737">
        <v>36.61</v>
      </c>
      <c r="F1737">
        <v>38.299999999999997</v>
      </c>
      <c r="G1737">
        <v>39.65</v>
      </c>
      <c r="H1737">
        <v>96000</v>
      </c>
      <c r="I1737">
        <v>1448</v>
      </c>
      <c r="J1737">
        <v>3936281734</v>
      </c>
      <c r="K1737">
        <v>102774980</v>
      </c>
      <c r="L1737">
        <f>(Table1[[#This Row],[CLOSE_PRICE]] - Table1[[#This Row],[PREV_CL_PR]]) / Table1[[#This Row],[PREV_CL_PR]] * 100</f>
        <v>-3.404791929382097</v>
      </c>
      <c r="M1737">
        <f>Table1[[#This Row],[HIGH_PRICE]]-Table1[[#This Row],[LOW_PRICE]]</f>
        <v>3.5499999999999972</v>
      </c>
      <c r="N1737" t="str">
        <f>IF(Table1[[#This Row],[CLOSE_PRICE]]&gt;Table1[[#This Row],[OPEN_PRICE]],"Gain","Loss")</f>
        <v>Loss</v>
      </c>
      <c r="O1737" t="str">
        <f>IF(Table1[[#This Row],[MARKET_CAP]]&gt;200000000000,"Large Cap",
IF(Table1[[#This Row],[MARKET_CAP]]&gt;50000000000,"Mid Cap","Small Cap"))</f>
        <v>Small Cap</v>
      </c>
      <c r="P1737" t="str">
        <f>IF(Table1[[#This Row],[NET_TRDQTY]]&gt;1000000,"High Volume","Low Volume")</f>
        <v>Low Volume</v>
      </c>
    </row>
    <row r="1738" spans="1:16" x14ac:dyDescent="0.3">
      <c r="A1738" t="s">
        <v>3479</v>
      </c>
      <c r="B1738" t="s">
        <v>3480</v>
      </c>
      <c r="C1738">
        <v>178</v>
      </c>
      <c r="D1738">
        <v>178</v>
      </c>
      <c r="E1738">
        <v>163.86</v>
      </c>
      <c r="F1738">
        <v>163.86</v>
      </c>
      <c r="G1738">
        <v>172.48</v>
      </c>
      <c r="H1738">
        <v>211909</v>
      </c>
      <c r="I1738">
        <v>2073</v>
      </c>
      <c r="J1738">
        <v>12087958918</v>
      </c>
      <c r="K1738">
        <v>73770041</v>
      </c>
      <c r="L1738">
        <f>(Table1[[#This Row],[CLOSE_PRICE]] - Table1[[#This Row],[PREV_CL_PR]]) / Table1[[#This Row],[PREV_CL_PR]] * 100</f>
        <v>-4.9976808905380201</v>
      </c>
      <c r="M1738">
        <f>Table1[[#This Row],[HIGH_PRICE]]-Table1[[#This Row],[LOW_PRICE]]</f>
        <v>14.139999999999986</v>
      </c>
      <c r="N1738" t="str">
        <f>IF(Table1[[#This Row],[CLOSE_PRICE]]&gt;Table1[[#This Row],[OPEN_PRICE]],"Gain","Loss")</f>
        <v>Loss</v>
      </c>
      <c r="O1738" t="str">
        <f>IF(Table1[[#This Row],[MARKET_CAP]]&gt;200000000000,"Large Cap",
IF(Table1[[#This Row],[MARKET_CAP]]&gt;50000000000,"Mid Cap","Small Cap"))</f>
        <v>Small Cap</v>
      </c>
      <c r="P1738" t="str">
        <f>IF(Table1[[#This Row],[NET_TRDQTY]]&gt;1000000,"High Volume","Low Volume")</f>
        <v>Low Volume</v>
      </c>
    </row>
    <row r="1739" spans="1:16" x14ac:dyDescent="0.3">
      <c r="A1739" t="s">
        <v>3481</v>
      </c>
      <c r="B1739" t="s">
        <v>3482</v>
      </c>
      <c r="C1739">
        <v>758.05</v>
      </c>
      <c r="D1739">
        <v>758.1</v>
      </c>
      <c r="E1739">
        <v>721</v>
      </c>
      <c r="F1739">
        <v>726.45</v>
      </c>
      <c r="G1739">
        <v>763.65</v>
      </c>
      <c r="H1739">
        <v>512358</v>
      </c>
      <c r="I1739">
        <v>12800</v>
      </c>
      <c r="J1739">
        <v>102000000000</v>
      </c>
      <c r="K1739">
        <v>140510691</v>
      </c>
      <c r="L1739">
        <f>(Table1[[#This Row],[CLOSE_PRICE]] - Table1[[#This Row],[PREV_CL_PR]]) / Table1[[#This Row],[PREV_CL_PR]] * 100</f>
        <v>-4.8713415831860054</v>
      </c>
      <c r="M1739">
        <f>Table1[[#This Row],[HIGH_PRICE]]-Table1[[#This Row],[LOW_PRICE]]</f>
        <v>37.100000000000023</v>
      </c>
      <c r="N1739" t="str">
        <f>IF(Table1[[#This Row],[CLOSE_PRICE]]&gt;Table1[[#This Row],[OPEN_PRICE]],"Gain","Loss")</f>
        <v>Loss</v>
      </c>
      <c r="O1739" t="str">
        <f>IF(Table1[[#This Row],[MARKET_CAP]]&gt;200000000000,"Large Cap",
IF(Table1[[#This Row],[MARKET_CAP]]&gt;50000000000,"Mid Cap","Small Cap"))</f>
        <v>Mid Cap</v>
      </c>
      <c r="P1739" t="str">
        <f>IF(Table1[[#This Row],[NET_TRDQTY]]&gt;1000000,"High Volume","Low Volume")</f>
        <v>Low Volume</v>
      </c>
    </row>
    <row r="1740" spans="1:16" x14ac:dyDescent="0.3">
      <c r="A1740" t="s">
        <v>3483</v>
      </c>
      <c r="B1740" t="s">
        <v>3484</v>
      </c>
      <c r="C1740">
        <v>235.9</v>
      </c>
      <c r="D1740">
        <v>235.9</v>
      </c>
      <c r="E1740">
        <v>220.8</v>
      </c>
      <c r="F1740">
        <v>223.8</v>
      </c>
      <c r="G1740">
        <v>235.05</v>
      </c>
      <c r="H1740">
        <v>27657</v>
      </c>
      <c r="I1740">
        <v>1197</v>
      </c>
      <c r="J1740">
        <v>11962110000</v>
      </c>
      <c r="K1740">
        <v>53450000</v>
      </c>
      <c r="L1740">
        <f>(Table1[[#This Row],[CLOSE_PRICE]] - Table1[[#This Row],[PREV_CL_PR]]) / Table1[[#This Row],[PREV_CL_PR]] * 100</f>
        <v>-4.7862156987874913</v>
      </c>
      <c r="M1740">
        <f>Table1[[#This Row],[HIGH_PRICE]]-Table1[[#This Row],[LOW_PRICE]]</f>
        <v>15.099999999999994</v>
      </c>
      <c r="N1740" t="str">
        <f>IF(Table1[[#This Row],[CLOSE_PRICE]]&gt;Table1[[#This Row],[OPEN_PRICE]],"Gain","Loss")</f>
        <v>Loss</v>
      </c>
      <c r="O1740" t="str">
        <f>IF(Table1[[#This Row],[MARKET_CAP]]&gt;200000000000,"Large Cap",
IF(Table1[[#This Row],[MARKET_CAP]]&gt;50000000000,"Mid Cap","Small Cap"))</f>
        <v>Small Cap</v>
      </c>
      <c r="P1740" t="str">
        <f>IF(Table1[[#This Row],[NET_TRDQTY]]&gt;1000000,"High Volume","Low Volume")</f>
        <v>Low Volume</v>
      </c>
    </row>
    <row r="1741" spans="1:16" x14ac:dyDescent="0.3">
      <c r="A1741" t="s">
        <v>3485</v>
      </c>
      <c r="B1741" t="s">
        <v>3486</v>
      </c>
      <c r="C1741">
        <v>4.9000000000000004</v>
      </c>
      <c r="D1741">
        <v>4.9000000000000004</v>
      </c>
      <c r="E1741">
        <v>4.51</v>
      </c>
      <c r="F1741">
        <v>4.5199999999999996</v>
      </c>
      <c r="G1741">
        <v>4.74</v>
      </c>
      <c r="H1741">
        <v>332079</v>
      </c>
      <c r="I1741">
        <v>745</v>
      </c>
      <c r="J1741">
        <v>1974336000</v>
      </c>
      <c r="K1741">
        <v>436800000</v>
      </c>
      <c r="L1741">
        <f>(Table1[[#This Row],[CLOSE_PRICE]] - Table1[[#This Row],[PREV_CL_PR]]) / Table1[[#This Row],[PREV_CL_PR]] * 100</f>
        <v>-4.6413502109704776</v>
      </c>
      <c r="M1741">
        <f>Table1[[#This Row],[HIGH_PRICE]]-Table1[[#This Row],[LOW_PRICE]]</f>
        <v>0.39000000000000057</v>
      </c>
      <c r="N1741" t="str">
        <f>IF(Table1[[#This Row],[CLOSE_PRICE]]&gt;Table1[[#This Row],[OPEN_PRICE]],"Gain","Loss")</f>
        <v>Loss</v>
      </c>
      <c r="O1741" t="str">
        <f>IF(Table1[[#This Row],[MARKET_CAP]]&gt;200000000000,"Large Cap",
IF(Table1[[#This Row],[MARKET_CAP]]&gt;50000000000,"Mid Cap","Small Cap"))</f>
        <v>Small Cap</v>
      </c>
      <c r="P1741" t="str">
        <f>IF(Table1[[#This Row],[NET_TRDQTY]]&gt;1000000,"High Volume","Low Volume")</f>
        <v>Low Volume</v>
      </c>
    </row>
    <row r="1742" spans="1:16" x14ac:dyDescent="0.3">
      <c r="A1742" t="s">
        <v>3487</v>
      </c>
      <c r="B1742" t="s">
        <v>3488</v>
      </c>
      <c r="C1742">
        <v>13.75</v>
      </c>
      <c r="D1742">
        <v>13.83</v>
      </c>
      <c r="E1742">
        <v>13.31</v>
      </c>
      <c r="F1742">
        <v>13.56</v>
      </c>
      <c r="G1742">
        <v>13.91</v>
      </c>
      <c r="H1742">
        <v>28718</v>
      </c>
      <c r="I1742">
        <v>266</v>
      </c>
      <c r="J1742">
        <v>872300440</v>
      </c>
      <c r="K1742">
        <v>64328941</v>
      </c>
      <c r="L1742">
        <f>(Table1[[#This Row],[CLOSE_PRICE]] - Table1[[#This Row],[PREV_CL_PR]]) / Table1[[#This Row],[PREV_CL_PR]] * 100</f>
        <v>-2.5161754133716725</v>
      </c>
      <c r="M1742">
        <f>Table1[[#This Row],[HIGH_PRICE]]-Table1[[#This Row],[LOW_PRICE]]</f>
        <v>0.51999999999999957</v>
      </c>
      <c r="N1742" t="str">
        <f>IF(Table1[[#This Row],[CLOSE_PRICE]]&gt;Table1[[#This Row],[OPEN_PRICE]],"Gain","Loss")</f>
        <v>Loss</v>
      </c>
      <c r="O1742" t="str">
        <f>IF(Table1[[#This Row],[MARKET_CAP]]&gt;200000000000,"Large Cap",
IF(Table1[[#This Row],[MARKET_CAP]]&gt;50000000000,"Mid Cap","Small Cap"))</f>
        <v>Small Cap</v>
      </c>
      <c r="P1742" t="str">
        <f>IF(Table1[[#This Row],[NET_TRDQTY]]&gt;1000000,"High Volume","Low Volume")</f>
        <v>Low Volume</v>
      </c>
    </row>
    <row r="1743" spans="1:16" x14ac:dyDescent="0.3">
      <c r="A1743" t="s">
        <v>3489</v>
      </c>
      <c r="B1743" t="s">
        <v>3490</v>
      </c>
      <c r="C1743">
        <v>71.709999999999994</v>
      </c>
      <c r="D1743">
        <v>71.709999999999994</v>
      </c>
      <c r="E1743">
        <v>70.3</v>
      </c>
      <c r="F1743">
        <v>71.010000000000005</v>
      </c>
      <c r="G1743">
        <v>71.709999999999994</v>
      </c>
      <c r="H1743">
        <v>19862</v>
      </c>
      <c r="I1743">
        <v>190</v>
      </c>
      <c r="J1743">
        <v>1747167604</v>
      </c>
      <c r="K1743">
        <v>24604529</v>
      </c>
      <c r="L1743">
        <f>(Table1[[#This Row],[CLOSE_PRICE]] - Table1[[#This Row],[PREV_CL_PR]]) / Table1[[#This Row],[PREV_CL_PR]] * 100</f>
        <v>-0.97615395342349565</v>
      </c>
      <c r="M1743">
        <f>Table1[[#This Row],[HIGH_PRICE]]-Table1[[#This Row],[LOW_PRICE]]</f>
        <v>1.4099999999999966</v>
      </c>
      <c r="N1743" t="str">
        <f>IF(Table1[[#This Row],[CLOSE_PRICE]]&gt;Table1[[#This Row],[OPEN_PRICE]],"Gain","Loss")</f>
        <v>Loss</v>
      </c>
      <c r="O1743" t="str">
        <f>IF(Table1[[#This Row],[MARKET_CAP]]&gt;200000000000,"Large Cap",
IF(Table1[[#This Row],[MARKET_CAP]]&gt;50000000000,"Mid Cap","Small Cap"))</f>
        <v>Small Cap</v>
      </c>
      <c r="P1743" t="str">
        <f>IF(Table1[[#This Row],[NET_TRDQTY]]&gt;1000000,"High Volume","Low Volume")</f>
        <v>Low Volume</v>
      </c>
    </row>
    <row r="1744" spans="1:16" x14ac:dyDescent="0.3">
      <c r="A1744" t="s">
        <v>3491</v>
      </c>
      <c r="B1744" t="s">
        <v>3492</v>
      </c>
      <c r="C1744">
        <v>401</v>
      </c>
      <c r="D1744">
        <v>402.1</v>
      </c>
      <c r="E1744">
        <v>392</v>
      </c>
      <c r="F1744">
        <v>394.1</v>
      </c>
      <c r="G1744">
        <v>402.4</v>
      </c>
      <c r="H1744">
        <v>2178</v>
      </c>
      <c r="I1744">
        <v>140</v>
      </c>
      <c r="J1744">
        <v>4175828426</v>
      </c>
      <c r="K1744">
        <v>10595860</v>
      </c>
      <c r="L1744">
        <f>(Table1[[#This Row],[CLOSE_PRICE]] - Table1[[#This Row],[PREV_CL_PR]]) / Table1[[#This Row],[PREV_CL_PR]] * 100</f>
        <v>-2.0626242544731497</v>
      </c>
      <c r="M1744">
        <f>Table1[[#This Row],[HIGH_PRICE]]-Table1[[#This Row],[LOW_PRICE]]</f>
        <v>10.100000000000023</v>
      </c>
      <c r="N1744" t="str">
        <f>IF(Table1[[#This Row],[CLOSE_PRICE]]&gt;Table1[[#This Row],[OPEN_PRICE]],"Gain","Loss")</f>
        <v>Loss</v>
      </c>
      <c r="O1744" t="str">
        <f>IF(Table1[[#This Row],[MARKET_CAP]]&gt;200000000000,"Large Cap",
IF(Table1[[#This Row],[MARKET_CAP]]&gt;50000000000,"Mid Cap","Small Cap"))</f>
        <v>Small Cap</v>
      </c>
      <c r="P1744" t="str">
        <f>IF(Table1[[#This Row],[NET_TRDQTY]]&gt;1000000,"High Volume","Low Volume")</f>
        <v>Low Volume</v>
      </c>
    </row>
    <row r="1745" spans="1:16" x14ac:dyDescent="0.3">
      <c r="A1745" t="s">
        <v>3493</v>
      </c>
      <c r="B1745" t="s">
        <v>3494</v>
      </c>
      <c r="C1745">
        <v>16</v>
      </c>
      <c r="D1745">
        <v>16.13</v>
      </c>
      <c r="E1745">
        <v>15.52</v>
      </c>
      <c r="F1745">
        <v>15.53</v>
      </c>
      <c r="G1745">
        <v>16.329999999999998</v>
      </c>
      <c r="H1745">
        <v>6230</v>
      </c>
      <c r="I1745">
        <v>36</v>
      </c>
      <c r="J1745">
        <v>159239401.90000001</v>
      </c>
      <c r="K1745">
        <v>10253664</v>
      </c>
      <c r="L1745">
        <f>(Table1[[#This Row],[CLOSE_PRICE]] - Table1[[#This Row],[PREV_CL_PR]]) / Table1[[#This Row],[PREV_CL_PR]] * 100</f>
        <v>-4.8989589712186099</v>
      </c>
      <c r="M1745">
        <f>Table1[[#This Row],[HIGH_PRICE]]-Table1[[#This Row],[LOW_PRICE]]</f>
        <v>0.60999999999999943</v>
      </c>
      <c r="N1745" t="str">
        <f>IF(Table1[[#This Row],[CLOSE_PRICE]]&gt;Table1[[#This Row],[OPEN_PRICE]],"Gain","Loss")</f>
        <v>Loss</v>
      </c>
      <c r="O1745" t="str">
        <f>IF(Table1[[#This Row],[MARKET_CAP]]&gt;200000000000,"Large Cap",
IF(Table1[[#This Row],[MARKET_CAP]]&gt;50000000000,"Mid Cap","Small Cap"))</f>
        <v>Small Cap</v>
      </c>
      <c r="P1745" t="str">
        <f>IF(Table1[[#This Row],[NET_TRDQTY]]&gt;1000000,"High Volume","Low Volume")</f>
        <v>Low Volume</v>
      </c>
    </row>
    <row r="1746" spans="1:16" x14ac:dyDescent="0.3">
      <c r="A1746" t="s">
        <v>3495</v>
      </c>
      <c r="B1746" t="s">
        <v>3496</v>
      </c>
      <c r="C1746">
        <v>122.5</v>
      </c>
      <c r="D1746">
        <v>129</v>
      </c>
      <c r="E1746">
        <v>116.9</v>
      </c>
      <c r="F1746">
        <v>116.9</v>
      </c>
      <c r="G1746">
        <v>123</v>
      </c>
      <c r="H1746">
        <v>312524</v>
      </c>
      <c r="I1746">
        <v>3086</v>
      </c>
      <c r="J1746">
        <v>14824089000</v>
      </c>
      <c r="K1746">
        <v>126810000</v>
      </c>
      <c r="L1746">
        <f>(Table1[[#This Row],[CLOSE_PRICE]] - Table1[[#This Row],[PREV_CL_PR]]) / Table1[[#This Row],[PREV_CL_PR]] * 100</f>
        <v>-4.9593495934959302</v>
      </c>
      <c r="M1746">
        <f>Table1[[#This Row],[HIGH_PRICE]]-Table1[[#This Row],[LOW_PRICE]]</f>
        <v>12.099999999999994</v>
      </c>
      <c r="N1746" t="str">
        <f>IF(Table1[[#This Row],[CLOSE_PRICE]]&gt;Table1[[#This Row],[OPEN_PRICE]],"Gain","Loss")</f>
        <v>Loss</v>
      </c>
      <c r="O1746" t="str">
        <f>IF(Table1[[#This Row],[MARKET_CAP]]&gt;200000000000,"Large Cap",
IF(Table1[[#This Row],[MARKET_CAP]]&gt;50000000000,"Mid Cap","Small Cap"))</f>
        <v>Small Cap</v>
      </c>
      <c r="P1746" t="str">
        <f>IF(Table1[[#This Row],[NET_TRDQTY]]&gt;1000000,"High Volume","Low Volume")</f>
        <v>Low Volume</v>
      </c>
    </row>
    <row r="1747" spans="1:16" x14ac:dyDescent="0.3">
      <c r="A1747" t="s">
        <v>3497</v>
      </c>
      <c r="B1747" t="s">
        <v>3498</v>
      </c>
      <c r="C1747">
        <v>164.14</v>
      </c>
      <c r="D1747">
        <v>164.14</v>
      </c>
      <c r="E1747">
        <v>148.1</v>
      </c>
      <c r="F1747">
        <v>151.93</v>
      </c>
      <c r="G1747">
        <v>165.24</v>
      </c>
      <c r="H1747">
        <v>285928</v>
      </c>
      <c r="I1747">
        <v>2913</v>
      </c>
      <c r="J1747">
        <v>12016955918</v>
      </c>
      <c r="K1747">
        <v>79095346</v>
      </c>
      <c r="L1747">
        <f>(Table1[[#This Row],[CLOSE_PRICE]] - Table1[[#This Row],[PREV_CL_PR]]) / Table1[[#This Row],[PREV_CL_PR]] * 100</f>
        <v>-8.0549503752118135</v>
      </c>
      <c r="M1747">
        <f>Table1[[#This Row],[HIGH_PRICE]]-Table1[[#This Row],[LOW_PRICE]]</f>
        <v>16.039999999999992</v>
      </c>
      <c r="N1747" t="str">
        <f>IF(Table1[[#This Row],[CLOSE_PRICE]]&gt;Table1[[#This Row],[OPEN_PRICE]],"Gain","Loss")</f>
        <v>Loss</v>
      </c>
      <c r="O1747" t="str">
        <f>IF(Table1[[#This Row],[MARKET_CAP]]&gt;200000000000,"Large Cap",
IF(Table1[[#This Row],[MARKET_CAP]]&gt;50000000000,"Mid Cap","Small Cap"))</f>
        <v>Small Cap</v>
      </c>
      <c r="P1747" t="str">
        <f>IF(Table1[[#This Row],[NET_TRDQTY]]&gt;1000000,"High Volume","Low Volume")</f>
        <v>Low Volume</v>
      </c>
    </row>
    <row r="1748" spans="1:16" x14ac:dyDescent="0.3">
      <c r="A1748" t="s">
        <v>3499</v>
      </c>
      <c r="B1748" t="s">
        <v>3500</v>
      </c>
      <c r="C1748">
        <v>74.989999999999995</v>
      </c>
      <c r="D1748">
        <v>74.989999999999995</v>
      </c>
      <c r="E1748">
        <v>70.42</v>
      </c>
      <c r="F1748">
        <v>71.489999999999995</v>
      </c>
      <c r="G1748">
        <v>73.94</v>
      </c>
      <c r="H1748">
        <v>138699</v>
      </c>
      <c r="I1748">
        <v>2059</v>
      </c>
      <c r="J1748">
        <v>3664577400</v>
      </c>
      <c r="K1748">
        <v>51260000</v>
      </c>
      <c r="L1748">
        <f>(Table1[[#This Row],[CLOSE_PRICE]] - Table1[[#This Row],[PREV_CL_PR]]) / Table1[[#This Row],[PREV_CL_PR]] * 100</f>
        <v>-3.3134974303489355</v>
      </c>
      <c r="M1748">
        <f>Table1[[#This Row],[HIGH_PRICE]]-Table1[[#This Row],[LOW_PRICE]]</f>
        <v>4.5699999999999932</v>
      </c>
      <c r="N1748" t="str">
        <f>IF(Table1[[#This Row],[CLOSE_PRICE]]&gt;Table1[[#This Row],[OPEN_PRICE]],"Gain","Loss")</f>
        <v>Loss</v>
      </c>
      <c r="O1748" t="str">
        <f>IF(Table1[[#This Row],[MARKET_CAP]]&gt;200000000000,"Large Cap",
IF(Table1[[#This Row],[MARKET_CAP]]&gt;50000000000,"Mid Cap","Small Cap"))</f>
        <v>Small Cap</v>
      </c>
      <c r="P1748" t="str">
        <f>IF(Table1[[#This Row],[NET_TRDQTY]]&gt;1000000,"High Volume","Low Volume")</f>
        <v>Low Volume</v>
      </c>
    </row>
    <row r="1749" spans="1:16" x14ac:dyDescent="0.3">
      <c r="A1749" t="s">
        <v>3501</v>
      </c>
      <c r="B1749" t="s">
        <v>3502</v>
      </c>
      <c r="C1749">
        <v>23.28</v>
      </c>
      <c r="D1749">
        <v>23.28</v>
      </c>
      <c r="E1749">
        <v>22.02</v>
      </c>
      <c r="F1749">
        <v>22.28</v>
      </c>
      <c r="G1749">
        <v>23.28</v>
      </c>
      <c r="H1749">
        <v>752598</v>
      </c>
      <c r="I1749">
        <v>1509</v>
      </c>
      <c r="J1749">
        <v>34354173218</v>
      </c>
      <c r="K1749">
        <v>1541928780</v>
      </c>
      <c r="L1749">
        <f>(Table1[[#This Row],[CLOSE_PRICE]] - Table1[[#This Row],[PREV_CL_PR]]) / Table1[[#This Row],[PREV_CL_PR]] * 100</f>
        <v>-4.2955326460481098</v>
      </c>
      <c r="M1749">
        <f>Table1[[#This Row],[HIGH_PRICE]]-Table1[[#This Row],[LOW_PRICE]]</f>
        <v>1.2600000000000016</v>
      </c>
      <c r="N1749" t="str">
        <f>IF(Table1[[#This Row],[CLOSE_PRICE]]&gt;Table1[[#This Row],[OPEN_PRICE]],"Gain","Loss")</f>
        <v>Loss</v>
      </c>
      <c r="O1749" t="str">
        <f>IF(Table1[[#This Row],[MARKET_CAP]]&gt;200000000000,"Large Cap",
IF(Table1[[#This Row],[MARKET_CAP]]&gt;50000000000,"Mid Cap","Small Cap"))</f>
        <v>Small Cap</v>
      </c>
      <c r="P1749" t="str">
        <f>IF(Table1[[#This Row],[NET_TRDQTY]]&gt;1000000,"High Volume","Low Volume")</f>
        <v>Low Volume</v>
      </c>
    </row>
    <row r="1750" spans="1:16" x14ac:dyDescent="0.3">
      <c r="A1750" t="s">
        <v>3503</v>
      </c>
      <c r="B1750" t="s">
        <v>3504</v>
      </c>
      <c r="C1750">
        <v>70.06</v>
      </c>
      <c r="D1750">
        <v>70.62</v>
      </c>
      <c r="E1750">
        <v>66</v>
      </c>
      <c r="F1750">
        <v>68.150000000000006</v>
      </c>
      <c r="G1750">
        <v>70.06</v>
      </c>
      <c r="H1750">
        <v>35996</v>
      </c>
      <c r="I1750">
        <v>656</v>
      </c>
      <c r="J1750">
        <v>4240232824</v>
      </c>
      <c r="K1750">
        <v>62219117</v>
      </c>
      <c r="L1750">
        <f>(Table1[[#This Row],[CLOSE_PRICE]] - Table1[[#This Row],[PREV_CL_PR]]) / Table1[[#This Row],[PREV_CL_PR]] * 100</f>
        <v>-2.72623465600913</v>
      </c>
      <c r="M1750">
        <f>Table1[[#This Row],[HIGH_PRICE]]-Table1[[#This Row],[LOW_PRICE]]</f>
        <v>4.6200000000000045</v>
      </c>
      <c r="N1750" t="str">
        <f>IF(Table1[[#This Row],[CLOSE_PRICE]]&gt;Table1[[#This Row],[OPEN_PRICE]],"Gain","Loss")</f>
        <v>Loss</v>
      </c>
      <c r="O1750" t="str">
        <f>IF(Table1[[#This Row],[MARKET_CAP]]&gt;200000000000,"Large Cap",
IF(Table1[[#This Row],[MARKET_CAP]]&gt;50000000000,"Mid Cap","Small Cap"))</f>
        <v>Small Cap</v>
      </c>
      <c r="P1750" t="str">
        <f>IF(Table1[[#This Row],[NET_TRDQTY]]&gt;1000000,"High Volume","Low Volume")</f>
        <v>Low Volume</v>
      </c>
    </row>
    <row r="1751" spans="1:16" x14ac:dyDescent="0.3">
      <c r="A1751" t="s">
        <v>3505</v>
      </c>
      <c r="B1751" t="s">
        <v>3506</v>
      </c>
      <c r="C1751">
        <v>74.7</v>
      </c>
      <c r="D1751">
        <v>78</v>
      </c>
      <c r="E1751">
        <v>65.599999999999994</v>
      </c>
      <c r="F1751">
        <v>71.58</v>
      </c>
      <c r="G1751">
        <v>77.98</v>
      </c>
      <c r="H1751">
        <v>30803</v>
      </c>
      <c r="I1751">
        <v>121</v>
      </c>
      <c r="J1751">
        <v>1970441499</v>
      </c>
      <c r="K1751">
        <v>27527822</v>
      </c>
      <c r="L1751">
        <f>(Table1[[#This Row],[CLOSE_PRICE]] - Table1[[#This Row],[PREV_CL_PR]]) / Table1[[#This Row],[PREV_CL_PR]] * 100</f>
        <v>-8.207232623749686</v>
      </c>
      <c r="M1751">
        <f>Table1[[#This Row],[HIGH_PRICE]]-Table1[[#This Row],[LOW_PRICE]]</f>
        <v>12.400000000000006</v>
      </c>
      <c r="N1751" t="str">
        <f>IF(Table1[[#This Row],[CLOSE_PRICE]]&gt;Table1[[#This Row],[OPEN_PRICE]],"Gain","Loss")</f>
        <v>Loss</v>
      </c>
      <c r="O1751" t="str">
        <f>IF(Table1[[#This Row],[MARKET_CAP]]&gt;200000000000,"Large Cap",
IF(Table1[[#This Row],[MARKET_CAP]]&gt;50000000000,"Mid Cap","Small Cap"))</f>
        <v>Small Cap</v>
      </c>
      <c r="P1751" t="str">
        <f>IF(Table1[[#This Row],[NET_TRDQTY]]&gt;1000000,"High Volume","Low Volume")</f>
        <v>Low Volume</v>
      </c>
    </row>
    <row r="1752" spans="1:16" x14ac:dyDescent="0.3">
      <c r="A1752" t="s">
        <v>3507</v>
      </c>
      <c r="B1752" t="s">
        <v>3508</v>
      </c>
      <c r="C1752">
        <v>429</v>
      </c>
      <c r="D1752">
        <v>429.2</v>
      </c>
      <c r="E1752">
        <v>395</v>
      </c>
      <c r="F1752">
        <v>398.65</v>
      </c>
      <c r="G1752">
        <v>429.25</v>
      </c>
      <c r="H1752">
        <v>116956</v>
      </c>
      <c r="I1752">
        <v>4531</v>
      </c>
      <c r="J1752">
        <v>22640449720</v>
      </c>
      <c r="K1752">
        <v>56792800</v>
      </c>
      <c r="L1752">
        <f>(Table1[[#This Row],[CLOSE_PRICE]] - Table1[[#This Row],[PREV_CL_PR]]) / Table1[[#This Row],[PREV_CL_PR]] * 100</f>
        <v>-7.1287128712871333</v>
      </c>
      <c r="M1752">
        <f>Table1[[#This Row],[HIGH_PRICE]]-Table1[[#This Row],[LOW_PRICE]]</f>
        <v>34.199999999999989</v>
      </c>
      <c r="N1752" t="str">
        <f>IF(Table1[[#This Row],[CLOSE_PRICE]]&gt;Table1[[#This Row],[OPEN_PRICE]],"Gain","Loss")</f>
        <v>Loss</v>
      </c>
      <c r="O1752" t="str">
        <f>IF(Table1[[#This Row],[MARKET_CAP]]&gt;200000000000,"Large Cap",
IF(Table1[[#This Row],[MARKET_CAP]]&gt;50000000000,"Mid Cap","Small Cap"))</f>
        <v>Small Cap</v>
      </c>
      <c r="P1752" t="str">
        <f>IF(Table1[[#This Row],[NET_TRDQTY]]&gt;1000000,"High Volume","Low Volume")</f>
        <v>Low Volume</v>
      </c>
    </row>
    <row r="1753" spans="1:16" x14ac:dyDescent="0.3">
      <c r="A1753" t="s">
        <v>3509</v>
      </c>
      <c r="B1753" t="s">
        <v>3510</v>
      </c>
      <c r="C1753">
        <v>271.14999999999998</v>
      </c>
      <c r="D1753">
        <v>273.75</v>
      </c>
      <c r="E1753">
        <v>257.05</v>
      </c>
      <c r="F1753">
        <v>263.75</v>
      </c>
      <c r="G1753">
        <v>273.64999999999998</v>
      </c>
      <c r="H1753">
        <v>184063</v>
      </c>
      <c r="I1753">
        <v>7779</v>
      </c>
      <c r="J1753">
        <v>37188932515</v>
      </c>
      <c r="K1753">
        <v>141000692</v>
      </c>
      <c r="L1753">
        <f>(Table1[[#This Row],[CLOSE_PRICE]] - Table1[[#This Row],[PREV_CL_PR]]) / Table1[[#This Row],[PREV_CL_PR]] * 100</f>
        <v>-3.6177599122967212</v>
      </c>
      <c r="M1753">
        <f>Table1[[#This Row],[HIGH_PRICE]]-Table1[[#This Row],[LOW_PRICE]]</f>
        <v>16.699999999999989</v>
      </c>
      <c r="N1753" t="str">
        <f>IF(Table1[[#This Row],[CLOSE_PRICE]]&gt;Table1[[#This Row],[OPEN_PRICE]],"Gain","Loss")</f>
        <v>Loss</v>
      </c>
      <c r="O1753" t="str">
        <f>IF(Table1[[#This Row],[MARKET_CAP]]&gt;200000000000,"Large Cap",
IF(Table1[[#This Row],[MARKET_CAP]]&gt;50000000000,"Mid Cap","Small Cap"))</f>
        <v>Small Cap</v>
      </c>
      <c r="P1753" t="str">
        <f>IF(Table1[[#This Row],[NET_TRDQTY]]&gt;1000000,"High Volume","Low Volume")</f>
        <v>Low Volume</v>
      </c>
    </row>
    <row r="1754" spans="1:16" x14ac:dyDescent="0.3">
      <c r="A1754" t="s">
        <v>3511</v>
      </c>
      <c r="B1754" t="s">
        <v>3512</v>
      </c>
      <c r="C1754">
        <v>472.5</v>
      </c>
      <c r="D1754">
        <v>481.4</v>
      </c>
      <c r="E1754">
        <v>455.2</v>
      </c>
      <c r="F1754">
        <v>468.9</v>
      </c>
      <c r="G1754">
        <v>475.35</v>
      </c>
      <c r="H1754">
        <v>436369</v>
      </c>
      <c r="I1754">
        <v>5924</v>
      </c>
      <c r="J1754">
        <v>21274034263</v>
      </c>
      <c r="K1754">
        <v>45370088</v>
      </c>
      <c r="L1754">
        <f>(Table1[[#This Row],[CLOSE_PRICE]] - Table1[[#This Row],[PREV_CL_PR]]) / Table1[[#This Row],[PREV_CL_PR]] * 100</f>
        <v>-1.3568949195329851</v>
      </c>
      <c r="M1754">
        <f>Table1[[#This Row],[HIGH_PRICE]]-Table1[[#This Row],[LOW_PRICE]]</f>
        <v>26.199999999999989</v>
      </c>
      <c r="N1754" t="str">
        <f>IF(Table1[[#This Row],[CLOSE_PRICE]]&gt;Table1[[#This Row],[OPEN_PRICE]],"Gain","Loss")</f>
        <v>Loss</v>
      </c>
      <c r="O1754" t="str">
        <f>IF(Table1[[#This Row],[MARKET_CAP]]&gt;200000000000,"Large Cap",
IF(Table1[[#This Row],[MARKET_CAP]]&gt;50000000000,"Mid Cap","Small Cap"))</f>
        <v>Small Cap</v>
      </c>
      <c r="P1754" t="str">
        <f>IF(Table1[[#This Row],[NET_TRDQTY]]&gt;1000000,"High Volume","Low Volume")</f>
        <v>Low Volume</v>
      </c>
    </row>
    <row r="1755" spans="1:16" x14ac:dyDescent="0.3">
      <c r="A1755" t="s">
        <v>3513</v>
      </c>
      <c r="B1755" t="s">
        <v>3514</v>
      </c>
      <c r="C1755">
        <v>1560</v>
      </c>
      <c r="D1755">
        <v>1561.7</v>
      </c>
      <c r="E1755">
        <v>1503</v>
      </c>
      <c r="F1755">
        <v>1518.6</v>
      </c>
      <c r="G1755">
        <v>1583.8</v>
      </c>
      <c r="H1755">
        <v>103596</v>
      </c>
      <c r="I1755">
        <v>16539</v>
      </c>
      <c r="J1755">
        <v>48518364914</v>
      </c>
      <c r="K1755">
        <v>31949404</v>
      </c>
      <c r="L1755">
        <f>(Table1[[#This Row],[CLOSE_PRICE]] - Table1[[#This Row],[PREV_CL_PR]]) / Table1[[#This Row],[PREV_CL_PR]] * 100</f>
        <v>-4.1166813991665645</v>
      </c>
      <c r="M1755">
        <f>Table1[[#This Row],[HIGH_PRICE]]-Table1[[#This Row],[LOW_PRICE]]</f>
        <v>58.700000000000045</v>
      </c>
      <c r="N1755" t="str">
        <f>IF(Table1[[#This Row],[CLOSE_PRICE]]&gt;Table1[[#This Row],[OPEN_PRICE]],"Gain","Loss")</f>
        <v>Loss</v>
      </c>
      <c r="O1755" t="str">
        <f>IF(Table1[[#This Row],[MARKET_CAP]]&gt;200000000000,"Large Cap",
IF(Table1[[#This Row],[MARKET_CAP]]&gt;50000000000,"Mid Cap","Small Cap"))</f>
        <v>Small Cap</v>
      </c>
      <c r="P1755" t="str">
        <f>IF(Table1[[#This Row],[NET_TRDQTY]]&gt;1000000,"High Volume","Low Volume")</f>
        <v>Low Volume</v>
      </c>
    </row>
    <row r="1756" spans="1:16" x14ac:dyDescent="0.3">
      <c r="A1756" t="s">
        <v>3515</v>
      </c>
      <c r="B1756" t="s">
        <v>3516</v>
      </c>
      <c r="C1756">
        <v>69.989999999999995</v>
      </c>
      <c r="D1756">
        <v>69.989999999999995</v>
      </c>
      <c r="E1756">
        <v>66.010000000000005</v>
      </c>
      <c r="F1756">
        <v>66.52</v>
      </c>
      <c r="G1756">
        <v>70.08</v>
      </c>
      <c r="H1756">
        <v>6771812</v>
      </c>
      <c r="I1756">
        <v>41634</v>
      </c>
      <c r="J1756">
        <v>261000000000</v>
      </c>
      <c r="K1756">
        <v>3929795175</v>
      </c>
      <c r="L1756">
        <f>(Table1[[#This Row],[CLOSE_PRICE]] - Table1[[#This Row],[PREV_CL_PR]]) / Table1[[#This Row],[PREV_CL_PR]] * 100</f>
        <v>-5.0799086757990901</v>
      </c>
      <c r="M1756">
        <f>Table1[[#This Row],[HIGH_PRICE]]-Table1[[#This Row],[LOW_PRICE]]</f>
        <v>3.9799999999999898</v>
      </c>
      <c r="N1756" t="str">
        <f>IF(Table1[[#This Row],[CLOSE_PRICE]]&gt;Table1[[#This Row],[OPEN_PRICE]],"Gain","Loss")</f>
        <v>Loss</v>
      </c>
      <c r="O1756" t="str">
        <f>IF(Table1[[#This Row],[MARKET_CAP]]&gt;200000000000,"Large Cap",
IF(Table1[[#This Row],[MARKET_CAP]]&gt;50000000000,"Mid Cap","Small Cap"))</f>
        <v>Large Cap</v>
      </c>
      <c r="P1756" t="str">
        <f>IF(Table1[[#This Row],[NET_TRDQTY]]&gt;1000000,"High Volume","Low Volume")</f>
        <v>High Volume</v>
      </c>
    </row>
    <row r="1757" spans="1:16" x14ac:dyDescent="0.3">
      <c r="A1757" t="s">
        <v>3517</v>
      </c>
      <c r="B1757" t="s">
        <v>3518</v>
      </c>
      <c r="C1757">
        <v>1537.4</v>
      </c>
      <c r="D1757">
        <v>1537.5</v>
      </c>
      <c r="E1757">
        <v>1455</v>
      </c>
      <c r="F1757">
        <v>1464.2</v>
      </c>
      <c r="G1757">
        <v>1537.4</v>
      </c>
      <c r="H1757">
        <v>48565</v>
      </c>
      <c r="I1757">
        <v>6099</v>
      </c>
      <c r="J1757">
        <v>72387065425</v>
      </c>
      <c r="K1757">
        <v>49437963</v>
      </c>
      <c r="L1757">
        <f>(Table1[[#This Row],[CLOSE_PRICE]] - Table1[[#This Row],[PREV_CL_PR]]) / Table1[[#This Row],[PREV_CL_PR]] * 100</f>
        <v>-4.7612852868479276</v>
      </c>
      <c r="M1757">
        <f>Table1[[#This Row],[HIGH_PRICE]]-Table1[[#This Row],[LOW_PRICE]]</f>
        <v>82.5</v>
      </c>
      <c r="N1757" t="str">
        <f>IF(Table1[[#This Row],[CLOSE_PRICE]]&gt;Table1[[#This Row],[OPEN_PRICE]],"Gain","Loss")</f>
        <v>Loss</v>
      </c>
      <c r="O1757" t="str">
        <f>IF(Table1[[#This Row],[MARKET_CAP]]&gt;200000000000,"Large Cap",
IF(Table1[[#This Row],[MARKET_CAP]]&gt;50000000000,"Mid Cap","Small Cap"))</f>
        <v>Mid Cap</v>
      </c>
      <c r="P1757" t="str">
        <f>IF(Table1[[#This Row],[NET_TRDQTY]]&gt;1000000,"High Volume","Low Volume")</f>
        <v>Low Volume</v>
      </c>
    </row>
    <row r="1758" spans="1:16" x14ac:dyDescent="0.3">
      <c r="A1758" t="s">
        <v>3519</v>
      </c>
      <c r="B1758" t="s">
        <v>3520</v>
      </c>
      <c r="C1758">
        <v>2178.9</v>
      </c>
      <c r="D1758">
        <v>2195</v>
      </c>
      <c r="E1758">
        <v>2097</v>
      </c>
      <c r="F1758">
        <v>2119.9</v>
      </c>
      <c r="G1758">
        <v>2178.9</v>
      </c>
      <c r="H1758">
        <v>19185</v>
      </c>
      <c r="I1758">
        <v>3651</v>
      </c>
      <c r="J1758">
        <v>105000000000</v>
      </c>
      <c r="K1758">
        <v>49437963</v>
      </c>
      <c r="L1758">
        <f>(Table1[[#This Row],[CLOSE_PRICE]] - Table1[[#This Row],[PREV_CL_PR]]) / Table1[[#This Row],[PREV_CL_PR]] * 100</f>
        <v>-2.7077883335628066</v>
      </c>
      <c r="M1758">
        <f>Table1[[#This Row],[HIGH_PRICE]]-Table1[[#This Row],[LOW_PRICE]]</f>
        <v>98</v>
      </c>
      <c r="N1758" t="str">
        <f>IF(Table1[[#This Row],[CLOSE_PRICE]]&gt;Table1[[#This Row],[OPEN_PRICE]],"Gain","Loss")</f>
        <v>Loss</v>
      </c>
      <c r="O1758" t="str">
        <f>IF(Table1[[#This Row],[MARKET_CAP]]&gt;200000000000,"Large Cap",
IF(Table1[[#This Row],[MARKET_CAP]]&gt;50000000000,"Mid Cap","Small Cap"))</f>
        <v>Mid Cap</v>
      </c>
      <c r="P1758" t="str">
        <f>IF(Table1[[#This Row],[NET_TRDQTY]]&gt;1000000,"High Volume","Low Volume")</f>
        <v>Low Volume</v>
      </c>
    </row>
    <row r="1759" spans="1:16" x14ac:dyDescent="0.3">
      <c r="A1759" t="s">
        <v>3521</v>
      </c>
      <c r="B1759" t="s">
        <v>3522</v>
      </c>
      <c r="C1759">
        <v>354.25</v>
      </c>
      <c r="D1759">
        <v>354.25</v>
      </c>
      <c r="E1759">
        <v>328.45</v>
      </c>
      <c r="F1759">
        <v>333.05</v>
      </c>
      <c r="G1759">
        <v>350.15</v>
      </c>
      <c r="H1759">
        <v>384817</v>
      </c>
      <c r="I1759">
        <v>10646</v>
      </c>
      <c r="J1759">
        <v>37602667209</v>
      </c>
      <c r="K1759">
        <v>112903970</v>
      </c>
      <c r="L1759">
        <f>(Table1[[#This Row],[CLOSE_PRICE]] - Table1[[#This Row],[PREV_CL_PR]]) / Table1[[#This Row],[PREV_CL_PR]] * 100</f>
        <v>-4.8836213051549242</v>
      </c>
      <c r="M1759">
        <f>Table1[[#This Row],[HIGH_PRICE]]-Table1[[#This Row],[LOW_PRICE]]</f>
        <v>25.800000000000011</v>
      </c>
      <c r="N1759" t="str">
        <f>IF(Table1[[#This Row],[CLOSE_PRICE]]&gt;Table1[[#This Row],[OPEN_PRICE]],"Gain","Loss")</f>
        <v>Loss</v>
      </c>
      <c r="O1759" t="str">
        <f>IF(Table1[[#This Row],[MARKET_CAP]]&gt;200000000000,"Large Cap",
IF(Table1[[#This Row],[MARKET_CAP]]&gt;50000000000,"Mid Cap","Small Cap"))</f>
        <v>Small Cap</v>
      </c>
      <c r="P1759" t="str">
        <f>IF(Table1[[#This Row],[NET_TRDQTY]]&gt;1000000,"High Volume","Low Volume")</f>
        <v>Low Volume</v>
      </c>
    </row>
    <row r="1760" spans="1:16" x14ac:dyDescent="0.3">
      <c r="A1760" t="s">
        <v>3523</v>
      </c>
      <c r="B1760" t="s">
        <v>3524</v>
      </c>
      <c r="C1760">
        <v>153.86000000000001</v>
      </c>
      <c r="D1760">
        <v>153.86000000000001</v>
      </c>
      <c r="E1760">
        <v>147.25</v>
      </c>
      <c r="F1760">
        <v>151.5</v>
      </c>
      <c r="G1760">
        <v>154.86000000000001</v>
      </c>
      <c r="H1760">
        <v>103583</v>
      </c>
      <c r="I1760">
        <v>1966</v>
      </c>
      <c r="J1760">
        <v>7977990000</v>
      </c>
      <c r="K1760">
        <v>52660000</v>
      </c>
      <c r="L1760">
        <f>(Table1[[#This Row],[CLOSE_PRICE]] - Table1[[#This Row],[PREV_CL_PR]]) / Table1[[#This Row],[PREV_CL_PR]] * 100</f>
        <v>-2.1697016660209307</v>
      </c>
      <c r="M1760">
        <f>Table1[[#This Row],[HIGH_PRICE]]-Table1[[#This Row],[LOW_PRICE]]</f>
        <v>6.6100000000000136</v>
      </c>
      <c r="N1760" t="str">
        <f>IF(Table1[[#This Row],[CLOSE_PRICE]]&gt;Table1[[#This Row],[OPEN_PRICE]],"Gain","Loss")</f>
        <v>Loss</v>
      </c>
      <c r="O1760" t="str">
        <f>IF(Table1[[#This Row],[MARKET_CAP]]&gt;200000000000,"Large Cap",
IF(Table1[[#This Row],[MARKET_CAP]]&gt;50000000000,"Mid Cap","Small Cap"))</f>
        <v>Small Cap</v>
      </c>
      <c r="P1760" t="str">
        <f>IF(Table1[[#This Row],[NET_TRDQTY]]&gt;1000000,"High Volume","Low Volume")</f>
        <v>Low Volume</v>
      </c>
    </row>
    <row r="1761" spans="1:16" x14ac:dyDescent="0.3">
      <c r="A1761" t="s">
        <v>3525</v>
      </c>
      <c r="B1761" t="s">
        <v>3526</v>
      </c>
      <c r="C1761">
        <v>345</v>
      </c>
      <c r="D1761">
        <v>345</v>
      </c>
      <c r="E1761">
        <v>320.55</v>
      </c>
      <c r="F1761">
        <v>323.89999999999998</v>
      </c>
      <c r="G1761">
        <v>346.65</v>
      </c>
      <c r="H1761">
        <v>825790</v>
      </c>
      <c r="I1761">
        <v>17544</v>
      </c>
      <c r="J1761">
        <v>50160412028</v>
      </c>
      <c r="K1761">
        <v>154863884</v>
      </c>
      <c r="L1761">
        <f>(Table1[[#This Row],[CLOSE_PRICE]] - Table1[[#This Row],[PREV_CL_PR]]) / Table1[[#This Row],[PREV_CL_PR]] * 100</f>
        <v>-6.5628155199769225</v>
      </c>
      <c r="M1761">
        <f>Table1[[#This Row],[HIGH_PRICE]]-Table1[[#This Row],[LOW_PRICE]]</f>
        <v>24.449999999999989</v>
      </c>
      <c r="N1761" t="str">
        <f>IF(Table1[[#This Row],[CLOSE_PRICE]]&gt;Table1[[#This Row],[OPEN_PRICE]],"Gain","Loss")</f>
        <v>Loss</v>
      </c>
      <c r="O1761" t="str">
        <f>IF(Table1[[#This Row],[MARKET_CAP]]&gt;200000000000,"Large Cap",
IF(Table1[[#This Row],[MARKET_CAP]]&gt;50000000000,"Mid Cap","Small Cap"))</f>
        <v>Mid Cap</v>
      </c>
      <c r="P1761" t="str">
        <f>IF(Table1[[#This Row],[NET_TRDQTY]]&gt;1000000,"High Volume","Low Volume")</f>
        <v>Low Volume</v>
      </c>
    </row>
    <row r="1762" spans="1:16" x14ac:dyDescent="0.3">
      <c r="A1762" t="s">
        <v>3527</v>
      </c>
      <c r="B1762" t="s">
        <v>3528</v>
      </c>
      <c r="C1762">
        <v>119.49</v>
      </c>
      <c r="D1762">
        <v>119.49</v>
      </c>
      <c r="E1762">
        <v>112</v>
      </c>
      <c r="F1762">
        <v>114.62</v>
      </c>
      <c r="G1762">
        <v>119.98</v>
      </c>
      <c r="H1762">
        <v>7522</v>
      </c>
      <c r="I1762">
        <v>67</v>
      </c>
      <c r="J1762">
        <v>1143334500</v>
      </c>
      <c r="K1762">
        <v>9975000</v>
      </c>
      <c r="L1762">
        <f>(Table1[[#This Row],[CLOSE_PRICE]] - Table1[[#This Row],[PREV_CL_PR]]) / Table1[[#This Row],[PREV_CL_PR]] * 100</f>
        <v>-4.4674112352058666</v>
      </c>
      <c r="M1762">
        <f>Table1[[#This Row],[HIGH_PRICE]]-Table1[[#This Row],[LOW_PRICE]]</f>
        <v>7.4899999999999949</v>
      </c>
      <c r="N1762" t="str">
        <f>IF(Table1[[#This Row],[CLOSE_PRICE]]&gt;Table1[[#This Row],[OPEN_PRICE]],"Gain","Loss")</f>
        <v>Loss</v>
      </c>
      <c r="O1762" t="str">
        <f>IF(Table1[[#This Row],[MARKET_CAP]]&gt;200000000000,"Large Cap",
IF(Table1[[#This Row],[MARKET_CAP]]&gt;50000000000,"Mid Cap","Small Cap"))</f>
        <v>Small Cap</v>
      </c>
      <c r="P1762" t="str">
        <f>IF(Table1[[#This Row],[NET_TRDQTY]]&gt;1000000,"High Volume","Low Volume")</f>
        <v>Low Volume</v>
      </c>
    </row>
    <row r="1763" spans="1:16" x14ac:dyDescent="0.3">
      <c r="A1763" t="s">
        <v>3529</v>
      </c>
      <c r="B1763" t="s">
        <v>3530</v>
      </c>
      <c r="C1763">
        <v>387</v>
      </c>
      <c r="D1763">
        <v>394.45</v>
      </c>
      <c r="E1763">
        <v>371</v>
      </c>
      <c r="F1763">
        <v>374.05</v>
      </c>
      <c r="G1763">
        <v>393.45</v>
      </c>
      <c r="H1763">
        <v>57213</v>
      </c>
      <c r="I1763">
        <v>2099</v>
      </c>
      <c r="J1763">
        <v>42736868045</v>
      </c>
      <c r="K1763">
        <v>114254426</v>
      </c>
      <c r="L1763">
        <f>(Table1[[#This Row],[CLOSE_PRICE]] - Table1[[#This Row],[PREV_CL_PR]]) / Table1[[#This Row],[PREV_CL_PR]] * 100</f>
        <v>-4.9307408819417908</v>
      </c>
      <c r="M1763">
        <f>Table1[[#This Row],[HIGH_PRICE]]-Table1[[#This Row],[LOW_PRICE]]</f>
        <v>23.449999999999989</v>
      </c>
      <c r="N1763" t="str">
        <f>IF(Table1[[#This Row],[CLOSE_PRICE]]&gt;Table1[[#This Row],[OPEN_PRICE]],"Gain","Loss")</f>
        <v>Loss</v>
      </c>
      <c r="O1763" t="str">
        <f>IF(Table1[[#This Row],[MARKET_CAP]]&gt;200000000000,"Large Cap",
IF(Table1[[#This Row],[MARKET_CAP]]&gt;50000000000,"Mid Cap","Small Cap"))</f>
        <v>Small Cap</v>
      </c>
      <c r="P1763" t="str">
        <f>IF(Table1[[#This Row],[NET_TRDQTY]]&gt;1000000,"High Volume","Low Volume")</f>
        <v>Low Volume</v>
      </c>
    </row>
    <row r="1764" spans="1:16" x14ac:dyDescent="0.3">
      <c r="A1764" t="s">
        <v>3531</v>
      </c>
      <c r="B1764" t="s">
        <v>3532</v>
      </c>
      <c r="C1764">
        <v>64.25</v>
      </c>
      <c r="D1764">
        <v>64.25</v>
      </c>
      <c r="E1764">
        <v>61.02</v>
      </c>
      <c r="F1764">
        <v>61.49</v>
      </c>
      <c r="G1764">
        <v>64.8</v>
      </c>
      <c r="H1764">
        <v>542334</v>
      </c>
      <c r="I1764">
        <v>4542</v>
      </c>
      <c r="J1764">
        <v>12876006000</v>
      </c>
      <c r="K1764">
        <v>209400000</v>
      </c>
      <c r="L1764">
        <f>(Table1[[#This Row],[CLOSE_PRICE]] - Table1[[#This Row],[PREV_CL_PR]]) / Table1[[#This Row],[PREV_CL_PR]] * 100</f>
        <v>-5.1080246913580174</v>
      </c>
      <c r="M1764">
        <f>Table1[[#This Row],[HIGH_PRICE]]-Table1[[#This Row],[LOW_PRICE]]</f>
        <v>3.2299999999999969</v>
      </c>
      <c r="N1764" t="str">
        <f>IF(Table1[[#This Row],[CLOSE_PRICE]]&gt;Table1[[#This Row],[OPEN_PRICE]],"Gain","Loss")</f>
        <v>Loss</v>
      </c>
      <c r="O1764" t="str">
        <f>IF(Table1[[#This Row],[MARKET_CAP]]&gt;200000000000,"Large Cap",
IF(Table1[[#This Row],[MARKET_CAP]]&gt;50000000000,"Mid Cap","Small Cap"))</f>
        <v>Small Cap</v>
      </c>
      <c r="P1764" t="str">
        <f>IF(Table1[[#This Row],[NET_TRDQTY]]&gt;1000000,"High Volume","Low Volume")</f>
        <v>Low Volume</v>
      </c>
    </row>
    <row r="1765" spans="1:16" x14ac:dyDescent="0.3">
      <c r="A1765" t="s">
        <v>3533</v>
      </c>
      <c r="B1765" t="s">
        <v>3534</v>
      </c>
      <c r="C1765">
        <v>4001</v>
      </c>
      <c r="D1765">
        <v>4001</v>
      </c>
      <c r="E1765">
        <v>3847.8</v>
      </c>
      <c r="F1765">
        <v>3847.8</v>
      </c>
      <c r="G1765">
        <v>4050.3</v>
      </c>
      <c r="H1765">
        <v>52595</v>
      </c>
      <c r="I1765">
        <v>3840</v>
      </c>
      <c r="J1765">
        <v>55683999479</v>
      </c>
      <c r="K1765">
        <v>14471646</v>
      </c>
      <c r="L1765">
        <f>(Table1[[#This Row],[CLOSE_PRICE]] - Table1[[#This Row],[PREV_CL_PR]]) / Table1[[#This Row],[PREV_CL_PR]] * 100</f>
        <v>-4.9996296570624397</v>
      </c>
      <c r="M1765">
        <f>Table1[[#This Row],[HIGH_PRICE]]-Table1[[#This Row],[LOW_PRICE]]</f>
        <v>153.19999999999982</v>
      </c>
      <c r="N1765" t="str">
        <f>IF(Table1[[#This Row],[CLOSE_PRICE]]&gt;Table1[[#This Row],[OPEN_PRICE]],"Gain","Loss")</f>
        <v>Loss</v>
      </c>
      <c r="O1765" t="str">
        <f>IF(Table1[[#This Row],[MARKET_CAP]]&gt;200000000000,"Large Cap",
IF(Table1[[#This Row],[MARKET_CAP]]&gt;50000000000,"Mid Cap","Small Cap"))</f>
        <v>Mid Cap</v>
      </c>
      <c r="P1765" t="str">
        <f>IF(Table1[[#This Row],[NET_TRDQTY]]&gt;1000000,"High Volume","Low Volume")</f>
        <v>Low Volume</v>
      </c>
    </row>
    <row r="1766" spans="1:16" x14ac:dyDescent="0.3">
      <c r="A1766" t="s">
        <v>3535</v>
      </c>
      <c r="B1766" t="s">
        <v>3536</v>
      </c>
      <c r="C1766">
        <v>66.12</v>
      </c>
      <c r="D1766">
        <v>67.84</v>
      </c>
      <c r="E1766">
        <v>63.11</v>
      </c>
      <c r="F1766">
        <v>63.58</v>
      </c>
      <c r="G1766">
        <v>66.06</v>
      </c>
      <c r="H1766">
        <v>12397</v>
      </c>
      <c r="I1766">
        <v>214</v>
      </c>
      <c r="J1766">
        <v>870394305</v>
      </c>
      <c r="K1766">
        <v>13689750</v>
      </c>
      <c r="L1766">
        <f>(Table1[[#This Row],[CLOSE_PRICE]] - Table1[[#This Row],[PREV_CL_PR]]) / Table1[[#This Row],[PREV_CL_PR]] * 100</f>
        <v>-3.7541628822282833</v>
      </c>
      <c r="M1766">
        <f>Table1[[#This Row],[HIGH_PRICE]]-Table1[[#This Row],[LOW_PRICE]]</f>
        <v>4.730000000000004</v>
      </c>
      <c r="N1766" t="str">
        <f>IF(Table1[[#This Row],[CLOSE_PRICE]]&gt;Table1[[#This Row],[OPEN_PRICE]],"Gain","Loss")</f>
        <v>Loss</v>
      </c>
      <c r="O1766" t="str">
        <f>IF(Table1[[#This Row],[MARKET_CAP]]&gt;200000000000,"Large Cap",
IF(Table1[[#This Row],[MARKET_CAP]]&gt;50000000000,"Mid Cap","Small Cap"))</f>
        <v>Small Cap</v>
      </c>
      <c r="P1766" t="str">
        <f>IF(Table1[[#This Row],[NET_TRDQTY]]&gt;1000000,"High Volume","Low Volume")</f>
        <v>Low Volume</v>
      </c>
    </row>
    <row r="1767" spans="1:16" x14ac:dyDescent="0.3">
      <c r="A1767" t="s">
        <v>3537</v>
      </c>
      <c r="B1767" t="s">
        <v>3538</v>
      </c>
      <c r="C1767">
        <v>376.4</v>
      </c>
      <c r="D1767">
        <v>384.95</v>
      </c>
      <c r="E1767">
        <v>365.2</v>
      </c>
      <c r="F1767">
        <v>368.75</v>
      </c>
      <c r="G1767">
        <v>385.05</v>
      </c>
      <c r="H1767">
        <v>278264</v>
      </c>
      <c r="I1767">
        <v>8915</v>
      </c>
      <c r="J1767">
        <v>34534186063</v>
      </c>
      <c r="K1767">
        <v>93652030</v>
      </c>
      <c r="L1767">
        <f>(Table1[[#This Row],[CLOSE_PRICE]] - Table1[[#This Row],[PREV_CL_PR]]) / Table1[[#This Row],[PREV_CL_PR]] * 100</f>
        <v>-4.2332164653941078</v>
      </c>
      <c r="M1767">
        <f>Table1[[#This Row],[HIGH_PRICE]]-Table1[[#This Row],[LOW_PRICE]]</f>
        <v>19.75</v>
      </c>
      <c r="N1767" t="str">
        <f>IF(Table1[[#This Row],[CLOSE_PRICE]]&gt;Table1[[#This Row],[OPEN_PRICE]],"Gain","Loss")</f>
        <v>Loss</v>
      </c>
      <c r="O1767" t="str">
        <f>IF(Table1[[#This Row],[MARKET_CAP]]&gt;200000000000,"Large Cap",
IF(Table1[[#This Row],[MARKET_CAP]]&gt;50000000000,"Mid Cap","Small Cap"))</f>
        <v>Small Cap</v>
      </c>
      <c r="P1767" t="str">
        <f>IF(Table1[[#This Row],[NET_TRDQTY]]&gt;1000000,"High Volume","Low Volume")</f>
        <v>Low Volume</v>
      </c>
    </row>
    <row r="1768" spans="1:16" x14ac:dyDescent="0.3">
      <c r="A1768" t="s">
        <v>3539</v>
      </c>
      <c r="B1768" t="s">
        <v>3540</v>
      </c>
      <c r="C1768">
        <v>33.9</v>
      </c>
      <c r="D1768">
        <v>34</v>
      </c>
      <c r="E1768">
        <v>31.6</v>
      </c>
      <c r="F1768">
        <v>31.81</v>
      </c>
      <c r="G1768">
        <v>34.18</v>
      </c>
      <c r="H1768">
        <v>935906</v>
      </c>
      <c r="I1768">
        <v>3987</v>
      </c>
      <c r="J1768">
        <v>5315069121</v>
      </c>
      <c r="K1768">
        <v>167087995</v>
      </c>
      <c r="L1768">
        <f>(Table1[[#This Row],[CLOSE_PRICE]] - Table1[[#This Row],[PREV_CL_PR]]) / Table1[[#This Row],[PREV_CL_PR]] * 100</f>
        <v>-6.933879461673496</v>
      </c>
      <c r="M1768">
        <f>Table1[[#This Row],[HIGH_PRICE]]-Table1[[#This Row],[LOW_PRICE]]</f>
        <v>2.3999999999999986</v>
      </c>
      <c r="N1768" t="str">
        <f>IF(Table1[[#This Row],[CLOSE_PRICE]]&gt;Table1[[#This Row],[OPEN_PRICE]],"Gain","Loss")</f>
        <v>Loss</v>
      </c>
      <c r="O1768" t="str">
        <f>IF(Table1[[#This Row],[MARKET_CAP]]&gt;200000000000,"Large Cap",
IF(Table1[[#This Row],[MARKET_CAP]]&gt;50000000000,"Mid Cap","Small Cap"))</f>
        <v>Small Cap</v>
      </c>
      <c r="P1768" t="str">
        <f>IF(Table1[[#This Row],[NET_TRDQTY]]&gt;1000000,"High Volume","Low Volume")</f>
        <v>Low Volume</v>
      </c>
    </row>
    <row r="1769" spans="1:16" x14ac:dyDescent="0.3">
      <c r="A1769" t="s">
        <v>3541</v>
      </c>
      <c r="B1769" t="s">
        <v>3542</v>
      </c>
      <c r="C1769">
        <v>1250</v>
      </c>
      <c r="D1769">
        <v>1252</v>
      </c>
      <c r="E1769">
        <v>1188.0999999999999</v>
      </c>
      <c r="F1769">
        <v>1199.7</v>
      </c>
      <c r="G1769">
        <v>1267.2</v>
      </c>
      <c r="H1769">
        <v>110889</v>
      </c>
      <c r="I1769">
        <v>14189</v>
      </c>
      <c r="J1769">
        <v>128000000000</v>
      </c>
      <c r="K1769">
        <v>106932806</v>
      </c>
      <c r="L1769">
        <f>(Table1[[#This Row],[CLOSE_PRICE]] - Table1[[#This Row],[PREV_CL_PR]]) / Table1[[#This Row],[PREV_CL_PR]] * 100</f>
        <v>-5.3267045454545459</v>
      </c>
      <c r="M1769">
        <f>Table1[[#This Row],[HIGH_PRICE]]-Table1[[#This Row],[LOW_PRICE]]</f>
        <v>63.900000000000091</v>
      </c>
      <c r="N1769" t="str">
        <f>IF(Table1[[#This Row],[CLOSE_PRICE]]&gt;Table1[[#This Row],[OPEN_PRICE]],"Gain","Loss")</f>
        <v>Loss</v>
      </c>
      <c r="O1769" t="str">
        <f>IF(Table1[[#This Row],[MARKET_CAP]]&gt;200000000000,"Large Cap",
IF(Table1[[#This Row],[MARKET_CAP]]&gt;50000000000,"Mid Cap","Small Cap"))</f>
        <v>Mid Cap</v>
      </c>
      <c r="P1769" t="str">
        <f>IF(Table1[[#This Row],[NET_TRDQTY]]&gt;1000000,"High Volume","Low Volume")</f>
        <v>Low Volume</v>
      </c>
    </row>
    <row r="1770" spans="1:16" x14ac:dyDescent="0.3">
      <c r="A1770" t="s">
        <v>3543</v>
      </c>
      <c r="B1770" t="s">
        <v>3544</v>
      </c>
      <c r="C1770">
        <v>255</v>
      </c>
      <c r="D1770">
        <v>261.75</v>
      </c>
      <c r="E1770">
        <v>250.4</v>
      </c>
      <c r="F1770">
        <v>256.55</v>
      </c>
      <c r="G1770">
        <v>265.75</v>
      </c>
      <c r="H1770">
        <v>2680</v>
      </c>
      <c r="I1770">
        <v>72</v>
      </c>
      <c r="J1770">
        <v>3551200504</v>
      </c>
      <c r="K1770">
        <v>13842138</v>
      </c>
      <c r="L1770">
        <f>(Table1[[#This Row],[CLOSE_PRICE]] - Table1[[#This Row],[PREV_CL_PR]]) / Table1[[#This Row],[PREV_CL_PR]] * 100</f>
        <v>-3.4619002822201277</v>
      </c>
      <c r="M1770">
        <f>Table1[[#This Row],[HIGH_PRICE]]-Table1[[#This Row],[LOW_PRICE]]</f>
        <v>11.349999999999994</v>
      </c>
      <c r="N1770" t="str">
        <f>IF(Table1[[#This Row],[CLOSE_PRICE]]&gt;Table1[[#This Row],[OPEN_PRICE]],"Gain","Loss")</f>
        <v>Gain</v>
      </c>
      <c r="O1770" t="str">
        <f>IF(Table1[[#This Row],[MARKET_CAP]]&gt;200000000000,"Large Cap",
IF(Table1[[#This Row],[MARKET_CAP]]&gt;50000000000,"Mid Cap","Small Cap"))</f>
        <v>Small Cap</v>
      </c>
      <c r="P1770" t="str">
        <f>IF(Table1[[#This Row],[NET_TRDQTY]]&gt;1000000,"High Volume","Low Volume")</f>
        <v>Low Volume</v>
      </c>
    </row>
    <row r="1771" spans="1:16" x14ac:dyDescent="0.3">
      <c r="A1771" t="s">
        <v>3545</v>
      </c>
      <c r="B1771" t="s">
        <v>3546</v>
      </c>
      <c r="C1771">
        <v>445</v>
      </c>
      <c r="D1771">
        <v>448.4</v>
      </c>
      <c r="E1771">
        <v>431.35</v>
      </c>
      <c r="F1771">
        <v>434.3</v>
      </c>
      <c r="G1771">
        <v>450.2</v>
      </c>
      <c r="H1771">
        <v>118707</v>
      </c>
      <c r="I1771">
        <v>3737</v>
      </c>
      <c r="J1771">
        <v>15709198630</v>
      </c>
      <c r="K1771">
        <v>36171307</v>
      </c>
      <c r="L1771">
        <f>(Table1[[#This Row],[CLOSE_PRICE]] - Table1[[#This Row],[PREV_CL_PR]]) / Table1[[#This Row],[PREV_CL_PR]] * 100</f>
        <v>-3.5317636605952858</v>
      </c>
      <c r="M1771">
        <f>Table1[[#This Row],[HIGH_PRICE]]-Table1[[#This Row],[LOW_PRICE]]</f>
        <v>17.049999999999955</v>
      </c>
      <c r="N1771" t="str">
        <f>IF(Table1[[#This Row],[CLOSE_PRICE]]&gt;Table1[[#This Row],[OPEN_PRICE]],"Gain","Loss")</f>
        <v>Loss</v>
      </c>
      <c r="O1771" t="str">
        <f>IF(Table1[[#This Row],[MARKET_CAP]]&gt;200000000000,"Large Cap",
IF(Table1[[#This Row],[MARKET_CAP]]&gt;50000000000,"Mid Cap","Small Cap"))</f>
        <v>Small Cap</v>
      </c>
      <c r="P1771" t="str">
        <f>IF(Table1[[#This Row],[NET_TRDQTY]]&gt;1000000,"High Volume","Low Volume")</f>
        <v>Low Volume</v>
      </c>
    </row>
    <row r="1772" spans="1:16" x14ac:dyDescent="0.3">
      <c r="A1772" t="s">
        <v>3547</v>
      </c>
      <c r="B1772" t="s">
        <v>3548</v>
      </c>
      <c r="C1772">
        <v>159</v>
      </c>
      <c r="D1772">
        <v>159</v>
      </c>
      <c r="E1772">
        <v>145.13999999999999</v>
      </c>
      <c r="F1772">
        <v>147.06</v>
      </c>
      <c r="G1772">
        <v>159.69999999999999</v>
      </c>
      <c r="H1772">
        <v>271624</v>
      </c>
      <c r="I1772">
        <v>4813</v>
      </c>
      <c r="J1772">
        <v>12746080497</v>
      </c>
      <c r="K1772">
        <v>86672654</v>
      </c>
      <c r="L1772">
        <f>(Table1[[#This Row],[CLOSE_PRICE]] - Table1[[#This Row],[PREV_CL_PR]]) / Table1[[#This Row],[PREV_CL_PR]] * 100</f>
        <v>-7.9148403256105118</v>
      </c>
      <c r="M1772">
        <f>Table1[[#This Row],[HIGH_PRICE]]-Table1[[#This Row],[LOW_PRICE]]</f>
        <v>13.860000000000014</v>
      </c>
      <c r="N1772" t="str">
        <f>IF(Table1[[#This Row],[CLOSE_PRICE]]&gt;Table1[[#This Row],[OPEN_PRICE]],"Gain","Loss")</f>
        <v>Loss</v>
      </c>
      <c r="O1772" t="str">
        <f>IF(Table1[[#This Row],[MARKET_CAP]]&gt;200000000000,"Large Cap",
IF(Table1[[#This Row],[MARKET_CAP]]&gt;50000000000,"Mid Cap","Small Cap"))</f>
        <v>Small Cap</v>
      </c>
      <c r="P1772" t="str">
        <f>IF(Table1[[#This Row],[NET_TRDQTY]]&gt;1000000,"High Volume","Low Volume")</f>
        <v>Low Volume</v>
      </c>
    </row>
    <row r="1773" spans="1:16" x14ac:dyDescent="0.3">
      <c r="A1773" t="s">
        <v>3549</v>
      </c>
      <c r="B1773" t="s">
        <v>3550</v>
      </c>
      <c r="C1773">
        <v>1000</v>
      </c>
      <c r="D1773">
        <v>1053</v>
      </c>
      <c r="E1773">
        <v>960</v>
      </c>
      <c r="F1773">
        <v>974.3</v>
      </c>
      <c r="G1773">
        <v>1009.75</v>
      </c>
      <c r="H1773">
        <v>62612</v>
      </c>
      <c r="I1773">
        <v>5578</v>
      </c>
      <c r="J1773">
        <v>10524865033</v>
      </c>
      <c r="K1773">
        <v>10802489</v>
      </c>
      <c r="L1773">
        <f>(Table1[[#This Row],[CLOSE_PRICE]] - Table1[[#This Row],[PREV_CL_PR]]) / Table1[[#This Row],[PREV_CL_PR]] * 100</f>
        <v>-3.5107699925724232</v>
      </c>
      <c r="M1773">
        <f>Table1[[#This Row],[HIGH_PRICE]]-Table1[[#This Row],[LOW_PRICE]]</f>
        <v>93</v>
      </c>
      <c r="N1773" t="str">
        <f>IF(Table1[[#This Row],[CLOSE_PRICE]]&gt;Table1[[#This Row],[OPEN_PRICE]],"Gain","Loss")</f>
        <v>Loss</v>
      </c>
      <c r="O1773" t="str">
        <f>IF(Table1[[#This Row],[MARKET_CAP]]&gt;200000000000,"Large Cap",
IF(Table1[[#This Row],[MARKET_CAP]]&gt;50000000000,"Mid Cap","Small Cap"))</f>
        <v>Small Cap</v>
      </c>
      <c r="P1773" t="str">
        <f>IF(Table1[[#This Row],[NET_TRDQTY]]&gt;1000000,"High Volume","Low Volume")</f>
        <v>Low Volume</v>
      </c>
    </row>
    <row r="1774" spans="1:16" x14ac:dyDescent="0.3">
      <c r="A1774" t="s">
        <v>3551</v>
      </c>
      <c r="B1774" t="s">
        <v>3552</v>
      </c>
      <c r="C1774">
        <v>371.7</v>
      </c>
      <c r="D1774">
        <v>376.6</v>
      </c>
      <c r="E1774">
        <v>356</v>
      </c>
      <c r="F1774">
        <v>359.4</v>
      </c>
      <c r="G1774">
        <v>378.3</v>
      </c>
      <c r="H1774">
        <v>69136</v>
      </c>
      <c r="I1774">
        <v>2231</v>
      </c>
      <c r="J1774">
        <v>14740002476</v>
      </c>
      <c r="K1774">
        <v>41012806</v>
      </c>
      <c r="L1774">
        <f>(Table1[[#This Row],[CLOSE_PRICE]] - Table1[[#This Row],[PREV_CL_PR]]) / Table1[[#This Row],[PREV_CL_PR]] * 100</f>
        <v>-4.9960348929421183</v>
      </c>
      <c r="M1774">
        <f>Table1[[#This Row],[HIGH_PRICE]]-Table1[[#This Row],[LOW_PRICE]]</f>
        <v>20.600000000000023</v>
      </c>
      <c r="N1774" t="str">
        <f>IF(Table1[[#This Row],[CLOSE_PRICE]]&gt;Table1[[#This Row],[OPEN_PRICE]],"Gain","Loss")</f>
        <v>Loss</v>
      </c>
      <c r="O1774" t="str">
        <f>IF(Table1[[#This Row],[MARKET_CAP]]&gt;200000000000,"Large Cap",
IF(Table1[[#This Row],[MARKET_CAP]]&gt;50000000000,"Mid Cap","Small Cap"))</f>
        <v>Small Cap</v>
      </c>
      <c r="P1774" t="str">
        <f>IF(Table1[[#This Row],[NET_TRDQTY]]&gt;1000000,"High Volume","Low Volume")</f>
        <v>Low Volume</v>
      </c>
    </row>
    <row r="1775" spans="1:16" x14ac:dyDescent="0.3">
      <c r="A1775" t="s">
        <v>3553</v>
      </c>
      <c r="B1775" t="s">
        <v>3554</v>
      </c>
      <c r="C1775">
        <v>99.25</v>
      </c>
      <c r="D1775">
        <v>99.25</v>
      </c>
      <c r="E1775">
        <v>92</v>
      </c>
      <c r="F1775">
        <v>94.02</v>
      </c>
      <c r="G1775">
        <v>99.99</v>
      </c>
      <c r="H1775">
        <v>21630</v>
      </c>
      <c r="I1775">
        <v>280</v>
      </c>
      <c r="J1775">
        <v>1107523257</v>
      </c>
      <c r="K1775">
        <v>11779656</v>
      </c>
      <c r="L1775">
        <f>(Table1[[#This Row],[CLOSE_PRICE]] - Table1[[#This Row],[PREV_CL_PR]]) / Table1[[#This Row],[PREV_CL_PR]] * 100</f>
        <v>-5.9705970597059697</v>
      </c>
      <c r="M1775">
        <f>Table1[[#This Row],[HIGH_PRICE]]-Table1[[#This Row],[LOW_PRICE]]</f>
        <v>7.25</v>
      </c>
      <c r="N1775" t="str">
        <f>IF(Table1[[#This Row],[CLOSE_PRICE]]&gt;Table1[[#This Row],[OPEN_PRICE]],"Gain","Loss")</f>
        <v>Loss</v>
      </c>
      <c r="O1775" t="str">
        <f>IF(Table1[[#This Row],[MARKET_CAP]]&gt;200000000000,"Large Cap",
IF(Table1[[#This Row],[MARKET_CAP]]&gt;50000000000,"Mid Cap","Small Cap"))</f>
        <v>Small Cap</v>
      </c>
      <c r="P1775" t="str">
        <f>IF(Table1[[#This Row],[NET_TRDQTY]]&gt;1000000,"High Volume","Low Volume")</f>
        <v>Low Volume</v>
      </c>
    </row>
    <row r="1776" spans="1:16" x14ac:dyDescent="0.3">
      <c r="A1776" t="s">
        <v>3555</v>
      </c>
      <c r="B1776" t="s">
        <v>3556</v>
      </c>
      <c r="C1776">
        <v>498.8</v>
      </c>
      <c r="D1776">
        <v>498.8</v>
      </c>
      <c r="E1776">
        <v>480</v>
      </c>
      <c r="F1776">
        <v>484.95</v>
      </c>
      <c r="G1776">
        <v>506.25</v>
      </c>
      <c r="H1776">
        <v>3152852</v>
      </c>
      <c r="I1776">
        <v>62644</v>
      </c>
      <c r="J1776">
        <v>302000000000</v>
      </c>
      <c r="K1776">
        <v>621720975</v>
      </c>
      <c r="L1776">
        <f>(Table1[[#This Row],[CLOSE_PRICE]] - Table1[[#This Row],[PREV_CL_PR]]) / Table1[[#This Row],[PREV_CL_PR]] * 100</f>
        <v>-4.2074074074074099</v>
      </c>
      <c r="M1776">
        <f>Table1[[#This Row],[HIGH_PRICE]]-Table1[[#This Row],[LOW_PRICE]]</f>
        <v>18.800000000000011</v>
      </c>
      <c r="N1776" t="str">
        <f>IF(Table1[[#This Row],[CLOSE_PRICE]]&gt;Table1[[#This Row],[OPEN_PRICE]],"Gain","Loss")</f>
        <v>Loss</v>
      </c>
      <c r="O1776" t="str">
        <f>IF(Table1[[#This Row],[MARKET_CAP]]&gt;200000000000,"Large Cap",
IF(Table1[[#This Row],[MARKET_CAP]]&gt;50000000000,"Mid Cap","Small Cap"))</f>
        <v>Large Cap</v>
      </c>
      <c r="P1776" t="str">
        <f>IF(Table1[[#This Row],[NET_TRDQTY]]&gt;1000000,"High Volume","Low Volume")</f>
        <v>High Volume</v>
      </c>
    </row>
    <row r="1777" spans="1:16" x14ac:dyDescent="0.3">
      <c r="A1777" t="s">
        <v>3557</v>
      </c>
      <c r="B1777" t="s">
        <v>3558</v>
      </c>
      <c r="C1777">
        <v>51.68</v>
      </c>
      <c r="D1777">
        <v>54.2</v>
      </c>
      <c r="E1777">
        <v>51.59</v>
      </c>
      <c r="F1777">
        <v>53.42</v>
      </c>
      <c r="G1777">
        <v>53.73</v>
      </c>
      <c r="H1777">
        <v>115615</v>
      </c>
      <c r="I1777">
        <v>741</v>
      </c>
      <c r="J1777">
        <v>2138509440</v>
      </c>
      <c r="K1777">
        <v>40032000</v>
      </c>
      <c r="L1777">
        <f>(Table1[[#This Row],[CLOSE_PRICE]] - Table1[[#This Row],[PREV_CL_PR]]) / Table1[[#This Row],[PREV_CL_PR]] * 100</f>
        <v>-0.57695886841614596</v>
      </c>
      <c r="M1777">
        <f>Table1[[#This Row],[HIGH_PRICE]]-Table1[[#This Row],[LOW_PRICE]]</f>
        <v>2.6099999999999994</v>
      </c>
      <c r="N1777" t="str">
        <f>IF(Table1[[#This Row],[CLOSE_PRICE]]&gt;Table1[[#This Row],[OPEN_PRICE]],"Gain","Loss")</f>
        <v>Gain</v>
      </c>
      <c r="O1777" t="str">
        <f>IF(Table1[[#This Row],[MARKET_CAP]]&gt;200000000000,"Large Cap",
IF(Table1[[#This Row],[MARKET_CAP]]&gt;50000000000,"Mid Cap","Small Cap"))</f>
        <v>Small Cap</v>
      </c>
      <c r="P1777" t="str">
        <f>IF(Table1[[#This Row],[NET_TRDQTY]]&gt;1000000,"High Volume","Low Volume")</f>
        <v>Low Volume</v>
      </c>
    </row>
    <row r="1778" spans="1:16" x14ac:dyDescent="0.3">
      <c r="A1778" t="s">
        <v>3559</v>
      </c>
      <c r="B1778" t="s">
        <v>3560</v>
      </c>
      <c r="C1778">
        <v>235.5</v>
      </c>
      <c r="D1778">
        <v>236.1</v>
      </c>
      <c r="E1778">
        <v>222.75</v>
      </c>
      <c r="F1778">
        <v>225</v>
      </c>
      <c r="G1778">
        <v>236.75</v>
      </c>
      <c r="H1778">
        <v>865043</v>
      </c>
      <c r="I1778">
        <v>24676</v>
      </c>
      <c r="J1778">
        <v>63095583600</v>
      </c>
      <c r="K1778">
        <v>280424816</v>
      </c>
      <c r="L1778">
        <f>(Table1[[#This Row],[CLOSE_PRICE]] - Table1[[#This Row],[PREV_CL_PR]]) / Table1[[#This Row],[PREV_CL_PR]] * 100</f>
        <v>-4.9630411826821543</v>
      </c>
      <c r="M1778">
        <f>Table1[[#This Row],[HIGH_PRICE]]-Table1[[#This Row],[LOW_PRICE]]</f>
        <v>13.349999999999994</v>
      </c>
      <c r="N1778" t="str">
        <f>IF(Table1[[#This Row],[CLOSE_PRICE]]&gt;Table1[[#This Row],[OPEN_PRICE]],"Gain","Loss")</f>
        <v>Loss</v>
      </c>
      <c r="O1778" t="str">
        <f>IF(Table1[[#This Row],[MARKET_CAP]]&gt;200000000000,"Large Cap",
IF(Table1[[#This Row],[MARKET_CAP]]&gt;50000000000,"Mid Cap","Small Cap"))</f>
        <v>Mid Cap</v>
      </c>
      <c r="P1778" t="str">
        <f>IF(Table1[[#This Row],[NET_TRDQTY]]&gt;1000000,"High Volume","Low Volume")</f>
        <v>Low Volume</v>
      </c>
    </row>
    <row r="1779" spans="1:16" x14ac:dyDescent="0.3">
      <c r="A1779" t="s">
        <v>3561</v>
      </c>
      <c r="B1779" t="s">
        <v>3562</v>
      </c>
      <c r="C1779">
        <v>339.7</v>
      </c>
      <c r="D1779">
        <v>341.35</v>
      </c>
      <c r="E1779">
        <v>320</v>
      </c>
      <c r="F1779">
        <v>324.85000000000002</v>
      </c>
      <c r="G1779">
        <v>342.85</v>
      </c>
      <c r="H1779">
        <v>23669</v>
      </c>
      <c r="I1779">
        <v>1260</v>
      </c>
      <c r="J1779">
        <v>22271850813</v>
      </c>
      <c r="K1779">
        <v>68560415</v>
      </c>
      <c r="L1779">
        <f>(Table1[[#This Row],[CLOSE_PRICE]] - Table1[[#This Row],[PREV_CL_PR]]) / Table1[[#This Row],[PREV_CL_PR]] * 100</f>
        <v>-5.2501093772786929</v>
      </c>
      <c r="M1779">
        <f>Table1[[#This Row],[HIGH_PRICE]]-Table1[[#This Row],[LOW_PRICE]]</f>
        <v>21.350000000000023</v>
      </c>
      <c r="N1779" t="str">
        <f>IF(Table1[[#This Row],[CLOSE_PRICE]]&gt;Table1[[#This Row],[OPEN_PRICE]],"Gain","Loss")</f>
        <v>Loss</v>
      </c>
      <c r="O1779" t="str">
        <f>IF(Table1[[#This Row],[MARKET_CAP]]&gt;200000000000,"Large Cap",
IF(Table1[[#This Row],[MARKET_CAP]]&gt;50000000000,"Mid Cap","Small Cap"))</f>
        <v>Small Cap</v>
      </c>
      <c r="P1779" t="str">
        <f>IF(Table1[[#This Row],[NET_TRDQTY]]&gt;1000000,"High Volume","Low Volume")</f>
        <v>Low Volume</v>
      </c>
    </row>
    <row r="1780" spans="1:16" x14ac:dyDescent="0.3">
      <c r="A1780" t="s">
        <v>3563</v>
      </c>
      <c r="B1780" t="s">
        <v>3564</v>
      </c>
      <c r="C1780">
        <v>35.61</v>
      </c>
      <c r="D1780">
        <v>35.979999999999997</v>
      </c>
      <c r="E1780">
        <v>33.380000000000003</v>
      </c>
      <c r="F1780">
        <v>33.6</v>
      </c>
      <c r="G1780">
        <v>36.01</v>
      </c>
      <c r="H1780">
        <v>24936614</v>
      </c>
      <c r="I1780">
        <v>86335</v>
      </c>
      <c r="J1780">
        <v>87932811490</v>
      </c>
      <c r="K1780">
        <v>2617047961</v>
      </c>
      <c r="L1780">
        <f>(Table1[[#This Row],[CLOSE_PRICE]] - Table1[[#This Row],[PREV_CL_PR]]) / Table1[[#This Row],[PREV_CL_PR]] * 100</f>
        <v>-6.6925853929463948</v>
      </c>
      <c r="M1780">
        <f>Table1[[#This Row],[HIGH_PRICE]]-Table1[[#This Row],[LOW_PRICE]]</f>
        <v>2.5999999999999943</v>
      </c>
      <c r="N1780" t="str">
        <f>IF(Table1[[#This Row],[CLOSE_PRICE]]&gt;Table1[[#This Row],[OPEN_PRICE]],"Gain","Loss")</f>
        <v>Loss</v>
      </c>
      <c r="O1780" t="str">
        <f>IF(Table1[[#This Row],[MARKET_CAP]]&gt;200000000000,"Large Cap",
IF(Table1[[#This Row],[MARKET_CAP]]&gt;50000000000,"Mid Cap","Small Cap"))</f>
        <v>Mid Cap</v>
      </c>
      <c r="P1780" t="str">
        <f>IF(Table1[[#This Row],[NET_TRDQTY]]&gt;1000000,"High Volume","Low Volume")</f>
        <v>High Volume</v>
      </c>
    </row>
    <row r="1781" spans="1:16" x14ac:dyDescent="0.3">
      <c r="A1781" t="s">
        <v>3565</v>
      </c>
      <c r="B1781" t="s">
        <v>3566</v>
      </c>
      <c r="C1781">
        <v>203.99</v>
      </c>
      <c r="D1781">
        <v>203.99</v>
      </c>
      <c r="E1781">
        <v>192</v>
      </c>
      <c r="F1781">
        <v>195.34</v>
      </c>
      <c r="G1781">
        <v>204.04</v>
      </c>
      <c r="H1781">
        <v>65177</v>
      </c>
      <c r="I1781">
        <v>1794</v>
      </c>
      <c r="J1781">
        <v>5826994349</v>
      </c>
      <c r="K1781">
        <v>29830011</v>
      </c>
      <c r="L1781">
        <f>(Table1[[#This Row],[CLOSE_PRICE]] - Table1[[#This Row],[PREV_CL_PR]]) / Table1[[#This Row],[PREV_CL_PR]] * 100</f>
        <v>-4.2638698294452011</v>
      </c>
      <c r="M1781">
        <f>Table1[[#This Row],[HIGH_PRICE]]-Table1[[#This Row],[LOW_PRICE]]</f>
        <v>11.990000000000009</v>
      </c>
      <c r="N1781" t="str">
        <f>IF(Table1[[#This Row],[CLOSE_PRICE]]&gt;Table1[[#This Row],[OPEN_PRICE]],"Gain","Loss")</f>
        <v>Loss</v>
      </c>
      <c r="O1781" t="str">
        <f>IF(Table1[[#This Row],[MARKET_CAP]]&gt;200000000000,"Large Cap",
IF(Table1[[#This Row],[MARKET_CAP]]&gt;50000000000,"Mid Cap","Small Cap"))</f>
        <v>Small Cap</v>
      </c>
      <c r="P1781" t="str">
        <f>IF(Table1[[#This Row],[NET_TRDQTY]]&gt;1000000,"High Volume","Low Volume")</f>
        <v>Low Volume</v>
      </c>
    </row>
    <row r="1782" spans="1:16" x14ac:dyDescent="0.3">
      <c r="A1782" t="s">
        <v>3567</v>
      </c>
      <c r="B1782" t="s">
        <v>3568</v>
      </c>
      <c r="C1782">
        <v>700</v>
      </c>
      <c r="D1782">
        <v>704.15</v>
      </c>
      <c r="E1782">
        <v>680.05</v>
      </c>
      <c r="F1782">
        <v>684.55</v>
      </c>
      <c r="G1782">
        <v>715.25</v>
      </c>
      <c r="H1782">
        <v>24637</v>
      </c>
      <c r="I1782">
        <v>5031</v>
      </c>
      <c r="J1782">
        <v>17177139330</v>
      </c>
      <c r="K1782">
        <v>25092600</v>
      </c>
      <c r="L1782">
        <f>(Table1[[#This Row],[CLOSE_PRICE]] - Table1[[#This Row],[PREV_CL_PR]]) / Table1[[#This Row],[PREV_CL_PR]] * 100</f>
        <v>-4.2922055225445712</v>
      </c>
      <c r="M1782">
        <f>Table1[[#This Row],[HIGH_PRICE]]-Table1[[#This Row],[LOW_PRICE]]</f>
        <v>24.100000000000023</v>
      </c>
      <c r="N1782" t="str">
        <f>IF(Table1[[#This Row],[CLOSE_PRICE]]&gt;Table1[[#This Row],[OPEN_PRICE]],"Gain","Loss")</f>
        <v>Loss</v>
      </c>
      <c r="O1782" t="str">
        <f>IF(Table1[[#This Row],[MARKET_CAP]]&gt;200000000000,"Large Cap",
IF(Table1[[#This Row],[MARKET_CAP]]&gt;50000000000,"Mid Cap","Small Cap"))</f>
        <v>Small Cap</v>
      </c>
      <c r="P1782" t="str">
        <f>IF(Table1[[#This Row],[NET_TRDQTY]]&gt;1000000,"High Volume","Low Volume")</f>
        <v>Low Volume</v>
      </c>
    </row>
    <row r="1783" spans="1:16" x14ac:dyDescent="0.3">
      <c r="A1783" t="s">
        <v>3569</v>
      </c>
      <c r="B1783" t="s">
        <v>3570</v>
      </c>
      <c r="C1783">
        <v>206.5</v>
      </c>
      <c r="D1783">
        <v>206.95</v>
      </c>
      <c r="E1783">
        <v>195.55</v>
      </c>
      <c r="F1783">
        <v>196.95</v>
      </c>
      <c r="G1783">
        <v>207.85</v>
      </c>
      <c r="H1783">
        <v>236618</v>
      </c>
      <c r="I1783">
        <v>9961</v>
      </c>
      <c r="J1783">
        <v>14043548111</v>
      </c>
      <c r="K1783">
        <v>71305144</v>
      </c>
      <c r="L1783">
        <f>(Table1[[#This Row],[CLOSE_PRICE]] - Table1[[#This Row],[PREV_CL_PR]]) / Table1[[#This Row],[PREV_CL_PR]] * 100</f>
        <v>-5.244166466201591</v>
      </c>
      <c r="M1783">
        <f>Table1[[#This Row],[HIGH_PRICE]]-Table1[[#This Row],[LOW_PRICE]]</f>
        <v>11.399999999999977</v>
      </c>
      <c r="N1783" t="str">
        <f>IF(Table1[[#This Row],[CLOSE_PRICE]]&gt;Table1[[#This Row],[OPEN_PRICE]],"Gain","Loss")</f>
        <v>Loss</v>
      </c>
      <c r="O1783" t="str">
        <f>IF(Table1[[#This Row],[MARKET_CAP]]&gt;200000000000,"Large Cap",
IF(Table1[[#This Row],[MARKET_CAP]]&gt;50000000000,"Mid Cap","Small Cap"))</f>
        <v>Small Cap</v>
      </c>
      <c r="P1783" t="str">
        <f>IF(Table1[[#This Row],[NET_TRDQTY]]&gt;1000000,"High Volume","Low Volume")</f>
        <v>Low Volume</v>
      </c>
    </row>
    <row r="1784" spans="1:16" x14ac:dyDescent="0.3">
      <c r="A1784" t="s">
        <v>3571</v>
      </c>
      <c r="B1784" t="s">
        <v>3572</v>
      </c>
      <c r="C1784">
        <v>114.42</v>
      </c>
      <c r="D1784">
        <v>115</v>
      </c>
      <c r="E1784">
        <v>108</v>
      </c>
      <c r="F1784">
        <v>108.71</v>
      </c>
      <c r="G1784">
        <v>115.42</v>
      </c>
      <c r="H1784">
        <v>618171</v>
      </c>
      <c r="I1784">
        <v>6535</v>
      </c>
      <c r="J1784">
        <v>35276346950</v>
      </c>
      <c r="K1784">
        <v>324499558</v>
      </c>
      <c r="L1784">
        <f>(Table1[[#This Row],[CLOSE_PRICE]] - Table1[[#This Row],[PREV_CL_PR]]) / Table1[[#This Row],[PREV_CL_PR]] * 100</f>
        <v>-5.8135505111765795</v>
      </c>
      <c r="M1784">
        <f>Table1[[#This Row],[HIGH_PRICE]]-Table1[[#This Row],[LOW_PRICE]]</f>
        <v>7</v>
      </c>
      <c r="N1784" t="str">
        <f>IF(Table1[[#This Row],[CLOSE_PRICE]]&gt;Table1[[#This Row],[OPEN_PRICE]],"Gain","Loss")</f>
        <v>Loss</v>
      </c>
      <c r="O1784" t="str">
        <f>IF(Table1[[#This Row],[MARKET_CAP]]&gt;200000000000,"Large Cap",
IF(Table1[[#This Row],[MARKET_CAP]]&gt;50000000000,"Mid Cap","Small Cap"))</f>
        <v>Small Cap</v>
      </c>
      <c r="P1784" t="str">
        <f>IF(Table1[[#This Row],[NET_TRDQTY]]&gt;1000000,"High Volume","Low Volume")</f>
        <v>Low Volume</v>
      </c>
    </row>
    <row r="1785" spans="1:16" x14ac:dyDescent="0.3">
      <c r="A1785" t="s">
        <v>3573</v>
      </c>
      <c r="B1785" t="s">
        <v>3574</v>
      </c>
      <c r="C1785">
        <v>4</v>
      </c>
      <c r="D1785">
        <v>4</v>
      </c>
      <c r="E1785">
        <v>3.56</v>
      </c>
      <c r="F1785">
        <v>3.57</v>
      </c>
      <c r="G1785">
        <v>3.95</v>
      </c>
      <c r="H1785">
        <v>2004076</v>
      </c>
      <c r="I1785">
        <v>2823</v>
      </c>
      <c r="J1785">
        <v>2020990338</v>
      </c>
      <c r="K1785">
        <v>566103736</v>
      </c>
      <c r="L1785">
        <f>(Table1[[#This Row],[CLOSE_PRICE]] - Table1[[#This Row],[PREV_CL_PR]]) / Table1[[#This Row],[PREV_CL_PR]] * 100</f>
        <v>-9.6202531645569707</v>
      </c>
      <c r="M1785">
        <f>Table1[[#This Row],[HIGH_PRICE]]-Table1[[#This Row],[LOW_PRICE]]</f>
        <v>0.43999999999999995</v>
      </c>
      <c r="N1785" t="str">
        <f>IF(Table1[[#This Row],[CLOSE_PRICE]]&gt;Table1[[#This Row],[OPEN_PRICE]],"Gain","Loss")</f>
        <v>Loss</v>
      </c>
      <c r="O1785" t="str">
        <f>IF(Table1[[#This Row],[MARKET_CAP]]&gt;200000000000,"Large Cap",
IF(Table1[[#This Row],[MARKET_CAP]]&gt;50000000000,"Mid Cap","Small Cap"))</f>
        <v>Small Cap</v>
      </c>
      <c r="P1785" t="str">
        <f>IF(Table1[[#This Row],[NET_TRDQTY]]&gt;1000000,"High Volume","Low Volume")</f>
        <v>High Volume</v>
      </c>
    </row>
    <row r="1786" spans="1:16" x14ac:dyDescent="0.3">
      <c r="A1786" t="s">
        <v>3575</v>
      </c>
      <c r="B1786" t="s">
        <v>3576</v>
      </c>
      <c r="C1786">
        <v>95.1</v>
      </c>
      <c r="D1786">
        <v>95.1</v>
      </c>
      <c r="E1786">
        <v>88.11</v>
      </c>
      <c r="F1786">
        <v>89.65</v>
      </c>
      <c r="G1786">
        <v>96.49</v>
      </c>
      <c r="H1786">
        <v>66849</v>
      </c>
      <c r="I1786">
        <v>1264</v>
      </c>
      <c r="J1786">
        <v>4324326650</v>
      </c>
      <c r="K1786">
        <v>48235657</v>
      </c>
      <c r="L1786">
        <f>(Table1[[#This Row],[CLOSE_PRICE]] - Table1[[#This Row],[PREV_CL_PR]]) / Table1[[#This Row],[PREV_CL_PR]] * 100</f>
        <v>-7.0888174940408222</v>
      </c>
      <c r="M1786">
        <f>Table1[[#This Row],[HIGH_PRICE]]-Table1[[#This Row],[LOW_PRICE]]</f>
        <v>6.9899999999999949</v>
      </c>
      <c r="N1786" t="str">
        <f>IF(Table1[[#This Row],[CLOSE_PRICE]]&gt;Table1[[#This Row],[OPEN_PRICE]],"Gain","Loss")</f>
        <v>Loss</v>
      </c>
      <c r="O1786" t="str">
        <f>IF(Table1[[#This Row],[MARKET_CAP]]&gt;200000000000,"Large Cap",
IF(Table1[[#This Row],[MARKET_CAP]]&gt;50000000000,"Mid Cap","Small Cap"))</f>
        <v>Small Cap</v>
      </c>
      <c r="P1786" t="str">
        <f>IF(Table1[[#This Row],[NET_TRDQTY]]&gt;1000000,"High Volume","Low Volume")</f>
        <v>Low Volume</v>
      </c>
    </row>
    <row r="1787" spans="1:16" x14ac:dyDescent="0.3">
      <c r="A1787" t="s">
        <v>3577</v>
      </c>
      <c r="B1787" t="s">
        <v>3578</v>
      </c>
      <c r="C1787">
        <v>1391</v>
      </c>
      <c r="D1787">
        <v>1434.9</v>
      </c>
      <c r="E1787">
        <v>1337.9</v>
      </c>
      <c r="F1787">
        <v>1426.2</v>
      </c>
      <c r="G1787">
        <v>1440.6</v>
      </c>
      <c r="H1787">
        <v>9298</v>
      </c>
      <c r="I1787">
        <v>1164</v>
      </c>
      <c r="J1787">
        <v>22411078608</v>
      </c>
      <c r="K1787">
        <v>15713840</v>
      </c>
      <c r="L1787">
        <f>(Table1[[#This Row],[CLOSE_PRICE]] - Table1[[#This Row],[PREV_CL_PR]]) / Table1[[#This Row],[PREV_CL_PR]] * 100</f>
        <v>-0.99958350687212716</v>
      </c>
      <c r="M1787">
        <f>Table1[[#This Row],[HIGH_PRICE]]-Table1[[#This Row],[LOW_PRICE]]</f>
        <v>97</v>
      </c>
      <c r="N1787" t="str">
        <f>IF(Table1[[#This Row],[CLOSE_PRICE]]&gt;Table1[[#This Row],[OPEN_PRICE]],"Gain","Loss")</f>
        <v>Gain</v>
      </c>
      <c r="O1787" t="str">
        <f>IF(Table1[[#This Row],[MARKET_CAP]]&gt;200000000000,"Large Cap",
IF(Table1[[#This Row],[MARKET_CAP]]&gt;50000000000,"Mid Cap","Small Cap"))</f>
        <v>Small Cap</v>
      </c>
      <c r="P1787" t="str">
        <f>IF(Table1[[#This Row],[NET_TRDQTY]]&gt;1000000,"High Volume","Low Volume")</f>
        <v>Low Volume</v>
      </c>
    </row>
    <row r="1788" spans="1:16" x14ac:dyDescent="0.3">
      <c r="A1788" t="s">
        <v>3579</v>
      </c>
      <c r="B1788" t="s">
        <v>3580</v>
      </c>
      <c r="C1788">
        <v>29.02</v>
      </c>
      <c r="D1788">
        <v>29.02</v>
      </c>
      <c r="E1788">
        <v>27.81</v>
      </c>
      <c r="F1788">
        <v>27.95</v>
      </c>
      <c r="G1788">
        <v>29.48</v>
      </c>
      <c r="H1788">
        <v>451880</v>
      </c>
      <c r="I1788">
        <v>1515</v>
      </c>
      <c r="J1788">
        <v>2519379153</v>
      </c>
      <c r="K1788">
        <v>90138789</v>
      </c>
      <c r="L1788">
        <f>(Table1[[#This Row],[CLOSE_PRICE]] - Table1[[#This Row],[PREV_CL_PR]]) / Table1[[#This Row],[PREV_CL_PR]] * 100</f>
        <v>-5.1899592944369095</v>
      </c>
      <c r="M1788">
        <f>Table1[[#This Row],[HIGH_PRICE]]-Table1[[#This Row],[LOW_PRICE]]</f>
        <v>1.2100000000000009</v>
      </c>
      <c r="N1788" t="str">
        <f>IF(Table1[[#This Row],[CLOSE_PRICE]]&gt;Table1[[#This Row],[OPEN_PRICE]],"Gain","Loss")</f>
        <v>Loss</v>
      </c>
      <c r="O1788" t="str">
        <f>IF(Table1[[#This Row],[MARKET_CAP]]&gt;200000000000,"Large Cap",
IF(Table1[[#This Row],[MARKET_CAP]]&gt;50000000000,"Mid Cap","Small Cap"))</f>
        <v>Small Cap</v>
      </c>
      <c r="P1788" t="str">
        <f>IF(Table1[[#This Row],[NET_TRDQTY]]&gt;1000000,"High Volume","Low Volume")</f>
        <v>Low Volume</v>
      </c>
    </row>
    <row r="1789" spans="1:16" x14ac:dyDescent="0.3">
      <c r="A1789" t="s">
        <v>3581</v>
      </c>
      <c r="B1789" t="s">
        <v>3582</v>
      </c>
      <c r="C1789">
        <v>61.06</v>
      </c>
      <c r="D1789">
        <v>61.06</v>
      </c>
      <c r="E1789">
        <v>58.25</v>
      </c>
      <c r="F1789">
        <v>58.57</v>
      </c>
      <c r="G1789">
        <v>61.43</v>
      </c>
      <c r="H1789">
        <v>729300</v>
      </c>
      <c r="I1789">
        <v>4853</v>
      </c>
      <c r="J1789">
        <v>11927214480</v>
      </c>
      <c r="K1789">
        <v>203640336</v>
      </c>
      <c r="L1789">
        <f>(Table1[[#This Row],[CLOSE_PRICE]] - Table1[[#This Row],[PREV_CL_PR]]) / Table1[[#This Row],[PREV_CL_PR]] * 100</f>
        <v>-4.6557056812632256</v>
      </c>
      <c r="M1789">
        <f>Table1[[#This Row],[HIGH_PRICE]]-Table1[[#This Row],[LOW_PRICE]]</f>
        <v>2.8100000000000023</v>
      </c>
      <c r="N1789" t="str">
        <f>IF(Table1[[#This Row],[CLOSE_PRICE]]&gt;Table1[[#This Row],[OPEN_PRICE]],"Gain","Loss")</f>
        <v>Loss</v>
      </c>
      <c r="O1789" t="str">
        <f>IF(Table1[[#This Row],[MARKET_CAP]]&gt;200000000000,"Large Cap",
IF(Table1[[#This Row],[MARKET_CAP]]&gt;50000000000,"Mid Cap","Small Cap"))</f>
        <v>Small Cap</v>
      </c>
      <c r="P1789" t="str">
        <f>IF(Table1[[#This Row],[NET_TRDQTY]]&gt;1000000,"High Volume","Low Volume")</f>
        <v>Low Volume</v>
      </c>
    </row>
    <row r="1790" spans="1:16" x14ac:dyDescent="0.3">
      <c r="A1790" t="s">
        <v>3583</v>
      </c>
      <c r="B1790" t="s">
        <v>3584</v>
      </c>
      <c r="C1790">
        <v>25.37</v>
      </c>
      <c r="D1790">
        <v>25.52</v>
      </c>
      <c r="E1790">
        <v>24.51</v>
      </c>
      <c r="F1790">
        <v>25.01</v>
      </c>
      <c r="G1790">
        <v>25.88</v>
      </c>
      <c r="H1790">
        <v>13000</v>
      </c>
      <c r="I1790">
        <v>147</v>
      </c>
      <c r="J1790">
        <v>725290100.10000002</v>
      </c>
      <c r="K1790">
        <v>29000004</v>
      </c>
      <c r="L1790">
        <f>(Table1[[#This Row],[CLOSE_PRICE]] - Table1[[#This Row],[PREV_CL_PR]]) / Table1[[#This Row],[PREV_CL_PR]] * 100</f>
        <v>-3.3616692426584138</v>
      </c>
      <c r="M1790">
        <f>Table1[[#This Row],[HIGH_PRICE]]-Table1[[#This Row],[LOW_PRICE]]</f>
        <v>1.009999999999998</v>
      </c>
      <c r="N1790" t="str">
        <f>IF(Table1[[#This Row],[CLOSE_PRICE]]&gt;Table1[[#This Row],[OPEN_PRICE]],"Gain","Loss")</f>
        <v>Loss</v>
      </c>
      <c r="O1790" t="str">
        <f>IF(Table1[[#This Row],[MARKET_CAP]]&gt;200000000000,"Large Cap",
IF(Table1[[#This Row],[MARKET_CAP]]&gt;50000000000,"Mid Cap","Small Cap"))</f>
        <v>Small Cap</v>
      </c>
      <c r="P1790" t="str">
        <f>IF(Table1[[#This Row],[NET_TRDQTY]]&gt;1000000,"High Volume","Low Volume")</f>
        <v>Low Volume</v>
      </c>
    </row>
    <row r="1791" spans="1:16" x14ac:dyDescent="0.3">
      <c r="A1791" t="s">
        <v>3585</v>
      </c>
      <c r="B1791" t="s">
        <v>3586</v>
      </c>
      <c r="C1791">
        <v>648</v>
      </c>
      <c r="D1791">
        <v>650</v>
      </c>
      <c r="E1791">
        <v>631.45000000000005</v>
      </c>
      <c r="F1791">
        <v>636.4</v>
      </c>
      <c r="G1791">
        <v>653.95000000000005</v>
      </c>
      <c r="H1791">
        <v>31899</v>
      </c>
      <c r="I1791">
        <v>4516</v>
      </c>
      <c r="J1791">
        <v>120000000000</v>
      </c>
      <c r="K1791">
        <v>188041342</v>
      </c>
      <c r="L1791">
        <f>(Table1[[#This Row],[CLOSE_PRICE]] - Table1[[#This Row],[PREV_CL_PR]]) / Table1[[#This Row],[PREV_CL_PR]] * 100</f>
        <v>-2.6836914137166552</v>
      </c>
      <c r="M1791">
        <f>Table1[[#This Row],[HIGH_PRICE]]-Table1[[#This Row],[LOW_PRICE]]</f>
        <v>18.549999999999955</v>
      </c>
      <c r="N1791" t="str">
        <f>IF(Table1[[#This Row],[CLOSE_PRICE]]&gt;Table1[[#This Row],[OPEN_PRICE]],"Gain","Loss")</f>
        <v>Loss</v>
      </c>
      <c r="O1791" t="str">
        <f>IF(Table1[[#This Row],[MARKET_CAP]]&gt;200000000000,"Large Cap",
IF(Table1[[#This Row],[MARKET_CAP]]&gt;50000000000,"Mid Cap","Small Cap"))</f>
        <v>Mid Cap</v>
      </c>
      <c r="P1791" t="str">
        <f>IF(Table1[[#This Row],[NET_TRDQTY]]&gt;1000000,"High Volume","Low Volume")</f>
        <v>Low Volume</v>
      </c>
    </row>
    <row r="1792" spans="1:16" x14ac:dyDescent="0.3">
      <c r="A1792" t="s">
        <v>3587</v>
      </c>
      <c r="B1792" t="s">
        <v>3588</v>
      </c>
      <c r="C1792">
        <v>169.69</v>
      </c>
      <c r="D1792">
        <v>169.99</v>
      </c>
      <c r="E1792">
        <v>152.22999999999999</v>
      </c>
      <c r="F1792">
        <v>153.77000000000001</v>
      </c>
      <c r="G1792">
        <v>168.1</v>
      </c>
      <c r="H1792">
        <v>559568</v>
      </c>
      <c r="I1792">
        <v>7479</v>
      </c>
      <c r="J1792">
        <v>11110154827</v>
      </c>
      <c r="K1792">
        <v>72251771</v>
      </c>
      <c r="L1792">
        <f>(Table1[[#This Row],[CLOSE_PRICE]] - Table1[[#This Row],[PREV_CL_PR]]) / Table1[[#This Row],[PREV_CL_PR]] * 100</f>
        <v>-8.5246876859012399</v>
      </c>
      <c r="M1792">
        <f>Table1[[#This Row],[HIGH_PRICE]]-Table1[[#This Row],[LOW_PRICE]]</f>
        <v>17.760000000000019</v>
      </c>
      <c r="N1792" t="str">
        <f>IF(Table1[[#This Row],[CLOSE_PRICE]]&gt;Table1[[#This Row],[OPEN_PRICE]],"Gain","Loss")</f>
        <v>Loss</v>
      </c>
      <c r="O1792" t="str">
        <f>IF(Table1[[#This Row],[MARKET_CAP]]&gt;200000000000,"Large Cap",
IF(Table1[[#This Row],[MARKET_CAP]]&gt;50000000000,"Mid Cap","Small Cap"))</f>
        <v>Small Cap</v>
      </c>
      <c r="P1792" t="str">
        <f>IF(Table1[[#This Row],[NET_TRDQTY]]&gt;1000000,"High Volume","Low Volume")</f>
        <v>Low Volume</v>
      </c>
    </row>
    <row r="1793" spans="1:16" x14ac:dyDescent="0.3">
      <c r="A1793" t="s">
        <v>3589</v>
      </c>
      <c r="B1793" t="s">
        <v>3590</v>
      </c>
      <c r="C1793">
        <v>115.9</v>
      </c>
      <c r="D1793">
        <v>115.9</v>
      </c>
      <c r="E1793">
        <v>108.61</v>
      </c>
      <c r="F1793">
        <v>112.09</v>
      </c>
      <c r="G1793">
        <v>117.27</v>
      </c>
      <c r="H1793">
        <v>180816</v>
      </c>
      <c r="I1793">
        <v>2751</v>
      </c>
      <c r="J1793">
        <v>14893622480</v>
      </c>
      <c r="K1793">
        <v>132872000</v>
      </c>
      <c r="L1793">
        <f>(Table1[[#This Row],[CLOSE_PRICE]] - Table1[[#This Row],[PREV_CL_PR]]) / Table1[[#This Row],[PREV_CL_PR]] * 100</f>
        <v>-4.4171569881470054</v>
      </c>
      <c r="M1793">
        <f>Table1[[#This Row],[HIGH_PRICE]]-Table1[[#This Row],[LOW_PRICE]]</f>
        <v>7.2900000000000063</v>
      </c>
      <c r="N1793" t="str">
        <f>IF(Table1[[#This Row],[CLOSE_PRICE]]&gt;Table1[[#This Row],[OPEN_PRICE]],"Gain","Loss")</f>
        <v>Loss</v>
      </c>
      <c r="O1793" t="str">
        <f>IF(Table1[[#This Row],[MARKET_CAP]]&gt;200000000000,"Large Cap",
IF(Table1[[#This Row],[MARKET_CAP]]&gt;50000000000,"Mid Cap","Small Cap"))</f>
        <v>Small Cap</v>
      </c>
      <c r="P1793" t="str">
        <f>IF(Table1[[#This Row],[NET_TRDQTY]]&gt;1000000,"High Volume","Low Volume")</f>
        <v>Low Volume</v>
      </c>
    </row>
    <row r="1794" spans="1:16" x14ac:dyDescent="0.3">
      <c r="A1794" t="s">
        <v>3591</v>
      </c>
      <c r="B1794" t="s">
        <v>3592</v>
      </c>
      <c r="C1794">
        <v>44.38</v>
      </c>
      <c r="D1794">
        <v>44.39</v>
      </c>
      <c r="E1794">
        <v>42</v>
      </c>
      <c r="F1794">
        <v>42.2</v>
      </c>
      <c r="G1794">
        <v>44.42</v>
      </c>
      <c r="H1794">
        <v>30902</v>
      </c>
      <c r="I1794">
        <v>463</v>
      </c>
      <c r="J1794">
        <v>2699398116</v>
      </c>
      <c r="K1794">
        <v>63966780</v>
      </c>
      <c r="L1794">
        <f>(Table1[[#This Row],[CLOSE_PRICE]] - Table1[[#This Row],[PREV_CL_PR]]) / Table1[[#This Row],[PREV_CL_PR]] * 100</f>
        <v>-4.9977487618189977</v>
      </c>
      <c r="M1794">
        <f>Table1[[#This Row],[HIGH_PRICE]]-Table1[[#This Row],[LOW_PRICE]]</f>
        <v>2.3900000000000006</v>
      </c>
      <c r="N1794" t="str">
        <f>IF(Table1[[#This Row],[CLOSE_PRICE]]&gt;Table1[[#This Row],[OPEN_PRICE]],"Gain","Loss")</f>
        <v>Loss</v>
      </c>
      <c r="O1794" t="str">
        <f>IF(Table1[[#This Row],[MARKET_CAP]]&gt;200000000000,"Large Cap",
IF(Table1[[#This Row],[MARKET_CAP]]&gt;50000000000,"Mid Cap","Small Cap"))</f>
        <v>Small Cap</v>
      </c>
      <c r="P1794" t="str">
        <f>IF(Table1[[#This Row],[NET_TRDQTY]]&gt;1000000,"High Volume","Low Volume")</f>
        <v>Low Volume</v>
      </c>
    </row>
    <row r="1795" spans="1:16" x14ac:dyDescent="0.3">
      <c r="A1795" t="s">
        <v>3593</v>
      </c>
      <c r="B1795" t="s">
        <v>3594</v>
      </c>
      <c r="C1795">
        <v>185.3</v>
      </c>
      <c r="D1795">
        <v>185.6</v>
      </c>
      <c r="E1795">
        <v>180</v>
      </c>
      <c r="F1795">
        <v>180.56</v>
      </c>
      <c r="G1795">
        <v>185.72</v>
      </c>
      <c r="H1795">
        <v>4613</v>
      </c>
      <c r="I1795">
        <v>160</v>
      </c>
      <c r="J1795">
        <v>4180868967</v>
      </c>
      <c r="K1795">
        <v>23155012</v>
      </c>
      <c r="L1795">
        <f>(Table1[[#This Row],[CLOSE_PRICE]] - Table1[[#This Row],[PREV_CL_PR]]) / Table1[[#This Row],[PREV_CL_PR]] * 100</f>
        <v>-2.7783760499676915</v>
      </c>
      <c r="M1795">
        <f>Table1[[#This Row],[HIGH_PRICE]]-Table1[[#This Row],[LOW_PRICE]]</f>
        <v>5.5999999999999943</v>
      </c>
      <c r="N1795" t="str">
        <f>IF(Table1[[#This Row],[CLOSE_PRICE]]&gt;Table1[[#This Row],[OPEN_PRICE]],"Gain","Loss")</f>
        <v>Loss</v>
      </c>
      <c r="O1795" t="str">
        <f>IF(Table1[[#This Row],[MARKET_CAP]]&gt;200000000000,"Large Cap",
IF(Table1[[#This Row],[MARKET_CAP]]&gt;50000000000,"Mid Cap","Small Cap"))</f>
        <v>Small Cap</v>
      </c>
      <c r="P1795" t="str">
        <f>IF(Table1[[#This Row],[NET_TRDQTY]]&gt;1000000,"High Volume","Low Volume")</f>
        <v>Low Volume</v>
      </c>
    </row>
    <row r="1796" spans="1:16" x14ac:dyDescent="0.3">
      <c r="A1796" t="s">
        <v>3595</v>
      </c>
      <c r="B1796" t="s">
        <v>3596</v>
      </c>
      <c r="C1796">
        <v>2440</v>
      </c>
      <c r="D1796">
        <v>2443.1999999999998</v>
      </c>
      <c r="E1796">
        <v>2381</v>
      </c>
      <c r="F1796">
        <v>2391.5</v>
      </c>
      <c r="G1796">
        <v>2454.5</v>
      </c>
      <c r="H1796">
        <v>687490</v>
      </c>
      <c r="I1796">
        <v>56882</v>
      </c>
      <c r="J1796">
        <v>709000000000</v>
      </c>
      <c r="K1796">
        <v>296424825</v>
      </c>
      <c r="L1796">
        <f>(Table1[[#This Row],[CLOSE_PRICE]] - Table1[[#This Row],[PREV_CL_PR]]) / Table1[[#This Row],[PREV_CL_PR]] * 100</f>
        <v>-2.5667141984110819</v>
      </c>
      <c r="M1796">
        <f>Table1[[#This Row],[HIGH_PRICE]]-Table1[[#This Row],[LOW_PRICE]]</f>
        <v>62.199999999999818</v>
      </c>
      <c r="N1796" t="str">
        <f>IF(Table1[[#This Row],[CLOSE_PRICE]]&gt;Table1[[#This Row],[OPEN_PRICE]],"Gain","Loss")</f>
        <v>Loss</v>
      </c>
      <c r="O1796" t="str">
        <f>IF(Table1[[#This Row],[MARKET_CAP]]&gt;200000000000,"Large Cap",
IF(Table1[[#This Row],[MARKET_CAP]]&gt;50000000000,"Mid Cap","Small Cap"))</f>
        <v>Large Cap</v>
      </c>
      <c r="P1796" t="str">
        <f>IF(Table1[[#This Row],[NET_TRDQTY]]&gt;1000000,"High Volume","Low Volume")</f>
        <v>Low Volume</v>
      </c>
    </row>
    <row r="1797" spans="1:16" x14ac:dyDescent="0.3">
      <c r="A1797" t="s">
        <v>3597</v>
      </c>
      <c r="B1797" t="s">
        <v>3598</v>
      </c>
      <c r="C1797">
        <v>240.35</v>
      </c>
      <c r="D1797">
        <v>245.15</v>
      </c>
      <c r="E1797">
        <v>233.4</v>
      </c>
      <c r="F1797">
        <v>238.7</v>
      </c>
      <c r="G1797">
        <v>247.65</v>
      </c>
      <c r="H1797">
        <v>5877</v>
      </c>
      <c r="I1797">
        <v>66</v>
      </c>
      <c r="J1797">
        <v>3746298156</v>
      </c>
      <c r="K1797">
        <v>15694588</v>
      </c>
      <c r="L1797">
        <f>(Table1[[#This Row],[CLOSE_PRICE]] - Table1[[#This Row],[PREV_CL_PR]]) / Table1[[#This Row],[PREV_CL_PR]] * 100</f>
        <v>-3.6139713305067702</v>
      </c>
      <c r="M1797">
        <f>Table1[[#This Row],[HIGH_PRICE]]-Table1[[#This Row],[LOW_PRICE]]</f>
        <v>11.75</v>
      </c>
      <c r="N1797" t="str">
        <f>IF(Table1[[#This Row],[CLOSE_PRICE]]&gt;Table1[[#This Row],[OPEN_PRICE]],"Gain","Loss")</f>
        <v>Loss</v>
      </c>
      <c r="O1797" t="str">
        <f>IF(Table1[[#This Row],[MARKET_CAP]]&gt;200000000000,"Large Cap",
IF(Table1[[#This Row],[MARKET_CAP]]&gt;50000000000,"Mid Cap","Small Cap"))</f>
        <v>Small Cap</v>
      </c>
      <c r="P1797" t="str">
        <f>IF(Table1[[#This Row],[NET_TRDQTY]]&gt;1000000,"High Volume","Low Volume")</f>
        <v>Low Volume</v>
      </c>
    </row>
    <row r="1798" spans="1:16" x14ac:dyDescent="0.3">
      <c r="A1798" t="s">
        <v>3599</v>
      </c>
      <c r="B1798" t="s">
        <v>3600</v>
      </c>
      <c r="C1798">
        <v>419</v>
      </c>
      <c r="D1798">
        <v>424.1</v>
      </c>
      <c r="E1798">
        <v>413</v>
      </c>
      <c r="F1798">
        <v>414.85</v>
      </c>
      <c r="G1798">
        <v>430.55</v>
      </c>
      <c r="H1798">
        <v>15904</v>
      </c>
      <c r="I1798">
        <v>981</v>
      </c>
      <c r="J1798">
        <v>7120825992</v>
      </c>
      <c r="K1798">
        <v>17164821</v>
      </c>
      <c r="L1798">
        <f>(Table1[[#This Row],[CLOSE_PRICE]] - Table1[[#This Row],[PREV_CL_PR]]) / Table1[[#This Row],[PREV_CL_PR]] * 100</f>
        <v>-3.6464986644988944</v>
      </c>
      <c r="M1798">
        <f>Table1[[#This Row],[HIGH_PRICE]]-Table1[[#This Row],[LOW_PRICE]]</f>
        <v>11.100000000000023</v>
      </c>
      <c r="N1798" t="str">
        <f>IF(Table1[[#This Row],[CLOSE_PRICE]]&gt;Table1[[#This Row],[OPEN_PRICE]],"Gain","Loss")</f>
        <v>Loss</v>
      </c>
      <c r="O1798" t="str">
        <f>IF(Table1[[#This Row],[MARKET_CAP]]&gt;200000000000,"Large Cap",
IF(Table1[[#This Row],[MARKET_CAP]]&gt;50000000000,"Mid Cap","Small Cap"))</f>
        <v>Small Cap</v>
      </c>
      <c r="P1798" t="str">
        <f>IF(Table1[[#This Row],[NET_TRDQTY]]&gt;1000000,"High Volume","Low Volume")</f>
        <v>Low Volume</v>
      </c>
    </row>
    <row r="1799" spans="1:16" x14ac:dyDescent="0.3">
      <c r="A1799" t="s">
        <v>3601</v>
      </c>
      <c r="B1799" t="s">
        <v>3602</v>
      </c>
      <c r="C1799">
        <v>398</v>
      </c>
      <c r="D1799">
        <v>398</v>
      </c>
      <c r="E1799">
        <v>380.8</v>
      </c>
      <c r="F1799">
        <v>384.15</v>
      </c>
      <c r="G1799">
        <v>404.15</v>
      </c>
      <c r="H1799">
        <v>66957</v>
      </c>
      <c r="I1799">
        <v>1856</v>
      </c>
      <c r="J1799">
        <v>8814014430</v>
      </c>
      <c r="K1799">
        <v>22944200</v>
      </c>
      <c r="L1799">
        <f>(Table1[[#This Row],[CLOSE_PRICE]] - Table1[[#This Row],[PREV_CL_PR]]) / Table1[[#This Row],[PREV_CL_PR]] * 100</f>
        <v>-4.9486576766052215</v>
      </c>
      <c r="M1799">
        <f>Table1[[#This Row],[HIGH_PRICE]]-Table1[[#This Row],[LOW_PRICE]]</f>
        <v>17.199999999999989</v>
      </c>
      <c r="N1799" t="str">
        <f>IF(Table1[[#This Row],[CLOSE_PRICE]]&gt;Table1[[#This Row],[OPEN_PRICE]],"Gain","Loss")</f>
        <v>Loss</v>
      </c>
      <c r="O1799" t="str">
        <f>IF(Table1[[#This Row],[MARKET_CAP]]&gt;200000000000,"Large Cap",
IF(Table1[[#This Row],[MARKET_CAP]]&gt;50000000000,"Mid Cap","Small Cap"))</f>
        <v>Small Cap</v>
      </c>
      <c r="P1799" t="str">
        <f>IF(Table1[[#This Row],[NET_TRDQTY]]&gt;1000000,"High Volume","Low Volume")</f>
        <v>Low Volume</v>
      </c>
    </row>
    <row r="1800" spans="1:16" x14ac:dyDescent="0.3">
      <c r="A1800" t="s">
        <v>3603</v>
      </c>
      <c r="B1800" t="s">
        <v>3604</v>
      </c>
      <c r="C1800">
        <v>48</v>
      </c>
      <c r="D1800">
        <v>48.02</v>
      </c>
      <c r="E1800">
        <v>44</v>
      </c>
      <c r="F1800">
        <v>44.21</v>
      </c>
      <c r="G1800">
        <v>48.42</v>
      </c>
      <c r="H1800">
        <v>360845</v>
      </c>
      <c r="I1800">
        <v>2449</v>
      </c>
      <c r="J1800">
        <v>1767294750</v>
      </c>
      <c r="K1800">
        <v>39975000</v>
      </c>
      <c r="L1800">
        <f>(Table1[[#This Row],[CLOSE_PRICE]] - Table1[[#This Row],[PREV_CL_PR]]) / Table1[[#This Row],[PREV_CL_PR]] * 100</f>
        <v>-8.6947542337876929</v>
      </c>
      <c r="M1800">
        <f>Table1[[#This Row],[HIGH_PRICE]]-Table1[[#This Row],[LOW_PRICE]]</f>
        <v>4.0200000000000031</v>
      </c>
      <c r="N1800" t="str">
        <f>IF(Table1[[#This Row],[CLOSE_PRICE]]&gt;Table1[[#This Row],[OPEN_PRICE]],"Gain","Loss")</f>
        <v>Loss</v>
      </c>
      <c r="O1800" t="str">
        <f>IF(Table1[[#This Row],[MARKET_CAP]]&gt;200000000000,"Large Cap",
IF(Table1[[#This Row],[MARKET_CAP]]&gt;50000000000,"Mid Cap","Small Cap"))</f>
        <v>Small Cap</v>
      </c>
      <c r="P1800" t="str">
        <f>IF(Table1[[#This Row],[NET_TRDQTY]]&gt;1000000,"High Volume","Low Volume")</f>
        <v>Low Volume</v>
      </c>
    </row>
    <row r="1801" spans="1:16" x14ac:dyDescent="0.3">
      <c r="A1801" t="s">
        <v>3605</v>
      </c>
      <c r="B1801" t="s">
        <v>3606</v>
      </c>
      <c r="C1801">
        <v>56.23</v>
      </c>
      <c r="D1801">
        <v>56.46</v>
      </c>
      <c r="E1801">
        <v>53.3</v>
      </c>
      <c r="F1801">
        <v>54.1</v>
      </c>
      <c r="G1801">
        <v>56.23</v>
      </c>
      <c r="H1801">
        <v>40219</v>
      </c>
      <c r="I1801">
        <v>827</v>
      </c>
      <c r="J1801">
        <v>2142349180</v>
      </c>
      <c r="K1801">
        <v>39599800</v>
      </c>
      <c r="L1801">
        <f>(Table1[[#This Row],[CLOSE_PRICE]] - Table1[[#This Row],[PREV_CL_PR]]) / Table1[[#This Row],[PREV_CL_PR]] * 100</f>
        <v>-3.7880135159167625</v>
      </c>
      <c r="M1801">
        <f>Table1[[#This Row],[HIGH_PRICE]]-Table1[[#This Row],[LOW_PRICE]]</f>
        <v>3.1600000000000037</v>
      </c>
      <c r="N1801" t="str">
        <f>IF(Table1[[#This Row],[CLOSE_PRICE]]&gt;Table1[[#This Row],[OPEN_PRICE]],"Gain","Loss")</f>
        <v>Loss</v>
      </c>
      <c r="O1801" t="str">
        <f>IF(Table1[[#This Row],[MARKET_CAP]]&gt;200000000000,"Large Cap",
IF(Table1[[#This Row],[MARKET_CAP]]&gt;50000000000,"Mid Cap","Small Cap"))</f>
        <v>Small Cap</v>
      </c>
      <c r="P1801" t="str">
        <f>IF(Table1[[#This Row],[NET_TRDQTY]]&gt;1000000,"High Volume","Low Volume")</f>
        <v>Low Volume</v>
      </c>
    </row>
    <row r="1802" spans="1:16" x14ac:dyDescent="0.3">
      <c r="A1802" t="s">
        <v>3607</v>
      </c>
      <c r="B1802" t="s">
        <v>3608</v>
      </c>
      <c r="C1802">
        <v>185</v>
      </c>
      <c r="D1802">
        <v>185.46</v>
      </c>
      <c r="E1802">
        <v>175.1</v>
      </c>
      <c r="F1802">
        <v>180.8</v>
      </c>
      <c r="G1802">
        <v>185.46</v>
      </c>
      <c r="H1802">
        <v>273482</v>
      </c>
      <c r="I1802">
        <v>4495</v>
      </c>
      <c r="J1802">
        <v>28418220840</v>
      </c>
      <c r="K1802">
        <v>157180425</v>
      </c>
      <c r="L1802">
        <f>(Table1[[#This Row],[CLOSE_PRICE]] - Table1[[#This Row],[PREV_CL_PR]]) / Table1[[#This Row],[PREV_CL_PR]] * 100</f>
        <v>-2.5126711959452153</v>
      </c>
      <c r="M1802">
        <f>Table1[[#This Row],[HIGH_PRICE]]-Table1[[#This Row],[LOW_PRICE]]</f>
        <v>10.360000000000014</v>
      </c>
      <c r="N1802" t="str">
        <f>IF(Table1[[#This Row],[CLOSE_PRICE]]&gt;Table1[[#This Row],[OPEN_PRICE]],"Gain","Loss")</f>
        <v>Loss</v>
      </c>
      <c r="O1802" t="str">
        <f>IF(Table1[[#This Row],[MARKET_CAP]]&gt;200000000000,"Large Cap",
IF(Table1[[#This Row],[MARKET_CAP]]&gt;50000000000,"Mid Cap","Small Cap"))</f>
        <v>Small Cap</v>
      </c>
      <c r="P1802" t="str">
        <f>IF(Table1[[#This Row],[NET_TRDQTY]]&gt;1000000,"High Volume","Low Volume")</f>
        <v>Low Volume</v>
      </c>
    </row>
    <row r="1803" spans="1:16" x14ac:dyDescent="0.3">
      <c r="A1803" t="s">
        <v>3609</v>
      </c>
      <c r="B1803" t="s">
        <v>3610</v>
      </c>
      <c r="C1803">
        <v>110.8</v>
      </c>
      <c r="D1803">
        <v>111.99</v>
      </c>
      <c r="E1803">
        <v>108.96</v>
      </c>
      <c r="F1803">
        <v>108.96</v>
      </c>
      <c r="G1803">
        <v>114.69</v>
      </c>
      <c r="H1803">
        <v>548652</v>
      </c>
      <c r="I1803">
        <v>2882</v>
      </c>
      <c r="J1803">
        <v>12648702013</v>
      </c>
      <c r="K1803">
        <v>116085738</v>
      </c>
      <c r="L1803">
        <f>(Table1[[#This Row],[CLOSE_PRICE]] - Table1[[#This Row],[PREV_CL_PR]]) / Table1[[#This Row],[PREV_CL_PR]] * 100</f>
        <v>-4.9960763798064383</v>
      </c>
      <c r="M1803">
        <f>Table1[[#This Row],[HIGH_PRICE]]-Table1[[#This Row],[LOW_PRICE]]</f>
        <v>3.0300000000000011</v>
      </c>
      <c r="N1803" t="str">
        <f>IF(Table1[[#This Row],[CLOSE_PRICE]]&gt;Table1[[#This Row],[OPEN_PRICE]],"Gain","Loss")</f>
        <v>Loss</v>
      </c>
      <c r="O1803" t="str">
        <f>IF(Table1[[#This Row],[MARKET_CAP]]&gt;200000000000,"Large Cap",
IF(Table1[[#This Row],[MARKET_CAP]]&gt;50000000000,"Mid Cap","Small Cap"))</f>
        <v>Small Cap</v>
      </c>
      <c r="P1803" t="str">
        <f>IF(Table1[[#This Row],[NET_TRDQTY]]&gt;1000000,"High Volume","Low Volume")</f>
        <v>Low Volume</v>
      </c>
    </row>
    <row r="1804" spans="1:16" x14ac:dyDescent="0.3">
      <c r="A1804" t="s">
        <v>3611</v>
      </c>
      <c r="B1804" t="s">
        <v>3612</v>
      </c>
      <c r="C1804">
        <v>142.5</v>
      </c>
      <c r="D1804">
        <v>143.25</v>
      </c>
      <c r="E1804">
        <v>137.41</v>
      </c>
      <c r="F1804">
        <v>138.72999999999999</v>
      </c>
      <c r="G1804">
        <v>144.86000000000001</v>
      </c>
      <c r="H1804">
        <v>185671</v>
      </c>
      <c r="I1804">
        <v>2864</v>
      </c>
      <c r="J1804">
        <v>7925043228</v>
      </c>
      <c r="K1804">
        <v>57125663</v>
      </c>
      <c r="L1804">
        <f>(Table1[[#This Row],[CLOSE_PRICE]] - Table1[[#This Row],[PREV_CL_PR]]) / Table1[[#This Row],[PREV_CL_PR]] * 100</f>
        <v>-4.2316719591329717</v>
      </c>
      <c r="M1804">
        <f>Table1[[#This Row],[HIGH_PRICE]]-Table1[[#This Row],[LOW_PRICE]]</f>
        <v>5.8400000000000034</v>
      </c>
      <c r="N1804" t="str">
        <f>IF(Table1[[#This Row],[CLOSE_PRICE]]&gt;Table1[[#This Row],[OPEN_PRICE]],"Gain","Loss")</f>
        <v>Loss</v>
      </c>
      <c r="O1804" t="str">
        <f>IF(Table1[[#This Row],[MARKET_CAP]]&gt;200000000000,"Large Cap",
IF(Table1[[#This Row],[MARKET_CAP]]&gt;50000000000,"Mid Cap","Small Cap"))</f>
        <v>Small Cap</v>
      </c>
      <c r="P1804" t="str">
        <f>IF(Table1[[#This Row],[NET_TRDQTY]]&gt;1000000,"High Volume","Low Volume")</f>
        <v>Low Volume</v>
      </c>
    </row>
    <row r="1805" spans="1:16" x14ac:dyDescent="0.3">
      <c r="A1805" t="s">
        <v>3613</v>
      </c>
      <c r="B1805" t="s">
        <v>3614</v>
      </c>
      <c r="C1805">
        <v>903.65</v>
      </c>
      <c r="D1805">
        <v>928.9</v>
      </c>
      <c r="E1805">
        <v>890.15</v>
      </c>
      <c r="F1805">
        <v>910.4</v>
      </c>
      <c r="G1805">
        <v>903.65</v>
      </c>
      <c r="H1805">
        <v>391880</v>
      </c>
      <c r="I1805">
        <v>20996</v>
      </c>
      <c r="J1805">
        <v>83914038826</v>
      </c>
      <c r="K1805">
        <v>92172714</v>
      </c>
      <c r="L1805">
        <f>(Table1[[#This Row],[CLOSE_PRICE]] - Table1[[#This Row],[PREV_CL_PR]]) / Table1[[#This Row],[PREV_CL_PR]] * 100</f>
        <v>0.74697061915564655</v>
      </c>
      <c r="M1805">
        <f>Table1[[#This Row],[HIGH_PRICE]]-Table1[[#This Row],[LOW_PRICE]]</f>
        <v>38.75</v>
      </c>
      <c r="N1805" t="str">
        <f>IF(Table1[[#This Row],[CLOSE_PRICE]]&gt;Table1[[#This Row],[OPEN_PRICE]],"Gain","Loss")</f>
        <v>Gain</v>
      </c>
      <c r="O1805" t="str">
        <f>IF(Table1[[#This Row],[MARKET_CAP]]&gt;200000000000,"Large Cap",
IF(Table1[[#This Row],[MARKET_CAP]]&gt;50000000000,"Mid Cap","Small Cap"))</f>
        <v>Mid Cap</v>
      </c>
      <c r="P1805" t="str">
        <f>IF(Table1[[#This Row],[NET_TRDQTY]]&gt;1000000,"High Volume","Low Volume")</f>
        <v>Low Volume</v>
      </c>
    </row>
    <row r="1806" spans="1:16" x14ac:dyDescent="0.3">
      <c r="A1806" t="s">
        <v>3615</v>
      </c>
      <c r="B1806" t="s">
        <v>3616</v>
      </c>
      <c r="C1806">
        <v>213</v>
      </c>
      <c r="D1806">
        <v>216.24</v>
      </c>
      <c r="E1806">
        <v>211.55</v>
      </c>
      <c r="F1806">
        <v>213.82</v>
      </c>
      <c r="G1806">
        <v>216.39</v>
      </c>
      <c r="H1806">
        <v>744565</v>
      </c>
      <c r="I1806">
        <v>7837</v>
      </c>
      <c r="J1806">
        <v>88185568139</v>
      </c>
      <c r="K1806">
        <v>412428997</v>
      </c>
      <c r="L1806">
        <f>(Table1[[#This Row],[CLOSE_PRICE]] - Table1[[#This Row],[PREV_CL_PR]]) / Table1[[#This Row],[PREV_CL_PR]] * 100</f>
        <v>-1.1876704099080333</v>
      </c>
      <c r="M1806">
        <f>Table1[[#This Row],[HIGH_PRICE]]-Table1[[#This Row],[LOW_PRICE]]</f>
        <v>4.6899999999999977</v>
      </c>
      <c r="N1806" t="str">
        <f>IF(Table1[[#This Row],[CLOSE_PRICE]]&gt;Table1[[#This Row],[OPEN_PRICE]],"Gain","Loss")</f>
        <v>Gain</v>
      </c>
      <c r="O1806" t="str">
        <f>IF(Table1[[#This Row],[MARKET_CAP]]&gt;200000000000,"Large Cap",
IF(Table1[[#This Row],[MARKET_CAP]]&gt;50000000000,"Mid Cap","Small Cap"))</f>
        <v>Mid Cap</v>
      </c>
      <c r="P1806" t="str">
        <f>IF(Table1[[#This Row],[NET_TRDQTY]]&gt;1000000,"High Volume","Low Volume")</f>
        <v>Low Volume</v>
      </c>
    </row>
    <row r="1807" spans="1:16" x14ac:dyDescent="0.3">
      <c r="A1807" t="s">
        <v>3617</v>
      </c>
      <c r="B1807" t="s">
        <v>3618</v>
      </c>
      <c r="C1807">
        <v>450.35</v>
      </c>
      <c r="D1807">
        <v>450.35</v>
      </c>
      <c r="E1807">
        <v>439.25</v>
      </c>
      <c r="F1807">
        <v>444.1</v>
      </c>
      <c r="G1807">
        <v>452</v>
      </c>
      <c r="H1807">
        <v>1097076</v>
      </c>
      <c r="I1807">
        <v>21617</v>
      </c>
      <c r="J1807">
        <v>261000000000</v>
      </c>
      <c r="K1807">
        <v>588398801</v>
      </c>
      <c r="L1807">
        <f>(Table1[[#This Row],[CLOSE_PRICE]] - Table1[[#This Row],[PREV_CL_PR]]) / Table1[[#This Row],[PREV_CL_PR]] * 100</f>
        <v>-1.7477876106194641</v>
      </c>
      <c r="M1807">
        <f>Table1[[#This Row],[HIGH_PRICE]]-Table1[[#This Row],[LOW_PRICE]]</f>
        <v>11.100000000000023</v>
      </c>
      <c r="N1807" t="str">
        <f>IF(Table1[[#This Row],[CLOSE_PRICE]]&gt;Table1[[#This Row],[OPEN_PRICE]],"Gain","Loss")</f>
        <v>Loss</v>
      </c>
      <c r="O1807" t="str">
        <f>IF(Table1[[#This Row],[MARKET_CAP]]&gt;200000000000,"Large Cap",
IF(Table1[[#This Row],[MARKET_CAP]]&gt;50000000000,"Mid Cap","Small Cap"))</f>
        <v>Large Cap</v>
      </c>
      <c r="P1807" t="str">
        <f>IF(Table1[[#This Row],[NET_TRDQTY]]&gt;1000000,"High Volume","Low Volume")</f>
        <v>High Volume</v>
      </c>
    </row>
    <row r="1808" spans="1:16" x14ac:dyDescent="0.3">
      <c r="A1808" t="s">
        <v>3619</v>
      </c>
      <c r="B1808" t="s">
        <v>3620</v>
      </c>
      <c r="C1808">
        <v>131.01</v>
      </c>
      <c r="D1808">
        <v>131.01</v>
      </c>
      <c r="E1808">
        <v>126</v>
      </c>
      <c r="F1808">
        <v>126.1</v>
      </c>
      <c r="G1808">
        <v>130.94999999999999</v>
      </c>
      <c r="H1808">
        <v>11533</v>
      </c>
      <c r="I1808">
        <v>274</v>
      </c>
      <c r="J1808">
        <v>1968212935</v>
      </c>
      <c r="K1808">
        <v>15608350</v>
      </c>
      <c r="L1808">
        <f>(Table1[[#This Row],[CLOSE_PRICE]] - Table1[[#This Row],[PREV_CL_PR]]) / Table1[[#This Row],[PREV_CL_PR]] * 100</f>
        <v>-3.7037037037037002</v>
      </c>
      <c r="M1808">
        <f>Table1[[#This Row],[HIGH_PRICE]]-Table1[[#This Row],[LOW_PRICE]]</f>
        <v>5.0099999999999909</v>
      </c>
      <c r="N1808" t="str">
        <f>IF(Table1[[#This Row],[CLOSE_PRICE]]&gt;Table1[[#This Row],[OPEN_PRICE]],"Gain","Loss")</f>
        <v>Loss</v>
      </c>
      <c r="O1808" t="str">
        <f>IF(Table1[[#This Row],[MARKET_CAP]]&gt;200000000000,"Large Cap",
IF(Table1[[#This Row],[MARKET_CAP]]&gt;50000000000,"Mid Cap","Small Cap"))</f>
        <v>Small Cap</v>
      </c>
      <c r="P1808" t="str">
        <f>IF(Table1[[#This Row],[NET_TRDQTY]]&gt;1000000,"High Volume","Low Volume")</f>
        <v>Low Volume</v>
      </c>
    </row>
    <row r="1809" spans="1:16" x14ac:dyDescent="0.3">
      <c r="A1809" t="s">
        <v>3621</v>
      </c>
      <c r="B1809" t="s">
        <v>3622</v>
      </c>
      <c r="C1809">
        <v>251.5</v>
      </c>
      <c r="D1809">
        <v>258.05</v>
      </c>
      <c r="E1809">
        <v>239.3</v>
      </c>
      <c r="F1809">
        <v>240.7</v>
      </c>
      <c r="G1809">
        <v>251.75</v>
      </c>
      <c r="H1809">
        <v>7836</v>
      </c>
      <c r="I1809">
        <v>343</v>
      </c>
      <c r="J1809">
        <v>2385416431</v>
      </c>
      <c r="K1809">
        <v>9910330</v>
      </c>
      <c r="L1809">
        <f>(Table1[[#This Row],[CLOSE_PRICE]] - Table1[[#This Row],[PREV_CL_PR]]) / Table1[[#This Row],[PREV_CL_PR]] * 100</f>
        <v>-4.3892750744786539</v>
      </c>
      <c r="M1809">
        <f>Table1[[#This Row],[HIGH_PRICE]]-Table1[[#This Row],[LOW_PRICE]]</f>
        <v>18.75</v>
      </c>
      <c r="N1809" t="str">
        <f>IF(Table1[[#This Row],[CLOSE_PRICE]]&gt;Table1[[#This Row],[OPEN_PRICE]],"Gain","Loss")</f>
        <v>Loss</v>
      </c>
      <c r="O1809" t="str">
        <f>IF(Table1[[#This Row],[MARKET_CAP]]&gt;200000000000,"Large Cap",
IF(Table1[[#This Row],[MARKET_CAP]]&gt;50000000000,"Mid Cap","Small Cap"))</f>
        <v>Small Cap</v>
      </c>
      <c r="P1809" t="str">
        <f>IF(Table1[[#This Row],[NET_TRDQTY]]&gt;1000000,"High Volume","Low Volume")</f>
        <v>Low Volume</v>
      </c>
    </row>
    <row r="1810" spans="1:16" x14ac:dyDescent="0.3">
      <c r="A1810" t="s">
        <v>3623</v>
      </c>
      <c r="B1810" t="s">
        <v>3624</v>
      </c>
      <c r="C1810">
        <v>105.8</v>
      </c>
      <c r="D1810">
        <v>105.8</v>
      </c>
      <c r="E1810">
        <v>99.1</v>
      </c>
      <c r="F1810">
        <v>100.52</v>
      </c>
      <c r="G1810">
        <v>107.42</v>
      </c>
      <c r="H1810">
        <v>64750</v>
      </c>
      <c r="I1810">
        <v>1782</v>
      </c>
      <c r="J1810">
        <v>6031200000</v>
      </c>
      <c r="K1810">
        <v>60000000</v>
      </c>
      <c r="L1810">
        <f>(Table1[[#This Row],[CLOSE_PRICE]] - Table1[[#This Row],[PREV_CL_PR]]) / Table1[[#This Row],[PREV_CL_PR]] * 100</f>
        <v>-6.4233848445354731</v>
      </c>
      <c r="M1810">
        <f>Table1[[#This Row],[HIGH_PRICE]]-Table1[[#This Row],[LOW_PRICE]]</f>
        <v>6.7000000000000028</v>
      </c>
      <c r="N1810" t="str">
        <f>IF(Table1[[#This Row],[CLOSE_PRICE]]&gt;Table1[[#This Row],[OPEN_PRICE]],"Gain","Loss")</f>
        <v>Loss</v>
      </c>
      <c r="O1810" t="str">
        <f>IF(Table1[[#This Row],[MARKET_CAP]]&gt;200000000000,"Large Cap",
IF(Table1[[#This Row],[MARKET_CAP]]&gt;50000000000,"Mid Cap","Small Cap"))</f>
        <v>Small Cap</v>
      </c>
      <c r="P1810" t="str">
        <f>IF(Table1[[#This Row],[NET_TRDQTY]]&gt;1000000,"High Volume","Low Volume")</f>
        <v>Low Volume</v>
      </c>
    </row>
    <row r="1811" spans="1:16" x14ac:dyDescent="0.3">
      <c r="A1811" t="s">
        <v>3625</v>
      </c>
      <c r="B1811" t="s">
        <v>3626</v>
      </c>
      <c r="C1811">
        <v>220.51</v>
      </c>
      <c r="D1811">
        <v>226.69</v>
      </c>
      <c r="E1811">
        <v>216</v>
      </c>
      <c r="F1811">
        <v>218.42</v>
      </c>
      <c r="G1811">
        <v>228.96</v>
      </c>
      <c r="H1811">
        <v>37906</v>
      </c>
      <c r="I1811">
        <v>1353</v>
      </c>
      <c r="J1811">
        <v>22104104000</v>
      </c>
      <c r="K1811">
        <v>101200000</v>
      </c>
      <c r="L1811">
        <f>(Table1[[#This Row],[CLOSE_PRICE]] - Table1[[#This Row],[PREV_CL_PR]]) / Table1[[#This Row],[PREV_CL_PR]] * 100</f>
        <v>-4.6034241788958861</v>
      </c>
      <c r="M1811">
        <f>Table1[[#This Row],[HIGH_PRICE]]-Table1[[#This Row],[LOW_PRICE]]</f>
        <v>10.689999999999998</v>
      </c>
      <c r="N1811" t="str">
        <f>IF(Table1[[#This Row],[CLOSE_PRICE]]&gt;Table1[[#This Row],[OPEN_PRICE]],"Gain","Loss")</f>
        <v>Loss</v>
      </c>
      <c r="O1811" t="str">
        <f>IF(Table1[[#This Row],[MARKET_CAP]]&gt;200000000000,"Large Cap",
IF(Table1[[#This Row],[MARKET_CAP]]&gt;50000000000,"Mid Cap","Small Cap"))</f>
        <v>Small Cap</v>
      </c>
      <c r="P1811" t="str">
        <f>IF(Table1[[#This Row],[NET_TRDQTY]]&gt;1000000,"High Volume","Low Volume")</f>
        <v>Low Volume</v>
      </c>
    </row>
    <row r="1812" spans="1:16" x14ac:dyDescent="0.3">
      <c r="A1812" t="s">
        <v>3627</v>
      </c>
      <c r="B1812" t="s">
        <v>3628</v>
      </c>
      <c r="C1812">
        <v>79</v>
      </c>
      <c r="D1812">
        <v>79.75</v>
      </c>
      <c r="E1812">
        <v>73.8</v>
      </c>
      <c r="F1812">
        <v>74.27</v>
      </c>
      <c r="G1812">
        <v>79.88</v>
      </c>
      <c r="H1812">
        <v>20361</v>
      </c>
      <c r="I1812">
        <v>471</v>
      </c>
      <c r="J1812">
        <v>1122003946</v>
      </c>
      <c r="K1812">
        <v>15107095</v>
      </c>
      <c r="L1812">
        <f>(Table1[[#This Row],[CLOSE_PRICE]] - Table1[[#This Row],[PREV_CL_PR]]) / Table1[[#This Row],[PREV_CL_PR]] * 100</f>
        <v>-7.0230345518277408</v>
      </c>
      <c r="M1812">
        <f>Table1[[#This Row],[HIGH_PRICE]]-Table1[[#This Row],[LOW_PRICE]]</f>
        <v>5.9500000000000028</v>
      </c>
      <c r="N1812" t="str">
        <f>IF(Table1[[#This Row],[CLOSE_PRICE]]&gt;Table1[[#This Row],[OPEN_PRICE]],"Gain","Loss")</f>
        <v>Loss</v>
      </c>
      <c r="O1812" t="str">
        <f>IF(Table1[[#This Row],[MARKET_CAP]]&gt;200000000000,"Large Cap",
IF(Table1[[#This Row],[MARKET_CAP]]&gt;50000000000,"Mid Cap","Small Cap"))</f>
        <v>Small Cap</v>
      </c>
      <c r="P1812" t="str">
        <f>IF(Table1[[#This Row],[NET_TRDQTY]]&gt;1000000,"High Volume","Low Volume")</f>
        <v>Low Volume</v>
      </c>
    </row>
    <row r="1813" spans="1:16" x14ac:dyDescent="0.3">
      <c r="A1813" t="s">
        <v>3629</v>
      </c>
      <c r="B1813" t="s">
        <v>3630</v>
      </c>
      <c r="C1813">
        <v>7.38</v>
      </c>
      <c r="D1813">
        <v>7.38</v>
      </c>
      <c r="E1813">
        <v>7</v>
      </c>
      <c r="F1813">
        <v>7.03</v>
      </c>
      <c r="G1813">
        <v>7.4</v>
      </c>
      <c r="H1813">
        <v>1642974</v>
      </c>
      <c r="I1813">
        <v>3052</v>
      </c>
      <c r="J1813">
        <v>8767960410</v>
      </c>
      <c r="K1813">
        <v>1247220542</v>
      </c>
      <c r="L1813">
        <f>(Table1[[#This Row],[CLOSE_PRICE]] - Table1[[#This Row],[PREV_CL_PR]]) / Table1[[#This Row],[PREV_CL_PR]] * 100</f>
        <v>-5.0000000000000009</v>
      </c>
      <c r="M1813">
        <f>Table1[[#This Row],[HIGH_PRICE]]-Table1[[#This Row],[LOW_PRICE]]</f>
        <v>0.37999999999999989</v>
      </c>
      <c r="N1813" t="str">
        <f>IF(Table1[[#This Row],[CLOSE_PRICE]]&gt;Table1[[#This Row],[OPEN_PRICE]],"Gain","Loss")</f>
        <v>Loss</v>
      </c>
      <c r="O1813" t="str">
        <f>IF(Table1[[#This Row],[MARKET_CAP]]&gt;200000000000,"Large Cap",
IF(Table1[[#This Row],[MARKET_CAP]]&gt;50000000000,"Mid Cap","Small Cap"))</f>
        <v>Small Cap</v>
      </c>
      <c r="P1813" t="str">
        <f>IF(Table1[[#This Row],[NET_TRDQTY]]&gt;1000000,"High Volume","Low Volume")</f>
        <v>High Volume</v>
      </c>
    </row>
    <row r="1814" spans="1:16" x14ac:dyDescent="0.3">
      <c r="A1814" t="s">
        <v>3631</v>
      </c>
      <c r="B1814" t="s">
        <v>3632</v>
      </c>
      <c r="C1814">
        <v>448.85</v>
      </c>
      <c r="D1814">
        <v>448.85</v>
      </c>
      <c r="E1814">
        <v>423</v>
      </c>
      <c r="F1814">
        <v>426.25</v>
      </c>
      <c r="G1814">
        <v>448.85</v>
      </c>
      <c r="H1814">
        <v>3181</v>
      </c>
      <c r="I1814">
        <v>373</v>
      </c>
      <c r="J1814">
        <v>7866616381</v>
      </c>
      <c r="K1814">
        <v>18455405</v>
      </c>
      <c r="L1814">
        <f>(Table1[[#This Row],[CLOSE_PRICE]] - Table1[[#This Row],[PREV_CL_PR]]) / Table1[[#This Row],[PREV_CL_PR]] * 100</f>
        <v>-5.0350896736103419</v>
      </c>
      <c r="M1814">
        <f>Table1[[#This Row],[HIGH_PRICE]]-Table1[[#This Row],[LOW_PRICE]]</f>
        <v>25.850000000000023</v>
      </c>
      <c r="N1814" t="str">
        <f>IF(Table1[[#This Row],[CLOSE_PRICE]]&gt;Table1[[#This Row],[OPEN_PRICE]],"Gain","Loss")</f>
        <v>Loss</v>
      </c>
      <c r="O1814" t="str">
        <f>IF(Table1[[#This Row],[MARKET_CAP]]&gt;200000000000,"Large Cap",
IF(Table1[[#This Row],[MARKET_CAP]]&gt;50000000000,"Mid Cap","Small Cap"))</f>
        <v>Small Cap</v>
      </c>
      <c r="P1814" t="str">
        <f>IF(Table1[[#This Row],[NET_TRDQTY]]&gt;1000000,"High Volume","Low Volume")</f>
        <v>Low Volume</v>
      </c>
    </row>
    <row r="1815" spans="1:16" x14ac:dyDescent="0.3">
      <c r="A1815" t="s">
        <v>3633</v>
      </c>
      <c r="B1815" t="s">
        <v>3634</v>
      </c>
      <c r="C1815">
        <v>176.25</v>
      </c>
      <c r="D1815">
        <v>176.25</v>
      </c>
      <c r="E1815">
        <v>166</v>
      </c>
      <c r="F1815">
        <v>167.75</v>
      </c>
      <c r="G1815">
        <v>177.55</v>
      </c>
      <c r="H1815">
        <v>78312</v>
      </c>
      <c r="I1815">
        <v>2267</v>
      </c>
      <c r="J1815">
        <v>6069919345</v>
      </c>
      <c r="K1815">
        <v>36184318</v>
      </c>
      <c r="L1815">
        <f>(Table1[[#This Row],[CLOSE_PRICE]] - Table1[[#This Row],[PREV_CL_PR]]) / Table1[[#This Row],[PREV_CL_PR]] * 100</f>
        <v>-5.5195719515629458</v>
      </c>
      <c r="M1815">
        <f>Table1[[#This Row],[HIGH_PRICE]]-Table1[[#This Row],[LOW_PRICE]]</f>
        <v>10.25</v>
      </c>
      <c r="N1815" t="str">
        <f>IF(Table1[[#This Row],[CLOSE_PRICE]]&gt;Table1[[#This Row],[OPEN_PRICE]],"Gain","Loss")</f>
        <v>Loss</v>
      </c>
      <c r="O1815" t="str">
        <f>IF(Table1[[#This Row],[MARKET_CAP]]&gt;200000000000,"Large Cap",
IF(Table1[[#This Row],[MARKET_CAP]]&gt;50000000000,"Mid Cap","Small Cap"))</f>
        <v>Small Cap</v>
      </c>
      <c r="P1815" t="str">
        <f>IF(Table1[[#This Row],[NET_TRDQTY]]&gt;1000000,"High Volume","Low Volume")</f>
        <v>Low Volume</v>
      </c>
    </row>
    <row r="1816" spans="1:16" x14ac:dyDescent="0.3">
      <c r="A1816" t="s">
        <v>3635</v>
      </c>
      <c r="B1816" t="s">
        <v>3636</v>
      </c>
      <c r="C1816">
        <v>18.55</v>
      </c>
      <c r="D1816">
        <v>18.55</v>
      </c>
      <c r="E1816">
        <v>17.989999999999998</v>
      </c>
      <c r="F1816">
        <v>18.02</v>
      </c>
      <c r="G1816">
        <v>18.649999999999999</v>
      </c>
      <c r="H1816">
        <v>5135541</v>
      </c>
      <c r="I1816">
        <v>1869</v>
      </c>
      <c r="J1816">
        <v>8792337970</v>
      </c>
      <c r="K1816">
        <v>487921086</v>
      </c>
      <c r="L1816">
        <f>(Table1[[#This Row],[CLOSE_PRICE]] - Table1[[#This Row],[PREV_CL_PR]]) / Table1[[#This Row],[PREV_CL_PR]] * 100</f>
        <v>-3.3780160857908794</v>
      </c>
      <c r="M1816">
        <f>Table1[[#This Row],[HIGH_PRICE]]-Table1[[#This Row],[LOW_PRICE]]</f>
        <v>0.56000000000000227</v>
      </c>
      <c r="N1816" t="str">
        <f>IF(Table1[[#This Row],[CLOSE_PRICE]]&gt;Table1[[#This Row],[OPEN_PRICE]],"Gain","Loss")</f>
        <v>Loss</v>
      </c>
      <c r="O1816" t="str">
        <f>IF(Table1[[#This Row],[MARKET_CAP]]&gt;200000000000,"Large Cap",
IF(Table1[[#This Row],[MARKET_CAP]]&gt;50000000000,"Mid Cap","Small Cap"))</f>
        <v>Small Cap</v>
      </c>
      <c r="P1816" t="str">
        <f>IF(Table1[[#This Row],[NET_TRDQTY]]&gt;1000000,"High Volume","Low Volume")</f>
        <v>High Volume</v>
      </c>
    </row>
    <row r="1817" spans="1:16" x14ac:dyDescent="0.3">
      <c r="A1817" t="s">
        <v>3637</v>
      </c>
      <c r="B1817" t="s">
        <v>3638</v>
      </c>
      <c r="C1817">
        <v>185</v>
      </c>
      <c r="D1817">
        <v>185.48</v>
      </c>
      <c r="E1817">
        <v>170.02</v>
      </c>
      <c r="F1817">
        <v>173.2</v>
      </c>
      <c r="G1817">
        <v>188.56</v>
      </c>
      <c r="H1817">
        <v>5221474</v>
      </c>
      <c r="I1817">
        <v>38181</v>
      </c>
      <c r="J1817">
        <v>84535366802</v>
      </c>
      <c r="K1817">
        <v>488079485</v>
      </c>
      <c r="L1817">
        <f>(Table1[[#This Row],[CLOSE_PRICE]] - Table1[[#This Row],[PREV_CL_PR]]) / Table1[[#This Row],[PREV_CL_PR]] * 100</f>
        <v>-8.1459482392872378</v>
      </c>
      <c r="M1817">
        <f>Table1[[#This Row],[HIGH_PRICE]]-Table1[[#This Row],[LOW_PRICE]]</f>
        <v>15.45999999999998</v>
      </c>
      <c r="N1817" t="str">
        <f>IF(Table1[[#This Row],[CLOSE_PRICE]]&gt;Table1[[#This Row],[OPEN_PRICE]],"Gain","Loss")</f>
        <v>Loss</v>
      </c>
      <c r="O1817" t="str">
        <f>IF(Table1[[#This Row],[MARKET_CAP]]&gt;200000000000,"Large Cap",
IF(Table1[[#This Row],[MARKET_CAP]]&gt;50000000000,"Mid Cap","Small Cap"))</f>
        <v>Mid Cap</v>
      </c>
      <c r="P1817" t="str">
        <f>IF(Table1[[#This Row],[NET_TRDQTY]]&gt;1000000,"High Volume","Low Volume")</f>
        <v>High Volume</v>
      </c>
    </row>
    <row r="1818" spans="1:16" x14ac:dyDescent="0.3">
      <c r="A1818" t="s">
        <v>3639</v>
      </c>
      <c r="B1818" t="s">
        <v>3640</v>
      </c>
      <c r="C1818">
        <v>490</v>
      </c>
      <c r="D1818">
        <v>517.15</v>
      </c>
      <c r="E1818">
        <v>484.9</v>
      </c>
      <c r="F1818">
        <v>494.1</v>
      </c>
      <c r="G1818">
        <v>498.75</v>
      </c>
      <c r="H1818">
        <v>1020006</v>
      </c>
      <c r="I1818">
        <v>32823</v>
      </c>
      <c r="J1818">
        <v>16355451150</v>
      </c>
      <c r="K1818">
        <v>33101500</v>
      </c>
      <c r="L1818">
        <f>(Table1[[#This Row],[CLOSE_PRICE]] - Table1[[#This Row],[PREV_CL_PR]]) / Table1[[#This Row],[PREV_CL_PR]] * 100</f>
        <v>-0.93233082706766468</v>
      </c>
      <c r="M1818">
        <f>Table1[[#This Row],[HIGH_PRICE]]-Table1[[#This Row],[LOW_PRICE]]</f>
        <v>32.25</v>
      </c>
      <c r="N1818" t="str">
        <f>IF(Table1[[#This Row],[CLOSE_PRICE]]&gt;Table1[[#This Row],[OPEN_PRICE]],"Gain","Loss")</f>
        <v>Gain</v>
      </c>
      <c r="O1818" t="str">
        <f>IF(Table1[[#This Row],[MARKET_CAP]]&gt;200000000000,"Large Cap",
IF(Table1[[#This Row],[MARKET_CAP]]&gt;50000000000,"Mid Cap","Small Cap"))</f>
        <v>Small Cap</v>
      </c>
      <c r="P1818" t="str">
        <f>IF(Table1[[#This Row],[NET_TRDQTY]]&gt;1000000,"High Volume","Low Volume")</f>
        <v>High Volume</v>
      </c>
    </row>
    <row r="1819" spans="1:16" x14ac:dyDescent="0.3">
      <c r="A1819" t="s">
        <v>3641</v>
      </c>
      <c r="B1819" t="s">
        <v>3642</v>
      </c>
      <c r="C1819">
        <v>485</v>
      </c>
      <c r="D1819">
        <v>485</v>
      </c>
      <c r="E1819">
        <v>470.15</v>
      </c>
      <c r="F1819">
        <v>481.3</v>
      </c>
      <c r="G1819">
        <v>490.65</v>
      </c>
      <c r="H1819">
        <v>28003</v>
      </c>
      <c r="I1819">
        <v>2095</v>
      </c>
      <c r="J1819">
        <v>18940791420</v>
      </c>
      <c r="K1819">
        <v>39353400</v>
      </c>
      <c r="L1819">
        <f>(Table1[[#This Row],[CLOSE_PRICE]] - Table1[[#This Row],[PREV_CL_PR]]) / Table1[[#This Row],[PREV_CL_PR]] * 100</f>
        <v>-1.9056353816365976</v>
      </c>
      <c r="M1819">
        <f>Table1[[#This Row],[HIGH_PRICE]]-Table1[[#This Row],[LOW_PRICE]]</f>
        <v>14.850000000000023</v>
      </c>
      <c r="N1819" t="str">
        <f>IF(Table1[[#This Row],[CLOSE_PRICE]]&gt;Table1[[#This Row],[OPEN_PRICE]],"Gain","Loss")</f>
        <v>Loss</v>
      </c>
      <c r="O1819" t="str">
        <f>IF(Table1[[#This Row],[MARKET_CAP]]&gt;200000000000,"Large Cap",
IF(Table1[[#This Row],[MARKET_CAP]]&gt;50000000000,"Mid Cap","Small Cap"))</f>
        <v>Small Cap</v>
      </c>
      <c r="P1819" t="str">
        <f>IF(Table1[[#This Row],[NET_TRDQTY]]&gt;1000000,"High Volume","Low Volume")</f>
        <v>Low Volume</v>
      </c>
    </row>
    <row r="1820" spans="1:16" x14ac:dyDescent="0.3">
      <c r="A1820" t="s">
        <v>3643</v>
      </c>
      <c r="B1820" t="s">
        <v>3644</v>
      </c>
      <c r="C1820">
        <v>232.28</v>
      </c>
      <c r="D1820">
        <v>232.28</v>
      </c>
      <c r="E1820">
        <v>218</v>
      </c>
      <c r="F1820">
        <v>223.3</v>
      </c>
      <c r="G1820">
        <v>231.4</v>
      </c>
      <c r="H1820">
        <v>151096</v>
      </c>
      <c r="I1820">
        <v>3659</v>
      </c>
      <c r="J1820">
        <v>36131240946</v>
      </c>
      <c r="K1820">
        <v>161805826</v>
      </c>
      <c r="L1820">
        <f>(Table1[[#This Row],[CLOSE_PRICE]] - Table1[[#This Row],[PREV_CL_PR]]) / Table1[[#This Row],[PREV_CL_PR]] * 100</f>
        <v>-3.5004321521175426</v>
      </c>
      <c r="M1820">
        <f>Table1[[#This Row],[HIGH_PRICE]]-Table1[[#This Row],[LOW_PRICE]]</f>
        <v>14.280000000000001</v>
      </c>
      <c r="N1820" t="str">
        <f>IF(Table1[[#This Row],[CLOSE_PRICE]]&gt;Table1[[#This Row],[OPEN_PRICE]],"Gain","Loss")</f>
        <v>Loss</v>
      </c>
      <c r="O1820" t="str">
        <f>IF(Table1[[#This Row],[MARKET_CAP]]&gt;200000000000,"Large Cap",
IF(Table1[[#This Row],[MARKET_CAP]]&gt;50000000000,"Mid Cap","Small Cap"))</f>
        <v>Small Cap</v>
      </c>
      <c r="P1820" t="str">
        <f>IF(Table1[[#This Row],[NET_TRDQTY]]&gt;1000000,"High Volume","Low Volume")</f>
        <v>Low Volume</v>
      </c>
    </row>
    <row r="1821" spans="1:16" x14ac:dyDescent="0.3">
      <c r="A1821" t="s">
        <v>3645</v>
      </c>
      <c r="B1821" t="s">
        <v>3646</v>
      </c>
      <c r="C1821">
        <v>2200.1999999999998</v>
      </c>
      <c r="D1821">
        <v>2210</v>
      </c>
      <c r="E1821">
        <v>2179</v>
      </c>
      <c r="F1821">
        <v>2202</v>
      </c>
      <c r="G1821">
        <v>2205.6999999999998</v>
      </c>
      <c r="H1821">
        <v>85485</v>
      </c>
      <c r="I1821">
        <v>3892</v>
      </c>
      <c r="J1821">
        <v>37319628120</v>
      </c>
      <c r="K1821">
        <v>16948060</v>
      </c>
      <c r="L1821">
        <f>(Table1[[#This Row],[CLOSE_PRICE]] - Table1[[#This Row],[PREV_CL_PR]]) / Table1[[#This Row],[PREV_CL_PR]] * 100</f>
        <v>-0.16774720043522773</v>
      </c>
      <c r="M1821">
        <f>Table1[[#This Row],[HIGH_PRICE]]-Table1[[#This Row],[LOW_PRICE]]</f>
        <v>31</v>
      </c>
      <c r="N1821" t="str">
        <f>IF(Table1[[#This Row],[CLOSE_PRICE]]&gt;Table1[[#This Row],[OPEN_PRICE]],"Gain","Loss")</f>
        <v>Gain</v>
      </c>
      <c r="O1821" t="str">
        <f>IF(Table1[[#This Row],[MARKET_CAP]]&gt;200000000000,"Large Cap",
IF(Table1[[#This Row],[MARKET_CAP]]&gt;50000000000,"Mid Cap","Small Cap"))</f>
        <v>Small Cap</v>
      </c>
      <c r="P1821" t="str">
        <f>IF(Table1[[#This Row],[NET_TRDQTY]]&gt;1000000,"High Volume","Low Volume")</f>
        <v>Low Volume</v>
      </c>
    </row>
    <row r="1822" spans="1:16" x14ac:dyDescent="0.3">
      <c r="A1822" t="s">
        <v>3647</v>
      </c>
      <c r="B1822" t="s">
        <v>3648</v>
      </c>
      <c r="C1822">
        <v>240.15</v>
      </c>
      <c r="D1822">
        <v>250.75</v>
      </c>
      <c r="E1822">
        <v>229.95</v>
      </c>
      <c r="F1822">
        <v>245.85</v>
      </c>
      <c r="G1822">
        <v>242.85</v>
      </c>
      <c r="H1822">
        <v>689149</v>
      </c>
      <c r="I1822">
        <v>10927</v>
      </c>
      <c r="J1822">
        <v>18344676235</v>
      </c>
      <c r="K1822">
        <v>74617353</v>
      </c>
      <c r="L1822">
        <f>(Table1[[#This Row],[CLOSE_PRICE]] - Table1[[#This Row],[PREV_CL_PR]]) / Table1[[#This Row],[PREV_CL_PR]] * 100</f>
        <v>1.2353304508956144</v>
      </c>
      <c r="M1822">
        <f>Table1[[#This Row],[HIGH_PRICE]]-Table1[[#This Row],[LOW_PRICE]]</f>
        <v>20.800000000000011</v>
      </c>
      <c r="N1822" t="str">
        <f>IF(Table1[[#This Row],[CLOSE_PRICE]]&gt;Table1[[#This Row],[OPEN_PRICE]],"Gain","Loss")</f>
        <v>Gain</v>
      </c>
      <c r="O1822" t="str">
        <f>IF(Table1[[#This Row],[MARKET_CAP]]&gt;200000000000,"Large Cap",
IF(Table1[[#This Row],[MARKET_CAP]]&gt;50000000000,"Mid Cap","Small Cap"))</f>
        <v>Small Cap</v>
      </c>
      <c r="P1822" t="str">
        <f>IF(Table1[[#This Row],[NET_TRDQTY]]&gt;1000000,"High Volume","Low Volume")</f>
        <v>Low Volume</v>
      </c>
    </row>
    <row r="1823" spans="1:16" x14ac:dyDescent="0.3">
      <c r="A1823" t="s">
        <v>3649</v>
      </c>
      <c r="B1823" t="s">
        <v>3650</v>
      </c>
      <c r="C1823">
        <v>1945</v>
      </c>
      <c r="D1823">
        <v>1950</v>
      </c>
      <c r="E1823">
        <v>1829.2</v>
      </c>
      <c r="F1823">
        <v>1845.7</v>
      </c>
      <c r="G1823">
        <v>1969.7</v>
      </c>
      <c r="H1823">
        <v>38408</v>
      </c>
      <c r="I1823">
        <v>4686</v>
      </c>
      <c r="J1823">
        <v>32457788063</v>
      </c>
      <c r="K1823">
        <v>17585625</v>
      </c>
      <c r="L1823">
        <f>(Table1[[#This Row],[CLOSE_PRICE]] - Table1[[#This Row],[PREV_CL_PR]]) / Table1[[#This Row],[PREV_CL_PR]] * 100</f>
        <v>-6.2953749301924153</v>
      </c>
      <c r="M1823">
        <f>Table1[[#This Row],[HIGH_PRICE]]-Table1[[#This Row],[LOW_PRICE]]</f>
        <v>120.79999999999995</v>
      </c>
      <c r="N1823" t="str">
        <f>IF(Table1[[#This Row],[CLOSE_PRICE]]&gt;Table1[[#This Row],[OPEN_PRICE]],"Gain","Loss")</f>
        <v>Loss</v>
      </c>
      <c r="O1823" t="str">
        <f>IF(Table1[[#This Row],[MARKET_CAP]]&gt;200000000000,"Large Cap",
IF(Table1[[#This Row],[MARKET_CAP]]&gt;50000000000,"Mid Cap","Small Cap"))</f>
        <v>Small Cap</v>
      </c>
      <c r="P1823" t="str">
        <f>IF(Table1[[#This Row],[NET_TRDQTY]]&gt;1000000,"High Volume","Low Volume")</f>
        <v>Low Volume</v>
      </c>
    </row>
    <row r="1824" spans="1:16" x14ac:dyDescent="0.3">
      <c r="A1824" t="s">
        <v>3651</v>
      </c>
      <c r="B1824" t="s">
        <v>3652</v>
      </c>
      <c r="C1824">
        <v>8.02</v>
      </c>
      <c r="D1824">
        <v>8.09</v>
      </c>
      <c r="E1824">
        <v>7.5</v>
      </c>
      <c r="F1824">
        <v>7.6</v>
      </c>
      <c r="G1824">
        <v>8.1300000000000008</v>
      </c>
      <c r="H1824">
        <v>3826577</v>
      </c>
      <c r="I1824">
        <v>4686</v>
      </c>
      <c r="J1824">
        <v>4271222306</v>
      </c>
      <c r="K1824">
        <v>562002935</v>
      </c>
      <c r="L1824">
        <f>(Table1[[#This Row],[CLOSE_PRICE]] - Table1[[#This Row],[PREV_CL_PR]]) / Table1[[#This Row],[PREV_CL_PR]] * 100</f>
        <v>-6.5190651906519195</v>
      </c>
      <c r="M1824">
        <f>Table1[[#This Row],[HIGH_PRICE]]-Table1[[#This Row],[LOW_PRICE]]</f>
        <v>0.58999999999999986</v>
      </c>
      <c r="N1824" t="str">
        <f>IF(Table1[[#This Row],[CLOSE_PRICE]]&gt;Table1[[#This Row],[OPEN_PRICE]],"Gain","Loss")</f>
        <v>Loss</v>
      </c>
      <c r="O1824" t="str">
        <f>IF(Table1[[#This Row],[MARKET_CAP]]&gt;200000000000,"Large Cap",
IF(Table1[[#This Row],[MARKET_CAP]]&gt;50000000000,"Mid Cap","Small Cap"))</f>
        <v>Small Cap</v>
      </c>
      <c r="P1824" t="str">
        <f>IF(Table1[[#This Row],[NET_TRDQTY]]&gt;1000000,"High Volume","Low Volume")</f>
        <v>High Volume</v>
      </c>
    </row>
    <row r="1825" spans="1:16" x14ac:dyDescent="0.3">
      <c r="A1825" t="s">
        <v>3653</v>
      </c>
      <c r="B1825" t="s">
        <v>3654</v>
      </c>
      <c r="C1825">
        <v>655</v>
      </c>
      <c r="D1825">
        <v>663.8</v>
      </c>
      <c r="E1825">
        <v>631.6</v>
      </c>
      <c r="F1825">
        <v>636.75</v>
      </c>
      <c r="G1825">
        <v>676.55</v>
      </c>
      <c r="H1825">
        <v>67566</v>
      </c>
      <c r="I1825">
        <v>4660</v>
      </c>
      <c r="J1825">
        <v>41538863813</v>
      </c>
      <c r="K1825">
        <v>65235750</v>
      </c>
      <c r="L1825">
        <f>(Table1[[#This Row],[CLOSE_PRICE]] - Table1[[#This Row],[PREV_CL_PR]]) / Table1[[#This Row],[PREV_CL_PR]] * 100</f>
        <v>-5.8827876727514532</v>
      </c>
      <c r="M1825">
        <f>Table1[[#This Row],[HIGH_PRICE]]-Table1[[#This Row],[LOW_PRICE]]</f>
        <v>32.199999999999932</v>
      </c>
      <c r="N1825" t="str">
        <f>IF(Table1[[#This Row],[CLOSE_PRICE]]&gt;Table1[[#This Row],[OPEN_PRICE]],"Gain","Loss")</f>
        <v>Loss</v>
      </c>
      <c r="O1825" t="str">
        <f>IF(Table1[[#This Row],[MARKET_CAP]]&gt;200000000000,"Large Cap",
IF(Table1[[#This Row],[MARKET_CAP]]&gt;50000000000,"Mid Cap","Small Cap"))</f>
        <v>Small Cap</v>
      </c>
      <c r="P1825" t="str">
        <f>IF(Table1[[#This Row],[NET_TRDQTY]]&gt;1000000,"High Volume","Low Volume")</f>
        <v>Low Volume</v>
      </c>
    </row>
    <row r="1826" spans="1:16" x14ac:dyDescent="0.3">
      <c r="A1826" t="s">
        <v>3655</v>
      </c>
      <c r="B1826" t="s">
        <v>3656</v>
      </c>
      <c r="C1826">
        <v>312.8</v>
      </c>
      <c r="D1826">
        <v>317.3</v>
      </c>
      <c r="E1826">
        <v>281</v>
      </c>
      <c r="F1826">
        <v>288.95</v>
      </c>
      <c r="G1826">
        <v>312.35000000000002</v>
      </c>
      <c r="H1826">
        <v>18895</v>
      </c>
      <c r="I1826">
        <v>1521</v>
      </c>
      <c r="J1826">
        <v>6669485532</v>
      </c>
      <c r="K1826">
        <v>23081798</v>
      </c>
      <c r="L1826">
        <f>(Table1[[#This Row],[CLOSE_PRICE]] - Table1[[#This Row],[PREV_CL_PR]]) / Table1[[#This Row],[PREV_CL_PR]] * 100</f>
        <v>-7.4915959660637217</v>
      </c>
      <c r="M1826">
        <f>Table1[[#This Row],[HIGH_PRICE]]-Table1[[#This Row],[LOW_PRICE]]</f>
        <v>36.300000000000011</v>
      </c>
      <c r="N1826" t="str">
        <f>IF(Table1[[#This Row],[CLOSE_PRICE]]&gt;Table1[[#This Row],[OPEN_PRICE]],"Gain","Loss")</f>
        <v>Loss</v>
      </c>
      <c r="O1826" t="str">
        <f>IF(Table1[[#This Row],[MARKET_CAP]]&gt;200000000000,"Large Cap",
IF(Table1[[#This Row],[MARKET_CAP]]&gt;50000000000,"Mid Cap","Small Cap"))</f>
        <v>Small Cap</v>
      </c>
      <c r="P1826" t="str">
        <f>IF(Table1[[#This Row],[NET_TRDQTY]]&gt;1000000,"High Volume","Low Volume")</f>
        <v>Low Volume</v>
      </c>
    </row>
    <row r="1827" spans="1:16" x14ac:dyDescent="0.3">
      <c r="A1827" t="s">
        <v>3657</v>
      </c>
      <c r="B1827" t="s">
        <v>3658</v>
      </c>
      <c r="C1827">
        <v>798.35</v>
      </c>
      <c r="D1827">
        <v>800.45</v>
      </c>
      <c r="E1827">
        <v>756.05</v>
      </c>
      <c r="F1827">
        <v>759.8</v>
      </c>
      <c r="G1827">
        <v>812.55</v>
      </c>
      <c r="H1827">
        <v>115076</v>
      </c>
      <c r="I1827">
        <v>7285</v>
      </c>
      <c r="J1827">
        <v>59725198185</v>
      </c>
      <c r="K1827">
        <v>78606473</v>
      </c>
      <c r="L1827">
        <f>(Table1[[#This Row],[CLOSE_PRICE]] - Table1[[#This Row],[PREV_CL_PR]]) / Table1[[#This Row],[PREV_CL_PR]] * 100</f>
        <v>-6.4919081902652147</v>
      </c>
      <c r="M1827">
        <f>Table1[[#This Row],[HIGH_PRICE]]-Table1[[#This Row],[LOW_PRICE]]</f>
        <v>44.400000000000091</v>
      </c>
      <c r="N1827" t="str">
        <f>IF(Table1[[#This Row],[CLOSE_PRICE]]&gt;Table1[[#This Row],[OPEN_PRICE]],"Gain","Loss")</f>
        <v>Loss</v>
      </c>
      <c r="O1827" t="str">
        <f>IF(Table1[[#This Row],[MARKET_CAP]]&gt;200000000000,"Large Cap",
IF(Table1[[#This Row],[MARKET_CAP]]&gt;50000000000,"Mid Cap","Small Cap"))</f>
        <v>Mid Cap</v>
      </c>
      <c r="P1827" t="str">
        <f>IF(Table1[[#This Row],[NET_TRDQTY]]&gt;1000000,"High Volume","Low Volume")</f>
        <v>Low Volume</v>
      </c>
    </row>
    <row r="1828" spans="1:16" x14ac:dyDescent="0.3">
      <c r="A1828" t="s">
        <v>3659</v>
      </c>
      <c r="B1828" t="s">
        <v>3660</v>
      </c>
      <c r="C1828">
        <v>600</v>
      </c>
      <c r="D1828">
        <v>609.20000000000005</v>
      </c>
      <c r="E1828">
        <v>591</v>
      </c>
      <c r="F1828">
        <v>597.4</v>
      </c>
      <c r="G1828">
        <v>613.85</v>
      </c>
      <c r="H1828">
        <v>44313</v>
      </c>
      <c r="I1828">
        <v>2848</v>
      </c>
      <c r="J1828">
        <v>67475508575</v>
      </c>
      <c r="K1828">
        <v>112948625</v>
      </c>
      <c r="L1828">
        <f>(Table1[[#This Row],[CLOSE_PRICE]] - Table1[[#This Row],[PREV_CL_PR]]) / Table1[[#This Row],[PREV_CL_PR]] * 100</f>
        <v>-2.6798077706280106</v>
      </c>
      <c r="M1828">
        <f>Table1[[#This Row],[HIGH_PRICE]]-Table1[[#This Row],[LOW_PRICE]]</f>
        <v>18.200000000000045</v>
      </c>
      <c r="N1828" t="str">
        <f>IF(Table1[[#This Row],[CLOSE_PRICE]]&gt;Table1[[#This Row],[OPEN_PRICE]],"Gain","Loss")</f>
        <v>Loss</v>
      </c>
      <c r="O1828" t="str">
        <f>IF(Table1[[#This Row],[MARKET_CAP]]&gt;200000000000,"Large Cap",
IF(Table1[[#This Row],[MARKET_CAP]]&gt;50000000000,"Mid Cap","Small Cap"))</f>
        <v>Mid Cap</v>
      </c>
      <c r="P1828" t="str">
        <f>IF(Table1[[#This Row],[NET_TRDQTY]]&gt;1000000,"High Volume","Low Volume")</f>
        <v>Low Volume</v>
      </c>
    </row>
    <row r="1829" spans="1:16" x14ac:dyDescent="0.3">
      <c r="A1829" t="s">
        <v>3661</v>
      </c>
      <c r="B1829" t="s">
        <v>3662</v>
      </c>
      <c r="C1829">
        <v>161.5</v>
      </c>
      <c r="D1829">
        <v>161.5</v>
      </c>
      <c r="E1829">
        <v>153.36000000000001</v>
      </c>
      <c r="F1829">
        <v>155.26</v>
      </c>
      <c r="G1829">
        <v>162.58000000000001</v>
      </c>
      <c r="H1829">
        <v>12529</v>
      </c>
      <c r="I1829">
        <v>542</v>
      </c>
      <c r="J1829">
        <v>4850943440</v>
      </c>
      <c r="K1829">
        <v>31244000</v>
      </c>
      <c r="L1829">
        <f>(Table1[[#This Row],[CLOSE_PRICE]] - Table1[[#This Row],[PREV_CL_PR]]) / Table1[[#This Row],[PREV_CL_PR]] * 100</f>
        <v>-4.5023988190429458</v>
      </c>
      <c r="M1829">
        <f>Table1[[#This Row],[HIGH_PRICE]]-Table1[[#This Row],[LOW_PRICE]]</f>
        <v>8.1399999999999864</v>
      </c>
      <c r="N1829" t="str">
        <f>IF(Table1[[#This Row],[CLOSE_PRICE]]&gt;Table1[[#This Row],[OPEN_PRICE]],"Gain","Loss")</f>
        <v>Loss</v>
      </c>
      <c r="O1829" t="str">
        <f>IF(Table1[[#This Row],[MARKET_CAP]]&gt;200000000000,"Large Cap",
IF(Table1[[#This Row],[MARKET_CAP]]&gt;50000000000,"Mid Cap","Small Cap"))</f>
        <v>Small Cap</v>
      </c>
      <c r="P1829" t="str">
        <f>IF(Table1[[#This Row],[NET_TRDQTY]]&gt;1000000,"High Volume","Low Volume")</f>
        <v>Low Volume</v>
      </c>
    </row>
    <row r="1830" spans="1:16" x14ac:dyDescent="0.3">
      <c r="A1830" t="s">
        <v>3663</v>
      </c>
      <c r="B1830" t="s">
        <v>3664</v>
      </c>
      <c r="C1830">
        <v>151.4</v>
      </c>
      <c r="D1830">
        <v>151.66</v>
      </c>
      <c r="E1830">
        <v>142</v>
      </c>
      <c r="F1830">
        <v>142.69</v>
      </c>
      <c r="G1830">
        <v>152.62</v>
      </c>
      <c r="H1830">
        <v>609157</v>
      </c>
      <c r="I1830">
        <v>9586</v>
      </c>
      <c r="J1830">
        <v>12049775106</v>
      </c>
      <c r="K1830">
        <v>84447229</v>
      </c>
      <c r="L1830">
        <f>(Table1[[#This Row],[CLOSE_PRICE]] - Table1[[#This Row],[PREV_CL_PR]]) / Table1[[#This Row],[PREV_CL_PR]] * 100</f>
        <v>-6.5063556545669021</v>
      </c>
      <c r="M1830">
        <f>Table1[[#This Row],[HIGH_PRICE]]-Table1[[#This Row],[LOW_PRICE]]</f>
        <v>9.6599999999999966</v>
      </c>
      <c r="N1830" t="str">
        <f>IF(Table1[[#This Row],[CLOSE_PRICE]]&gt;Table1[[#This Row],[OPEN_PRICE]],"Gain","Loss")</f>
        <v>Loss</v>
      </c>
      <c r="O1830" t="str">
        <f>IF(Table1[[#This Row],[MARKET_CAP]]&gt;200000000000,"Large Cap",
IF(Table1[[#This Row],[MARKET_CAP]]&gt;50000000000,"Mid Cap","Small Cap"))</f>
        <v>Small Cap</v>
      </c>
      <c r="P1830" t="str">
        <f>IF(Table1[[#This Row],[NET_TRDQTY]]&gt;1000000,"High Volume","Low Volume")</f>
        <v>Low Volume</v>
      </c>
    </row>
    <row r="1831" spans="1:16" x14ac:dyDescent="0.3">
      <c r="A1831" t="s">
        <v>3665</v>
      </c>
      <c r="B1831" t="s">
        <v>3666</v>
      </c>
      <c r="C1831">
        <v>28.6</v>
      </c>
      <c r="D1831">
        <v>30.85</v>
      </c>
      <c r="E1831">
        <v>27.93</v>
      </c>
      <c r="F1831">
        <v>28.76</v>
      </c>
      <c r="G1831">
        <v>29.39</v>
      </c>
      <c r="H1831">
        <v>331404</v>
      </c>
      <c r="I1831">
        <v>1699</v>
      </c>
      <c r="J1831">
        <v>15137126557</v>
      </c>
      <c r="K1831">
        <v>526325680</v>
      </c>
      <c r="L1831">
        <f>(Table1[[#This Row],[CLOSE_PRICE]] - Table1[[#This Row],[PREV_CL_PR]]) / Table1[[#This Row],[PREV_CL_PR]] * 100</f>
        <v>-2.143586253827829</v>
      </c>
      <c r="M1831">
        <f>Table1[[#This Row],[HIGH_PRICE]]-Table1[[#This Row],[LOW_PRICE]]</f>
        <v>2.9200000000000017</v>
      </c>
      <c r="N1831" t="str">
        <f>IF(Table1[[#This Row],[CLOSE_PRICE]]&gt;Table1[[#This Row],[OPEN_PRICE]],"Gain","Loss")</f>
        <v>Gain</v>
      </c>
      <c r="O1831" t="str">
        <f>IF(Table1[[#This Row],[MARKET_CAP]]&gt;200000000000,"Large Cap",
IF(Table1[[#This Row],[MARKET_CAP]]&gt;50000000000,"Mid Cap","Small Cap"))</f>
        <v>Small Cap</v>
      </c>
      <c r="P1831" t="str">
        <f>IF(Table1[[#This Row],[NET_TRDQTY]]&gt;1000000,"High Volume","Low Volume")</f>
        <v>Low Volume</v>
      </c>
    </row>
    <row r="1832" spans="1:16" x14ac:dyDescent="0.3">
      <c r="A1832" t="s">
        <v>3667</v>
      </c>
      <c r="B1832" t="s">
        <v>3668</v>
      </c>
      <c r="C1832">
        <v>383</v>
      </c>
      <c r="D1832">
        <v>385</v>
      </c>
      <c r="E1832">
        <v>370.15</v>
      </c>
      <c r="F1832">
        <v>375.1</v>
      </c>
      <c r="G1832">
        <v>387</v>
      </c>
      <c r="H1832">
        <v>321284</v>
      </c>
      <c r="I1832">
        <v>18988</v>
      </c>
      <c r="J1832">
        <v>187000000000</v>
      </c>
      <c r="K1832">
        <v>499145736</v>
      </c>
      <c r="L1832">
        <f>(Table1[[#This Row],[CLOSE_PRICE]] - Table1[[#This Row],[PREV_CL_PR]]) / Table1[[#This Row],[PREV_CL_PR]] * 100</f>
        <v>-3.0749354005167899</v>
      </c>
      <c r="M1832">
        <f>Table1[[#This Row],[HIGH_PRICE]]-Table1[[#This Row],[LOW_PRICE]]</f>
        <v>14.850000000000023</v>
      </c>
      <c r="N1832" t="str">
        <f>IF(Table1[[#This Row],[CLOSE_PRICE]]&gt;Table1[[#This Row],[OPEN_PRICE]],"Gain","Loss")</f>
        <v>Loss</v>
      </c>
      <c r="O1832" t="str">
        <f>IF(Table1[[#This Row],[MARKET_CAP]]&gt;200000000000,"Large Cap",
IF(Table1[[#This Row],[MARKET_CAP]]&gt;50000000000,"Mid Cap","Small Cap"))</f>
        <v>Mid Cap</v>
      </c>
      <c r="P1832" t="str">
        <f>IF(Table1[[#This Row],[NET_TRDQTY]]&gt;1000000,"High Volume","Low Volume")</f>
        <v>Low Volume</v>
      </c>
    </row>
    <row r="1833" spans="1:16" x14ac:dyDescent="0.3">
      <c r="A1833" t="s">
        <v>3669</v>
      </c>
      <c r="B1833" t="s">
        <v>3670</v>
      </c>
      <c r="C1833">
        <v>42.75</v>
      </c>
      <c r="D1833">
        <v>46.39</v>
      </c>
      <c r="E1833">
        <v>42.75</v>
      </c>
      <c r="F1833">
        <v>45.02</v>
      </c>
      <c r="G1833">
        <v>44.53</v>
      </c>
      <c r="H1833">
        <v>122072</v>
      </c>
      <c r="I1833">
        <v>755</v>
      </c>
      <c r="J1833">
        <v>2037999260</v>
      </c>
      <c r="K1833">
        <v>45268753</v>
      </c>
      <c r="L1833">
        <f>(Table1[[#This Row],[CLOSE_PRICE]] - Table1[[#This Row],[PREV_CL_PR]]) / Table1[[#This Row],[PREV_CL_PR]] * 100</f>
        <v>1.1003817651021828</v>
      </c>
      <c r="M1833">
        <f>Table1[[#This Row],[HIGH_PRICE]]-Table1[[#This Row],[LOW_PRICE]]</f>
        <v>3.6400000000000006</v>
      </c>
      <c r="N1833" t="str">
        <f>IF(Table1[[#This Row],[CLOSE_PRICE]]&gt;Table1[[#This Row],[OPEN_PRICE]],"Gain","Loss")</f>
        <v>Gain</v>
      </c>
      <c r="O1833" t="str">
        <f>IF(Table1[[#This Row],[MARKET_CAP]]&gt;200000000000,"Large Cap",
IF(Table1[[#This Row],[MARKET_CAP]]&gt;50000000000,"Mid Cap","Small Cap"))</f>
        <v>Small Cap</v>
      </c>
      <c r="P1833" t="str">
        <f>IF(Table1[[#This Row],[NET_TRDQTY]]&gt;1000000,"High Volume","Low Volume")</f>
        <v>Low Volume</v>
      </c>
    </row>
    <row r="1834" spans="1:16" x14ac:dyDescent="0.3">
      <c r="A1834" t="s">
        <v>3671</v>
      </c>
      <c r="B1834" t="s">
        <v>3672</v>
      </c>
      <c r="C1834">
        <v>1464.4</v>
      </c>
      <c r="D1834">
        <v>1470</v>
      </c>
      <c r="E1834">
        <v>1391.1</v>
      </c>
      <c r="F1834">
        <v>1402.4</v>
      </c>
      <c r="G1834">
        <v>1496</v>
      </c>
      <c r="H1834">
        <v>11378</v>
      </c>
      <c r="I1834">
        <v>1808</v>
      </c>
      <c r="J1834">
        <v>15288657674</v>
      </c>
      <c r="K1834">
        <v>10901781</v>
      </c>
      <c r="L1834">
        <f>(Table1[[#This Row],[CLOSE_PRICE]] - Table1[[#This Row],[PREV_CL_PR]]) / Table1[[#This Row],[PREV_CL_PR]] * 100</f>
        <v>-6.2566844919786035</v>
      </c>
      <c r="M1834">
        <f>Table1[[#This Row],[HIGH_PRICE]]-Table1[[#This Row],[LOW_PRICE]]</f>
        <v>78.900000000000091</v>
      </c>
      <c r="N1834" t="str">
        <f>IF(Table1[[#This Row],[CLOSE_PRICE]]&gt;Table1[[#This Row],[OPEN_PRICE]],"Gain","Loss")</f>
        <v>Loss</v>
      </c>
      <c r="O1834" t="str">
        <f>IF(Table1[[#This Row],[MARKET_CAP]]&gt;200000000000,"Large Cap",
IF(Table1[[#This Row],[MARKET_CAP]]&gt;50000000000,"Mid Cap","Small Cap"))</f>
        <v>Small Cap</v>
      </c>
      <c r="P1834" t="str">
        <f>IF(Table1[[#This Row],[NET_TRDQTY]]&gt;1000000,"High Volume","Low Volume")</f>
        <v>Low Volume</v>
      </c>
    </row>
    <row r="1835" spans="1:16" x14ac:dyDescent="0.3">
      <c r="A1835" t="s">
        <v>3673</v>
      </c>
      <c r="B1835" t="s">
        <v>3674</v>
      </c>
      <c r="C1835">
        <v>1280</v>
      </c>
      <c r="D1835">
        <v>1280</v>
      </c>
      <c r="E1835">
        <v>1231.0999999999999</v>
      </c>
      <c r="F1835">
        <v>1236.4000000000001</v>
      </c>
      <c r="G1835">
        <v>1289.7</v>
      </c>
      <c r="H1835">
        <v>9733</v>
      </c>
      <c r="I1835">
        <v>1070</v>
      </c>
      <c r="J1835">
        <v>27257874697</v>
      </c>
      <c r="K1835">
        <v>22046162</v>
      </c>
      <c r="L1835">
        <f>(Table1[[#This Row],[CLOSE_PRICE]] - Table1[[#This Row],[PREV_CL_PR]]) / Table1[[#This Row],[PREV_CL_PR]] * 100</f>
        <v>-4.1327440490036409</v>
      </c>
      <c r="M1835">
        <f>Table1[[#This Row],[HIGH_PRICE]]-Table1[[#This Row],[LOW_PRICE]]</f>
        <v>48.900000000000091</v>
      </c>
      <c r="N1835" t="str">
        <f>IF(Table1[[#This Row],[CLOSE_PRICE]]&gt;Table1[[#This Row],[OPEN_PRICE]],"Gain","Loss")</f>
        <v>Loss</v>
      </c>
      <c r="O1835" t="str">
        <f>IF(Table1[[#This Row],[MARKET_CAP]]&gt;200000000000,"Large Cap",
IF(Table1[[#This Row],[MARKET_CAP]]&gt;50000000000,"Mid Cap","Small Cap"))</f>
        <v>Small Cap</v>
      </c>
      <c r="P1835" t="str">
        <f>IF(Table1[[#This Row],[NET_TRDQTY]]&gt;1000000,"High Volume","Low Volume")</f>
        <v>Low Volume</v>
      </c>
    </row>
    <row r="1836" spans="1:16" x14ac:dyDescent="0.3">
      <c r="A1836" t="s">
        <v>3675</v>
      </c>
      <c r="B1836" t="s">
        <v>3676</v>
      </c>
      <c r="C1836">
        <v>1.23</v>
      </c>
      <c r="D1836">
        <v>1.23</v>
      </c>
      <c r="E1836">
        <v>1.1200000000000001</v>
      </c>
      <c r="F1836">
        <v>1.1399999999999999</v>
      </c>
      <c r="G1836">
        <v>1.21</v>
      </c>
      <c r="H1836">
        <v>899390</v>
      </c>
      <c r="I1836">
        <v>562</v>
      </c>
      <c r="J1836">
        <v>540220661.20000005</v>
      </c>
      <c r="K1836">
        <v>473877773</v>
      </c>
      <c r="L1836">
        <f>(Table1[[#This Row],[CLOSE_PRICE]] - Table1[[#This Row],[PREV_CL_PR]]) / Table1[[#This Row],[PREV_CL_PR]] * 100</f>
        <v>-5.7851239669421535</v>
      </c>
      <c r="M1836">
        <f>Table1[[#This Row],[HIGH_PRICE]]-Table1[[#This Row],[LOW_PRICE]]</f>
        <v>0.10999999999999988</v>
      </c>
      <c r="N1836" t="str">
        <f>IF(Table1[[#This Row],[CLOSE_PRICE]]&gt;Table1[[#This Row],[OPEN_PRICE]],"Gain","Loss")</f>
        <v>Loss</v>
      </c>
      <c r="O1836" t="str">
        <f>IF(Table1[[#This Row],[MARKET_CAP]]&gt;200000000000,"Large Cap",
IF(Table1[[#This Row],[MARKET_CAP]]&gt;50000000000,"Mid Cap","Small Cap"))</f>
        <v>Small Cap</v>
      </c>
      <c r="P1836" t="str">
        <f>IF(Table1[[#This Row],[NET_TRDQTY]]&gt;1000000,"High Volume","Low Volume")</f>
        <v>Low Volume</v>
      </c>
    </row>
    <row r="1837" spans="1:16" x14ac:dyDescent="0.3">
      <c r="A1837" t="s">
        <v>3677</v>
      </c>
      <c r="B1837" t="s">
        <v>3678</v>
      </c>
      <c r="C1837">
        <v>4615</v>
      </c>
      <c r="D1837">
        <v>4646</v>
      </c>
      <c r="E1837">
        <v>4505</v>
      </c>
      <c r="F1837">
        <v>4527</v>
      </c>
      <c r="G1837">
        <v>4678</v>
      </c>
      <c r="H1837">
        <v>87263</v>
      </c>
      <c r="I1837">
        <v>19868</v>
      </c>
      <c r="J1837">
        <v>503000000000</v>
      </c>
      <c r="K1837">
        <v>111103860</v>
      </c>
      <c r="L1837">
        <f>(Table1[[#This Row],[CLOSE_PRICE]] - Table1[[#This Row],[PREV_CL_PR]]) / Table1[[#This Row],[PREV_CL_PR]] * 100</f>
        <v>-3.2278751603249249</v>
      </c>
      <c r="M1837">
        <f>Table1[[#This Row],[HIGH_PRICE]]-Table1[[#This Row],[LOW_PRICE]]</f>
        <v>141</v>
      </c>
      <c r="N1837" t="str">
        <f>IF(Table1[[#This Row],[CLOSE_PRICE]]&gt;Table1[[#This Row],[OPEN_PRICE]],"Gain","Loss")</f>
        <v>Loss</v>
      </c>
      <c r="O1837" t="str">
        <f>IF(Table1[[#This Row],[MARKET_CAP]]&gt;200000000000,"Large Cap",
IF(Table1[[#This Row],[MARKET_CAP]]&gt;50000000000,"Mid Cap","Small Cap"))</f>
        <v>Large Cap</v>
      </c>
      <c r="P1837" t="str">
        <f>IF(Table1[[#This Row],[NET_TRDQTY]]&gt;1000000,"High Volume","Low Volume")</f>
        <v>Low Volume</v>
      </c>
    </row>
    <row r="1838" spans="1:16" x14ac:dyDescent="0.3">
      <c r="A1838" t="s">
        <v>3679</v>
      </c>
      <c r="B1838" t="s">
        <v>3680</v>
      </c>
      <c r="C1838">
        <v>525</v>
      </c>
      <c r="D1838">
        <v>535</v>
      </c>
      <c r="E1838">
        <v>503.3</v>
      </c>
      <c r="F1838">
        <v>510.8</v>
      </c>
      <c r="G1838">
        <v>529.95000000000005</v>
      </c>
      <c r="H1838">
        <v>2400</v>
      </c>
      <c r="I1838">
        <v>168</v>
      </c>
      <c r="J1838">
        <v>2009780910</v>
      </c>
      <c r="K1838">
        <v>3934575</v>
      </c>
      <c r="L1838">
        <f>(Table1[[#This Row],[CLOSE_PRICE]] - Table1[[#This Row],[PREV_CL_PR]]) / Table1[[#This Row],[PREV_CL_PR]] * 100</f>
        <v>-3.6135484479667954</v>
      </c>
      <c r="M1838">
        <f>Table1[[#This Row],[HIGH_PRICE]]-Table1[[#This Row],[LOW_PRICE]]</f>
        <v>31.699999999999989</v>
      </c>
      <c r="N1838" t="str">
        <f>IF(Table1[[#This Row],[CLOSE_PRICE]]&gt;Table1[[#This Row],[OPEN_PRICE]],"Gain","Loss")</f>
        <v>Loss</v>
      </c>
      <c r="O1838" t="str">
        <f>IF(Table1[[#This Row],[MARKET_CAP]]&gt;200000000000,"Large Cap",
IF(Table1[[#This Row],[MARKET_CAP]]&gt;50000000000,"Mid Cap","Small Cap"))</f>
        <v>Small Cap</v>
      </c>
      <c r="P1838" t="str">
        <f>IF(Table1[[#This Row],[NET_TRDQTY]]&gt;1000000,"High Volume","Low Volume")</f>
        <v>Low Volume</v>
      </c>
    </row>
    <row r="1839" spans="1:16" x14ac:dyDescent="0.3">
      <c r="A1839" t="s">
        <v>3681</v>
      </c>
      <c r="B1839" t="s">
        <v>3682</v>
      </c>
      <c r="C1839">
        <v>812.95</v>
      </c>
      <c r="D1839">
        <v>812.95</v>
      </c>
      <c r="E1839">
        <v>784.6</v>
      </c>
      <c r="F1839">
        <v>796.9</v>
      </c>
      <c r="G1839">
        <v>813</v>
      </c>
      <c r="H1839">
        <v>85263</v>
      </c>
      <c r="I1839">
        <v>12290</v>
      </c>
      <c r="J1839">
        <v>167000000000</v>
      </c>
      <c r="K1839">
        <v>210128370</v>
      </c>
      <c r="L1839">
        <f>(Table1[[#This Row],[CLOSE_PRICE]] - Table1[[#This Row],[PREV_CL_PR]]) / Table1[[#This Row],[PREV_CL_PR]] * 100</f>
        <v>-1.9803198031980347</v>
      </c>
      <c r="M1839">
        <f>Table1[[#This Row],[HIGH_PRICE]]-Table1[[#This Row],[LOW_PRICE]]</f>
        <v>28.350000000000023</v>
      </c>
      <c r="N1839" t="str">
        <f>IF(Table1[[#This Row],[CLOSE_PRICE]]&gt;Table1[[#This Row],[OPEN_PRICE]],"Gain","Loss")</f>
        <v>Loss</v>
      </c>
      <c r="O1839" t="str">
        <f>IF(Table1[[#This Row],[MARKET_CAP]]&gt;200000000000,"Large Cap",
IF(Table1[[#This Row],[MARKET_CAP]]&gt;50000000000,"Mid Cap","Small Cap"))</f>
        <v>Mid Cap</v>
      </c>
      <c r="P1839" t="str">
        <f>IF(Table1[[#This Row],[NET_TRDQTY]]&gt;1000000,"High Volume","Low Volume")</f>
        <v>Low Volume</v>
      </c>
    </row>
    <row r="1840" spans="1:16" x14ac:dyDescent="0.3">
      <c r="A1840" t="s">
        <v>3683</v>
      </c>
      <c r="B1840" t="s">
        <v>3684</v>
      </c>
      <c r="C1840">
        <v>620</v>
      </c>
      <c r="D1840">
        <v>620</v>
      </c>
      <c r="E1840">
        <v>600</v>
      </c>
      <c r="F1840">
        <v>604.9</v>
      </c>
      <c r="G1840">
        <v>621.65</v>
      </c>
      <c r="H1840">
        <v>27047</v>
      </c>
      <c r="I1840">
        <v>1754</v>
      </c>
      <c r="J1840">
        <v>22802826380</v>
      </c>
      <c r="K1840">
        <v>37696853</v>
      </c>
      <c r="L1840">
        <f>(Table1[[#This Row],[CLOSE_PRICE]] - Table1[[#This Row],[PREV_CL_PR]]) / Table1[[#This Row],[PREV_CL_PR]] * 100</f>
        <v>-2.6944422102469239</v>
      </c>
      <c r="M1840">
        <f>Table1[[#This Row],[HIGH_PRICE]]-Table1[[#This Row],[LOW_PRICE]]</f>
        <v>20</v>
      </c>
      <c r="N1840" t="str">
        <f>IF(Table1[[#This Row],[CLOSE_PRICE]]&gt;Table1[[#This Row],[OPEN_PRICE]],"Gain","Loss")</f>
        <v>Loss</v>
      </c>
      <c r="O1840" t="str">
        <f>IF(Table1[[#This Row],[MARKET_CAP]]&gt;200000000000,"Large Cap",
IF(Table1[[#This Row],[MARKET_CAP]]&gt;50000000000,"Mid Cap","Small Cap"))</f>
        <v>Small Cap</v>
      </c>
      <c r="P1840" t="str">
        <f>IF(Table1[[#This Row],[NET_TRDQTY]]&gt;1000000,"High Volume","Low Volume")</f>
        <v>Low Volume</v>
      </c>
    </row>
    <row r="1841" spans="1:16" x14ac:dyDescent="0.3">
      <c r="A1841" t="s">
        <v>3685</v>
      </c>
      <c r="B1841" t="s">
        <v>3686</v>
      </c>
      <c r="C1841">
        <v>215.01</v>
      </c>
      <c r="D1841">
        <v>215.01</v>
      </c>
      <c r="E1841">
        <v>206</v>
      </c>
      <c r="F1841">
        <v>207.2</v>
      </c>
      <c r="G1841">
        <v>217.64</v>
      </c>
      <c r="H1841">
        <v>174233</v>
      </c>
      <c r="I1841">
        <v>1904</v>
      </c>
      <c r="J1841">
        <v>37341469626</v>
      </c>
      <c r="K1841">
        <v>180219448</v>
      </c>
      <c r="L1841">
        <f>(Table1[[#This Row],[CLOSE_PRICE]] - Table1[[#This Row],[PREV_CL_PR]]) / Table1[[#This Row],[PREV_CL_PR]] * 100</f>
        <v>-4.7969123322918579</v>
      </c>
      <c r="M1841">
        <f>Table1[[#This Row],[HIGH_PRICE]]-Table1[[#This Row],[LOW_PRICE]]</f>
        <v>9.0099999999999909</v>
      </c>
      <c r="N1841" t="str">
        <f>IF(Table1[[#This Row],[CLOSE_PRICE]]&gt;Table1[[#This Row],[OPEN_PRICE]],"Gain","Loss")</f>
        <v>Loss</v>
      </c>
      <c r="O1841" t="str">
        <f>IF(Table1[[#This Row],[MARKET_CAP]]&gt;200000000000,"Large Cap",
IF(Table1[[#This Row],[MARKET_CAP]]&gt;50000000000,"Mid Cap","Small Cap"))</f>
        <v>Small Cap</v>
      </c>
      <c r="P1841" t="str">
        <f>IF(Table1[[#This Row],[NET_TRDQTY]]&gt;1000000,"High Volume","Low Volume")</f>
        <v>Low Volume</v>
      </c>
    </row>
    <row r="1842" spans="1:16" x14ac:dyDescent="0.3">
      <c r="A1842" t="s">
        <v>3687</v>
      </c>
      <c r="B1842" t="s">
        <v>3688</v>
      </c>
      <c r="C1842">
        <v>303.89999999999998</v>
      </c>
      <c r="D1842">
        <v>304.85000000000002</v>
      </c>
      <c r="E1842">
        <v>285.64999999999998</v>
      </c>
      <c r="F1842">
        <v>287.7</v>
      </c>
      <c r="G1842">
        <v>307.7</v>
      </c>
      <c r="H1842">
        <v>217157</v>
      </c>
      <c r="I1842">
        <v>7991</v>
      </c>
      <c r="J1842">
        <v>42144909467</v>
      </c>
      <c r="K1842">
        <v>146489084</v>
      </c>
      <c r="L1842">
        <f>(Table1[[#This Row],[CLOSE_PRICE]] - Table1[[#This Row],[PREV_CL_PR]]) / Table1[[#This Row],[PREV_CL_PR]] * 100</f>
        <v>-6.4998375040623984</v>
      </c>
      <c r="M1842">
        <f>Table1[[#This Row],[HIGH_PRICE]]-Table1[[#This Row],[LOW_PRICE]]</f>
        <v>19.200000000000045</v>
      </c>
      <c r="N1842" t="str">
        <f>IF(Table1[[#This Row],[CLOSE_PRICE]]&gt;Table1[[#This Row],[OPEN_PRICE]],"Gain","Loss")</f>
        <v>Loss</v>
      </c>
      <c r="O1842" t="str">
        <f>IF(Table1[[#This Row],[MARKET_CAP]]&gt;200000000000,"Large Cap",
IF(Table1[[#This Row],[MARKET_CAP]]&gt;50000000000,"Mid Cap","Small Cap"))</f>
        <v>Small Cap</v>
      </c>
      <c r="P1842" t="str">
        <f>IF(Table1[[#This Row],[NET_TRDQTY]]&gt;1000000,"High Volume","Low Volume")</f>
        <v>Low Volume</v>
      </c>
    </row>
    <row r="1843" spans="1:16" x14ac:dyDescent="0.3">
      <c r="A1843" t="s">
        <v>3689</v>
      </c>
      <c r="B1843" t="s">
        <v>3690</v>
      </c>
      <c r="C1843">
        <v>592.95000000000005</v>
      </c>
      <c r="D1843">
        <v>608.65</v>
      </c>
      <c r="E1843">
        <v>583.20000000000005</v>
      </c>
      <c r="F1843">
        <v>599.1</v>
      </c>
      <c r="G1843">
        <v>592.95000000000005</v>
      </c>
      <c r="H1843">
        <v>4404749</v>
      </c>
      <c r="I1843">
        <v>60158</v>
      </c>
      <c r="J1843">
        <v>236000000000</v>
      </c>
      <c r="K1843">
        <v>394084620</v>
      </c>
      <c r="L1843">
        <f>(Table1[[#This Row],[CLOSE_PRICE]] - Table1[[#This Row],[PREV_CL_PR]]) / Table1[[#This Row],[PREV_CL_PR]] * 100</f>
        <v>1.0371869466228141</v>
      </c>
      <c r="M1843">
        <f>Table1[[#This Row],[HIGH_PRICE]]-Table1[[#This Row],[LOW_PRICE]]</f>
        <v>25.449999999999932</v>
      </c>
      <c r="N1843" t="str">
        <f>IF(Table1[[#This Row],[CLOSE_PRICE]]&gt;Table1[[#This Row],[OPEN_PRICE]],"Gain","Loss")</f>
        <v>Gain</v>
      </c>
      <c r="O1843" t="str">
        <f>IF(Table1[[#This Row],[MARKET_CAP]]&gt;200000000000,"Large Cap",
IF(Table1[[#This Row],[MARKET_CAP]]&gt;50000000000,"Mid Cap","Small Cap"))</f>
        <v>Large Cap</v>
      </c>
      <c r="P1843" t="str">
        <f>IF(Table1[[#This Row],[NET_TRDQTY]]&gt;1000000,"High Volume","Low Volume")</f>
        <v>High Volume</v>
      </c>
    </row>
    <row r="1844" spans="1:16" x14ac:dyDescent="0.3">
      <c r="A1844" t="s">
        <v>3691</v>
      </c>
      <c r="B1844" t="s">
        <v>3692</v>
      </c>
      <c r="C1844">
        <v>135.6</v>
      </c>
      <c r="D1844">
        <v>142.97</v>
      </c>
      <c r="E1844">
        <v>128.55000000000001</v>
      </c>
      <c r="F1844">
        <v>129.65</v>
      </c>
      <c r="G1844">
        <v>139.71</v>
      </c>
      <c r="H1844">
        <v>15542</v>
      </c>
      <c r="I1844">
        <v>565</v>
      </c>
      <c r="J1844">
        <v>1429391250</v>
      </c>
      <c r="K1844">
        <v>11025000</v>
      </c>
      <c r="L1844">
        <f>(Table1[[#This Row],[CLOSE_PRICE]] - Table1[[#This Row],[PREV_CL_PR]]) / Table1[[#This Row],[PREV_CL_PR]] * 100</f>
        <v>-7.2006298761720728</v>
      </c>
      <c r="M1844">
        <f>Table1[[#This Row],[HIGH_PRICE]]-Table1[[#This Row],[LOW_PRICE]]</f>
        <v>14.419999999999987</v>
      </c>
      <c r="N1844" t="str">
        <f>IF(Table1[[#This Row],[CLOSE_PRICE]]&gt;Table1[[#This Row],[OPEN_PRICE]],"Gain","Loss")</f>
        <v>Loss</v>
      </c>
      <c r="O1844" t="str">
        <f>IF(Table1[[#This Row],[MARKET_CAP]]&gt;200000000000,"Large Cap",
IF(Table1[[#This Row],[MARKET_CAP]]&gt;50000000000,"Mid Cap","Small Cap"))</f>
        <v>Small Cap</v>
      </c>
      <c r="P1844" t="str">
        <f>IF(Table1[[#This Row],[NET_TRDQTY]]&gt;1000000,"High Volume","Low Volume")</f>
        <v>Low Volume</v>
      </c>
    </row>
    <row r="1845" spans="1:16" x14ac:dyDescent="0.3">
      <c r="A1845" t="s">
        <v>3693</v>
      </c>
      <c r="B1845" t="s">
        <v>3694</v>
      </c>
      <c r="C1845">
        <v>4.54</v>
      </c>
      <c r="D1845">
        <v>4.87</v>
      </c>
      <c r="E1845">
        <v>4.1100000000000003</v>
      </c>
      <c r="F1845">
        <v>4.3</v>
      </c>
      <c r="G1845">
        <v>4.5199999999999996</v>
      </c>
      <c r="H1845">
        <v>61050</v>
      </c>
      <c r="I1845">
        <v>299</v>
      </c>
      <c r="J1845">
        <v>236500000</v>
      </c>
      <c r="K1845">
        <v>55000000</v>
      </c>
      <c r="L1845">
        <f>(Table1[[#This Row],[CLOSE_PRICE]] - Table1[[#This Row],[PREV_CL_PR]]) / Table1[[#This Row],[PREV_CL_PR]] * 100</f>
        <v>-4.8672566371681363</v>
      </c>
      <c r="M1845">
        <f>Table1[[#This Row],[HIGH_PRICE]]-Table1[[#This Row],[LOW_PRICE]]</f>
        <v>0.75999999999999979</v>
      </c>
      <c r="N1845" t="str">
        <f>IF(Table1[[#This Row],[CLOSE_PRICE]]&gt;Table1[[#This Row],[OPEN_PRICE]],"Gain","Loss")</f>
        <v>Loss</v>
      </c>
      <c r="O1845" t="str">
        <f>IF(Table1[[#This Row],[MARKET_CAP]]&gt;200000000000,"Large Cap",
IF(Table1[[#This Row],[MARKET_CAP]]&gt;50000000000,"Mid Cap","Small Cap"))</f>
        <v>Small Cap</v>
      </c>
      <c r="P1845" t="str">
        <f>IF(Table1[[#This Row],[NET_TRDQTY]]&gt;1000000,"High Volume","Low Volume")</f>
        <v>Low Volume</v>
      </c>
    </row>
    <row r="1846" spans="1:16" x14ac:dyDescent="0.3">
      <c r="A1846" t="s">
        <v>3695</v>
      </c>
      <c r="B1846" t="s">
        <v>3696</v>
      </c>
      <c r="C1846">
        <v>396</v>
      </c>
      <c r="D1846">
        <v>404</v>
      </c>
      <c r="E1846">
        <v>390</v>
      </c>
      <c r="F1846">
        <v>400.2</v>
      </c>
      <c r="G1846">
        <v>402.55</v>
      </c>
      <c r="H1846">
        <v>74756</v>
      </c>
      <c r="I1846">
        <v>3589</v>
      </c>
      <c r="J1846">
        <v>54895893029</v>
      </c>
      <c r="K1846">
        <v>137171147</v>
      </c>
      <c r="L1846">
        <f>(Table1[[#This Row],[CLOSE_PRICE]] - Table1[[#This Row],[PREV_CL_PR]]) / Table1[[#This Row],[PREV_CL_PR]] * 100</f>
        <v>-0.58377841261955599</v>
      </c>
      <c r="M1846">
        <f>Table1[[#This Row],[HIGH_PRICE]]-Table1[[#This Row],[LOW_PRICE]]</f>
        <v>14</v>
      </c>
      <c r="N1846" t="str">
        <f>IF(Table1[[#This Row],[CLOSE_PRICE]]&gt;Table1[[#This Row],[OPEN_PRICE]],"Gain","Loss")</f>
        <v>Gain</v>
      </c>
      <c r="O1846" t="str">
        <f>IF(Table1[[#This Row],[MARKET_CAP]]&gt;200000000000,"Large Cap",
IF(Table1[[#This Row],[MARKET_CAP]]&gt;50000000000,"Mid Cap","Small Cap"))</f>
        <v>Mid Cap</v>
      </c>
      <c r="P1846" t="str">
        <f>IF(Table1[[#This Row],[NET_TRDQTY]]&gt;1000000,"High Volume","Low Volume")</f>
        <v>Low Volume</v>
      </c>
    </row>
    <row r="1847" spans="1:16" x14ac:dyDescent="0.3">
      <c r="A1847" t="s">
        <v>3697</v>
      </c>
      <c r="B1847" t="s">
        <v>3698</v>
      </c>
      <c r="C1847">
        <v>52.26</v>
      </c>
      <c r="D1847">
        <v>52.31</v>
      </c>
      <c r="E1847">
        <v>49.6</v>
      </c>
      <c r="F1847">
        <v>49.93</v>
      </c>
      <c r="G1847">
        <v>51.43</v>
      </c>
      <c r="H1847">
        <v>11557</v>
      </c>
      <c r="I1847">
        <v>135</v>
      </c>
      <c r="J1847">
        <v>1929637370</v>
      </c>
      <c r="K1847">
        <v>38646853</v>
      </c>
      <c r="L1847">
        <f>(Table1[[#This Row],[CLOSE_PRICE]] - Table1[[#This Row],[PREV_CL_PR]]) / Table1[[#This Row],[PREV_CL_PR]] * 100</f>
        <v>-2.9165856503985998</v>
      </c>
      <c r="M1847">
        <f>Table1[[#This Row],[HIGH_PRICE]]-Table1[[#This Row],[LOW_PRICE]]</f>
        <v>2.7100000000000009</v>
      </c>
      <c r="N1847" t="str">
        <f>IF(Table1[[#This Row],[CLOSE_PRICE]]&gt;Table1[[#This Row],[OPEN_PRICE]],"Gain","Loss")</f>
        <v>Loss</v>
      </c>
      <c r="O1847" t="str">
        <f>IF(Table1[[#This Row],[MARKET_CAP]]&gt;200000000000,"Large Cap",
IF(Table1[[#This Row],[MARKET_CAP]]&gt;50000000000,"Mid Cap","Small Cap"))</f>
        <v>Small Cap</v>
      </c>
      <c r="P1847" t="str">
        <f>IF(Table1[[#This Row],[NET_TRDQTY]]&gt;1000000,"High Volume","Low Volume")</f>
        <v>Low Volume</v>
      </c>
    </row>
    <row r="1848" spans="1:16" x14ac:dyDescent="0.3">
      <c r="A1848" t="s">
        <v>3699</v>
      </c>
      <c r="B1848" t="s">
        <v>3700</v>
      </c>
      <c r="C1848">
        <v>3804.8</v>
      </c>
      <c r="D1848">
        <v>3804.8</v>
      </c>
      <c r="E1848">
        <v>3672.5</v>
      </c>
      <c r="F1848">
        <v>3704.5</v>
      </c>
      <c r="G1848">
        <v>3834.4</v>
      </c>
      <c r="H1848">
        <v>210951</v>
      </c>
      <c r="I1848">
        <v>21337</v>
      </c>
      <c r="J1848">
        <v>471000000000</v>
      </c>
      <c r="K1848">
        <v>127026870</v>
      </c>
      <c r="L1848">
        <f>(Table1[[#This Row],[CLOSE_PRICE]] - Table1[[#This Row],[PREV_CL_PR]]) / Table1[[#This Row],[PREV_CL_PR]] * 100</f>
        <v>-3.3877529730857523</v>
      </c>
      <c r="M1848">
        <f>Table1[[#This Row],[HIGH_PRICE]]-Table1[[#This Row],[LOW_PRICE]]</f>
        <v>132.30000000000018</v>
      </c>
      <c r="N1848" t="str">
        <f>IF(Table1[[#This Row],[CLOSE_PRICE]]&gt;Table1[[#This Row],[OPEN_PRICE]],"Gain","Loss")</f>
        <v>Loss</v>
      </c>
      <c r="O1848" t="str">
        <f>IF(Table1[[#This Row],[MARKET_CAP]]&gt;200000000000,"Large Cap",
IF(Table1[[#This Row],[MARKET_CAP]]&gt;50000000000,"Mid Cap","Small Cap"))</f>
        <v>Large Cap</v>
      </c>
      <c r="P1848" t="str">
        <f>IF(Table1[[#This Row],[NET_TRDQTY]]&gt;1000000,"High Volume","Low Volume")</f>
        <v>Low Volume</v>
      </c>
    </row>
    <row r="1849" spans="1:16" x14ac:dyDescent="0.3">
      <c r="A1849" t="s">
        <v>3701</v>
      </c>
      <c r="B1849" t="s">
        <v>3702</v>
      </c>
      <c r="C1849">
        <v>575.20000000000005</v>
      </c>
      <c r="D1849">
        <v>582.95000000000005</v>
      </c>
      <c r="E1849">
        <v>549.15</v>
      </c>
      <c r="F1849">
        <v>553.35</v>
      </c>
      <c r="G1849">
        <v>584.20000000000005</v>
      </c>
      <c r="H1849">
        <v>180465</v>
      </c>
      <c r="I1849">
        <v>6398</v>
      </c>
      <c r="J1849">
        <v>44535157380</v>
      </c>
      <c r="K1849">
        <v>80482800</v>
      </c>
      <c r="L1849">
        <f>(Table1[[#This Row],[CLOSE_PRICE]] - Table1[[#This Row],[PREV_CL_PR]]) / Table1[[#This Row],[PREV_CL_PR]] * 100</f>
        <v>-5.2807257788428652</v>
      </c>
      <c r="M1849">
        <f>Table1[[#This Row],[HIGH_PRICE]]-Table1[[#This Row],[LOW_PRICE]]</f>
        <v>33.800000000000068</v>
      </c>
      <c r="N1849" t="str">
        <f>IF(Table1[[#This Row],[CLOSE_PRICE]]&gt;Table1[[#This Row],[OPEN_PRICE]],"Gain","Loss")</f>
        <v>Loss</v>
      </c>
      <c r="O1849" t="str">
        <f>IF(Table1[[#This Row],[MARKET_CAP]]&gt;200000000000,"Large Cap",
IF(Table1[[#This Row],[MARKET_CAP]]&gt;50000000000,"Mid Cap","Small Cap"))</f>
        <v>Small Cap</v>
      </c>
      <c r="P1849" t="str">
        <f>IF(Table1[[#This Row],[NET_TRDQTY]]&gt;1000000,"High Volume","Low Volume")</f>
        <v>Low Volume</v>
      </c>
    </row>
    <row r="1850" spans="1:16" x14ac:dyDescent="0.3">
      <c r="A1850" t="s">
        <v>3703</v>
      </c>
      <c r="B1850" t="s">
        <v>3704</v>
      </c>
      <c r="C1850">
        <v>199</v>
      </c>
      <c r="D1850">
        <v>199</v>
      </c>
      <c r="E1850">
        <v>188.56</v>
      </c>
      <c r="F1850">
        <v>190.89</v>
      </c>
      <c r="G1850">
        <v>201.39</v>
      </c>
      <c r="H1850">
        <v>203714</v>
      </c>
      <c r="I1850">
        <v>2355</v>
      </c>
      <c r="J1850">
        <v>9119462035</v>
      </c>
      <c r="K1850">
        <v>47773388</v>
      </c>
      <c r="L1850">
        <f>(Table1[[#This Row],[CLOSE_PRICE]] - Table1[[#This Row],[PREV_CL_PR]]) / Table1[[#This Row],[PREV_CL_PR]] * 100</f>
        <v>-5.2137643378519298</v>
      </c>
      <c r="M1850">
        <f>Table1[[#This Row],[HIGH_PRICE]]-Table1[[#This Row],[LOW_PRICE]]</f>
        <v>10.439999999999998</v>
      </c>
      <c r="N1850" t="str">
        <f>IF(Table1[[#This Row],[CLOSE_PRICE]]&gt;Table1[[#This Row],[OPEN_PRICE]],"Gain","Loss")</f>
        <v>Loss</v>
      </c>
      <c r="O1850" t="str">
        <f>IF(Table1[[#This Row],[MARKET_CAP]]&gt;200000000000,"Large Cap",
IF(Table1[[#This Row],[MARKET_CAP]]&gt;50000000000,"Mid Cap","Small Cap"))</f>
        <v>Small Cap</v>
      </c>
      <c r="P1850" t="str">
        <f>IF(Table1[[#This Row],[NET_TRDQTY]]&gt;1000000,"High Volume","Low Volume")</f>
        <v>Low Volume</v>
      </c>
    </row>
    <row r="1851" spans="1:16" x14ac:dyDescent="0.3">
      <c r="A1851" t="s">
        <v>3705</v>
      </c>
      <c r="B1851" t="s">
        <v>3706</v>
      </c>
      <c r="C1851">
        <v>225</v>
      </c>
      <c r="D1851">
        <v>225</v>
      </c>
      <c r="E1851">
        <v>216</v>
      </c>
      <c r="F1851">
        <v>216</v>
      </c>
      <c r="G1851">
        <v>230.44</v>
      </c>
      <c r="H1851">
        <v>178</v>
      </c>
      <c r="I1851">
        <v>20</v>
      </c>
      <c r="J1851">
        <v>3966645600</v>
      </c>
      <c r="K1851">
        <v>18364100</v>
      </c>
      <c r="L1851">
        <f>(Table1[[#This Row],[CLOSE_PRICE]] - Table1[[#This Row],[PREV_CL_PR]]) / Table1[[#This Row],[PREV_CL_PR]] * 100</f>
        <v>-6.2662732164554757</v>
      </c>
      <c r="M1851">
        <f>Table1[[#This Row],[HIGH_PRICE]]-Table1[[#This Row],[LOW_PRICE]]</f>
        <v>9</v>
      </c>
      <c r="N1851" t="str">
        <f>IF(Table1[[#This Row],[CLOSE_PRICE]]&gt;Table1[[#This Row],[OPEN_PRICE]],"Gain","Loss")</f>
        <v>Loss</v>
      </c>
      <c r="O1851" t="str">
        <f>IF(Table1[[#This Row],[MARKET_CAP]]&gt;200000000000,"Large Cap",
IF(Table1[[#This Row],[MARKET_CAP]]&gt;50000000000,"Mid Cap","Small Cap"))</f>
        <v>Small Cap</v>
      </c>
      <c r="P1851" t="str">
        <f>IF(Table1[[#This Row],[NET_TRDQTY]]&gt;1000000,"High Volume","Low Volume")</f>
        <v>Low Volume</v>
      </c>
    </row>
    <row r="1852" spans="1:16" x14ac:dyDescent="0.3">
      <c r="A1852" t="s">
        <v>3707</v>
      </c>
      <c r="B1852" t="s">
        <v>3708</v>
      </c>
      <c r="C1852">
        <v>260.3</v>
      </c>
      <c r="D1852">
        <v>262.14999999999998</v>
      </c>
      <c r="E1852">
        <v>251</v>
      </c>
      <c r="F1852">
        <v>258.75</v>
      </c>
      <c r="G1852">
        <v>260.3</v>
      </c>
      <c r="H1852">
        <v>26557</v>
      </c>
      <c r="I1852">
        <v>1048</v>
      </c>
      <c r="J1852">
        <v>13475896133</v>
      </c>
      <c r="K1852">
        <v>52080758</v>
      </c>
      <c r="L1852">
        <f>(Table1[[#This Row],[CLOSE_PRICE]] - Table1[[#This Row],[PREV_CL_PR]]) / Table1[[#This Row],[PREV_CL_PR]] * 100</f>
        <v>-0.5954667691125668</v>
      </c>
      <c r="M1852">
        <f>Table1[[#This Row],[HIGH_PRICE]]-Table1[[#This Row],[LOW_PRICE]]</f>
        <v>11.149999999999977</v>
      </c>
      <c r="N1852" t="str">
        <f>IF(Table1[[#This Row],[CLOSE_PRICE]]&gt;Table1[[#This Row],[OPEN_PRICE]],"Gain","Loss")</f>
        <v>Loss</v>
      </c>
      <c r="O1852" t="str">
        <f>IF(Table1[[#This Row],[MARKET_CAP]]&gt;200000000000,"Large Cap",
IF(Table1[[#This Row],[MARKET_CAP]]&gt;50000000000,"Mid Cap","Small Cap"))</f>
        <v>Small Cap</v>
      </c>
      <c r="P1852" t="str">
        <f>IF(Table1[[#This Row],[NET_TRDQTY]]&gt;1000000,"High Volume","Low Volume")</f>
        <v>Low Volume</v>
      </c>
    </row>
    <row r="1853" spans="1:16" x14ac:dyDescent="0.3">
      <c r="A1853" t="s">
        <v>3709</v>
      </c>
      <c r="B1853" t="s">
        <v>3710</v>
      </c>
      <c r="C1853">
        <v>22.19</v>
      </c>
      <c r="D1853">
        <v>22.2</v>
      </c>
      <c r="E1853">
        <v>21</v>
      </c>
      <c r="F1853">
        <v>21.1</v>
      </c>
      <c r="G1853">
        <v>22.2</v>
      </c>
      <c r="H1853">
        <v>47228</v>
      </c>
      <c r="I1853">
        <v>677</v>
      </c>
      <c r="J1853">
        <v>1038259260</v>
      </c>
      <c r="K1853">
        <v>49206600</v>
      </c>
      <c r="L1853">
        <f>(Table1[[#This Row],[CLOSE_PRICE]] - Table1[[#This Row],[PREV_CL_PR]]) / Table1[[#This Row],[PREV_CL_PR]] * 100</f>
        <v>-4.9549549549549452</v>
      </c>
      <c r="M1853">
        <f>Table1[[#This Row],[HIGH_PRICE]]-Table1[[#This Row],[LOW_PRICE]]</f>
        <v>1.1999999999999993</v>
      </c>
      <c r="N1853" t="str">
        <f>IF(Table1[[#This Row],[CLOSE_PRICE]]&gt;Table1[[#This Row],[OPEN_PRICE]],"Gain","Loss")</f>
        <v>Loss</v>
      </c>
      <c r="O1853" t="str">
        <f>IF(Table1[[#This Row],[MARKET_CAP]]&gt;200000000000,"Large Cap",
IF(Table1[[#This Row],[MARKET_CAP]]&gt;50000000000,"Mid Cap","Small Cap"))</f>
        <v>Small Cap</v>
      </c>
      <c r="P1853" t="str">
        <f>IF(Table1[[#This Row],[NET_TRDQTY]]&gt;1000000,"High Volume","Low Volume")</f>
        <v>Low Volume</v>
      </c>
    </row>
    <row r="1854" spans="1:16" x14ac:dyDescent="0.3">
      <c r="A1854" t="s">
        <v>3711</v>
      </c>
      <c r="B1854" t="s">
        <v>3712</v>
      </c>
      <c r="C1854">
        <v>17.239999999999998</v>
      </c>
      <c r="D1854">
        <v>17.559999999999999</v>
      </c>
      <c r="E1854">
        <v>16.29</v>
      </c>
      <c r="F1854">
        <v>16.579999999999998</v>
      </c>
      <c r="G1854">
        <v>17.239999999999998</v>
      </c>
      <c r="H1854">
        <v>119773</v>
      </c>
      <c r="I1854">
        <v>728</v>
      </c>
      <c r="J1854">
        <v>2250900187</v>
      </c>
      <c r="K1854">
        <v>135759963</v>
      </c>
      <c r="L1854">
        <f>(Table1[[#This Row],[CLOSE_PRICE]] - Table1[[#This Row],[PREV_CL_PR]]) / Table1[[#This Row],[PREV_CL_PR]] * 100</f>
        <v>-3.8283062645011614</v>
      </c>
      <c r="M1854">
        <f>Table1[[#This Row],[HIGH_PRICE]]-Table1[[#This Row],[LOW_PRICE]]</f>
        <v>1.2699999999999996</v>
      </c>
      <c r="N1854" t="str">
        <f>IF(Table1[[#This Row],[CLOSE_PRICE]]&gt;Table1[[#This Row],[OPEN_PRICE]],"Gain","Loss")</f>
        <v>Loss</v>
      </c>
      <c r="O1854" t="str">
        <f>IF(Table1[[#This Row],[MARKET_CAP]]&gt;200000000000,"Large Cap",
IF(Table1[[#This Row],[MARKET_CAP]]&gt;50000000000,"Mid Cap","Small Cap"))</f>
        <v>Small Cap</v>
      </c>
      <c r="P1854" t="str">
        <f>IF(Table1[[#This Row],[NET_TRDQTY]]&gt;1000000,"High Volume","Low Volume")</f>
        <v>Low Volume</v>
      </c>
    </row>
    <row r="1855" spans="1:16" x14ac:dyDescent="0.3">
      <c r="A1855" t="s">
        <v>3713</v>
      </c>
      <c r="B1855" t="s">
        <v>3714</v>
      </c>
      <c r="C1855">
        <v>54</v>
      </c>
      <c r="D1855">
        <v>54</v>
      </c>
      <c r="E1855">
        <v>48.12</v>
      </c>
      <c r="F1855">
        <v>49.83</v>
      </c>
      <c r="G1855">
        <v>52.44</v>
      </c>
      <c r="H1855">
        <v>18246</v>
      </c>
      <c r="I1855">
        <v>408</v>
      </c>
      <c r="J1855">
        <v>937067600.70000005</v>
      </c>
      <c r="K1855">
        <v>18805290</v>
      </c>
      <c r="L1855">
        <f>(Table1[[#This Row],[CLOSE_PRICE]] - Table1[[#This Row],[PREV_CL_PR]]) / Table1[[#This Row],[PREV_CL_PR]] * 100</f>
        <v>-4.977116704805491</v>
      </c>
      <c r="M1855">
        <f>Table1[[#This Row],[HIGH_PRICE]]-Table1[[#This Row],[LOW_PRICE]]</f>
        <v>5.8800000000000026</v>
      </c>
      <c r="N1855" t="str">
        <f>IF(Table1[[#This Row],[CLOSE_PRICE]]&gt;Table1[[#This Row],[OPEN_PRICE]],"Gain","Loss")</f>
        <v>Loss</v>
      </c>
      <c r="O1855" t="str">
        <f>IF(Table1[[#This Row],[MARKET_CAP]]&gt;200000000000,"Large Cap",
IF(Table1[[#This Row],[MARKET_CAP]]&gt;50000000000,"Mid Cap","Small Cap"))</f>
        <v>Small Cap</v>
      </c>
      <c r="P1855" t="str">
        <f>IF(Table1[[#This Row],[NET_TRDQTY]]&gt;1000000,"High Volume","Low Volume")</f>
        <v>Low Volume</v>
      </c>
    </row>
    <row r="1856" spans="1:16" x14ac:dyDescent="0.3">
      <c r="A1856" t="s">
        <v>3715</v>
      </c>
      <c r="B1856" t="s">
        <v>3716</v>
      </c>
      <c r="C1856">
        <v>208.7</v>
      </c>
      <c r="D1856">
        <v>208.7</v>
      </c>
      <c r="E1856">
        <v>196</v>
      </c>
      <c r="F1856">
        <v>198</v>
      </c>
      <c r="G1856">
        <v>209.08</v>
      </c>
      <c r="H1856">
        <v>392887</v>
      </c>
      <c r="I1856">
        <v>8017</v>
      </c>
      <c r="J1856">
        <v>43091907408</v>
      </c>
      <c r="K1856">
        <v>217635896</v>
      </c>
      <c r="L1856">
        <f>(Table1[[#This Row],[CLOSE_PRICE]] - Table1[[#This Row],[PREV_CL_PR]]) / Table1[[#This Row],[PREV_CL_PR]] * 100</f>
        <v>-5.2994069255787313</v>
      </c>
      <c r="M1856">
        <f>Table1[[#This Row],[HIGH_PRICE]]-Table1[[#This Row],[LOW_PRICE]]</f>
        <v>12.699999999999989</v>
      </c>
      <c r="N1856" t="str">
        <f>IF(Table1[[#This Row],[CLOSE_PRICE]]&gt;Table1[[#This Row],[OPEN_PRICE]],"Gain","Loss")</f>
        <v>Loss</v>
      </c>
      <c r="O1856" t="str">
        <f>IF(Table1[[#This Row],[MARKET_CAP]]&gt;200000000000,"Large Cap",
IF(Table1[[#This Row],[MARKET_CAP]]&gt;50000000000,"Mid Cap","Small Cap"))</f>
        <v>Small Cap</v>
      </c>
      <c r="P1856" t="str">
        <f>IF(Table1[[#This Row],[NET_TRDQTY]]&gt;1000000,"High Volume","Low Volume")</f>
        <v>Low Volume</v>
      </c>
    </row>
    <row r="1857" spans="1:16" x14ac:dyDescent="0.3">
      <c r="A1857" t="s">
        <v>3717</v>
      </c>
      <c r="B1857" t="s">
        <v>3718</v>
      </c>
      <c r="C1857">
        <v>123.75</v>
      </c>
      <c r="D1857">
        <v>133</v>
      </c>
      <c r="E1857">
        <v>119.7</v>
      </c>
      <c r="F1857">
        <v>125.37</v>
      </c>
      <c r="G1857">
        <v>123.54</v>
      </c>
      <c r="H1857">
        <v>788827</v>
      </c>
      <c r="I1857">
        <v>11223</v>
      </c>
      <c r="J1857">
        <v>13325555235</v>
      </c>
      <c r="K1857">
        <v>106289824</v>
      </c>
      <c r="L1857">
        <f>(Table1[[#This Row],[CLOSE_PRICE]] - Table1[[#This Row],[PREV_CL_PR]]) / Table1[[#This Row],[PREV_CL_PR]] * 100</f>
        <v>1.4813016027197654</v>
      </c>
      <c r="M1857">
        <f>Table1[[#This Row],[HIGH_PRICE]]-Table1[[#This Row],[LOW_PRICE]]</f>
        <v>13.299999999999997</v>
      </c>
      <c r="N1857" t="str">
        <f>IF(Table1[[#This Row],[CLOSE_PRICE]]&gt;Table1[[#This Row],[OPEN_PRICE]],"Gain","Loss")</f>
        <v>Gain</v>
      </c>
      <c r="O1857" t="str">
        <f>IF(Table1[[#This Row],[MARKET_CAP]]&gt;200000000000,"Large Cap",
IF(Table1[[#This Row],[MARKET_CAP]]&gt;50000000000,"Mid Cap","Small Cap"))</f>
        <v>Small Cap</v>
      </c>
      <c r="P1857" t="str">
        <f>IF(Table1[[#This Row],[NET_TRDQTY]]&gt;1000000,"High Volume","Low Volume")</f>
        <v>Low Volume</v>
      </c>
    </row>
    <row r="1858" spans="1:16" x14ac:dyDescent="0.3">
      <c r="A1858" t="s">
        <v>3719</v>
      </c>
      <c r="B1858" t="s">
        <v>3720</v>
      </c>
      <c r="C1858">
        <v>29.02</v>
      </c>
      <c r="D1858">
        <v>29.02</v>
      </c>
      <c r="E1858">
        <v>27</v>
      </c>
      <c r="F1858">
        <v>27.24</v>
      </c>
      <c r="G1858">
        <v>29.21</v>
      </c>
      <c r="H1858">
        <v>90459</v>
      </c>
      <c r="I1858">
        <v>810</v>
      </c>
      <c r="J1858">
        <v>4462691609</v>
      </c>
      <c r="K1858">
        <v>163828620</v>
      </c>
      <c r="L1858">
        <f>(Table1[[#This Row],[CLOSE_PRICE]] - Table1[[#This Row],[PREV_CL_PR]]) / Table1[[#This Row],[PREV_CL_PR]] * 100</f>
        <v>-6.7442656624443762</v>
      </c>
      <c r="M1858">
        <f>Table1[[#This Row],[HIGH_PRICE]]-Table1[[#This Row],[LOW_PRICE]]</f>
        <v>2.0199999999999996</v>
      </c>
      <c r="N1858" t="str">
        <f>IF(Table1[[#This Row],[CLOSE_PRICE]]&gt;Table1[[#This Row],[OPEN_PRICE]],"Gain","Loss")</f>
        <v>Loss</v>
      </c>
      <c r="O1858" t="str">
        <f>IF(Table1[[#This Row],[MARKET_CAP]]&gt;200000000000,"Large Cap",
IF(Table1[[#This Row],[MARKET_CAP]]&gt;50000000000,"Mid Cap","Small Cap"))</f>
        <v>Small Cap</v>
      </c>
      <c r="P1858" t="str">
        <f>IF(Table1[[#This Row],[NET_TRDQTY]]&gt;1000000,"High Volume","Low Volume")</f>
        <v>Low Volume</v>
      </c>
    </row>
    <row r="1859" spans="1:16" x14ac:dyDescent="0.3">
      <c r="A1859" t="s">
        <v>3721</v>
      </c>
      <c r="B1859" t="s">
        <v>3722</v>
      </c>
      <c r="C1859">
        <v>134</v>
      </c>
      <c r="D1859">
        <v>134</v>
      </c>
      <c r="E1859">
        <v>124.76</v>
      </c>
      <c r="F1859">
        <v>126.65</v>
      </c>
      <c r="G1859">
        <v>134.03</v>
      </c>
      <c r="H1859">
        <v>406272</v>
      </c>
      <c r="I1859">
        <v>4732</v>
      </c>
      <c r="J1859">
        <v>28809608317</v>
      </c>
      <c r="K1859">
        <v>227474207</v>
      </c>
      <c r="L1859">
        <f>(Table1[[#This Row],[CLOSE_PRICE]] - Table1[[#This Row],[PREV_CL_PR]]) / Table1[[#This Row],[PREV_CL_PR]] * 100</f>
        <v>-5.5062299485189845</v>
      </c>
      <c r="M1859">
        <f>Table1[[#This Row],[HIGH_PRICE]]-Table1[[#This Row],[LOW_PRICE]]</f>
        <v>9.2399999999999949</v>
      </c>
      <c r="N1859" t="str">
        <f>IF(Table1[[#This Row],[CLOSE_PRICE]]&gt;Table1[[#This Row],[OPEN_PRICE]],"Gain","Loss")</f>
        <v>Loss</v>
      </c>
      <c r="O1859" t="str">
        <f>IF(Table1[[#This Row],[MARKET_CAP]]&gt;200000000000,"Large Cap",
IF(Table1[[#This Row],[MARKET_CAP]]&gt;50000000000,"Mid Cap","Small Cap"))</f>
        <v>Small Cap</v>
      </c>
      <c r="P1859" t="str">
        <f>IF(Table1[[#This Row],[NET_TRDQTY]]&gt;1000000,"High Volume","Low Volume")</f>
        <v>Low Volume</v>
      </c>
    </row>
    <row r="1860" spans="1:16" x14ac:dyDescent="0.3">
      <c r="A1860" t="s">
        <v>3723</v>
      </c>
      <c r="B1860" t="s">
        <v>3724</v>
      </c>
      <c r="C1860">
        <v>2.82</v>
      </c>
      <c r="D1860">
        <v>2.82</v>
      </c>
      <c r="E1860">
        <v>2.5499999999999998</v>
      </c>
      <c r="F1860">
        <v>2.59</v>
      </c>
      <c r="G1860">
        <v>2.82</v>
      </c>
      <c r="H1860">
        <v>99435</v>
      </c>
      <c r="I1860">
        <v>302</v>
      </c>
      <c r="J1860">
        <v>543399327.10000002</v>
      </c>
      <c r="K1860">
        <v>209806690</v>
      </c>
      <c r="L1860">
        <f>(Table1[[#This Row],[CLOSE_PRICE]] - Table1[[#This Row],[PREV_CL_PR]]) / Table1[[#This Row],[PREV_CL_PR]] * 100</f>
        <v>-8.1560283687943258</v>
      </c>
      <c r="M1860">
        <f>Table1[[#This Row],[HIGH_PRICE]]-Table1[[#This Row],[LOW_PRICE]]</f>
        <v>0.27</v>
      </c>
      <c r="N1860" t="str">
        <f>IF(Table1[[#This Row],[CLOSE_PRICE]]&gt;Table1[[#This Row],[OPEN_PRICE]],"Gain","Loss")</f>
        <v>Loss</v>
      </c>
      <c r="O1860" t="str">
        <f>IF(Table1[[#This Row],[MARKET_CAP]]&gt;200000000000,"Large Cap",
IF(Table1[[#This Row],[MARKET_CAP]]&gt;50000000000,"Mid Cap","Small Cap"))</f>
        <v>Small Cap</v>
      </c>
      <c r="P1860" t="str">
        <f>IF(Table1[[#This Row],[NET_TRDQTY]]&gt;1000000,"High Volume","Low Volume")</f>
        <v>Low Volume</v>
      </c>
    </row>
    <row r="1861" spans="1:16" x14ac:dyDescent="0.3">
      <c r="A1861" t="s">
        <v>3725</v>
      </c>
      <c r="B1861" t="s">
        <v>3726</v>
      </c>
      <c r="C1861">
        <v>672.9</v>
      </c>
      <c r="D1861">
        <v>675.1</v>
      </c>
      <c r="E1861">
        <v>600</v>
      </c>
      <c r="F1861">
        <v>611.5</v>
      </c>
      <c r="G1861">
        <v>679.9</v>
      </c>
      <c r="H1861">
        <v>45907</v>
      </c>
      <c r="I1861">
        <v>3098</v>
      </c>
      <c r="J1861">
        <v>6842452630</v>
      </c>
      <c r="K1861">
        <v>11189620</v>
      </c>
      <c r="L1861">
        <f>(Table1[[#This Row],[CLOSE_PRICE]] - Table1[[#This Row],[PREV_CL_PR]]) / Table1[[#This Row],[PREV_CL_PR]] * 100</f>
        <v>-10.060302985733193</v>
      </c>
      <c r="M1861">
        <f>Table1[[#This Row],[HIGH_PRICE]]-Table1[[#This Row],[LOW_PRICE]]</f>
        <v>75.100000000000023</v>
      </c>
      <c r="N1861" t="str">
        <f>IF(Table1[[#This Row],[CLOSE_PRICE]]&gt;Table1[[#This Row],[OPEN_PRICE]],"Gain","Loss")</f>
        <v>Loss</v>
      </c>
      <c r="O1861" t="str">
        <f>IF(Table1[[#This Row],[MARKET_CAP]]&gt;200000000000,"Large Cap",
IF(Table1[[#This Row],[MARKET_CAP]]&gt;50000000000,"Mid Cap","Small Cap"))</f>
        <v>Small Cap</v>
      </c>
      <c r="P1861" t="str">
        <f>IF(Table1[[#This Row],[NET_TRDQTY]]&gt;1000000,"High Volume","Low Volume")</f>
        <v>Low Volume</v>
      </c>
    </row>
    <row r="1862" spans="1:16" x14ac:dyDescent="0.3">
      <c r="A1862" t="s">
        <v>3727</v>
      </c>
      <c r="B1862" t="s">
        <v>3728</v>
      </c>
      <c r="C1862">
        <v>41.76</v>
      </c>
      <c r="D1862">
        <v>41.76</v>
      </c>
      <c r="E1862">
        <v>39.700000000000003</v>
      </c>
      <c r="F1862">
        <v>39.94</v>
      </c>
      <c r="G1862">
        <v>41.95</v>
      </c>
      <c r="H1862">
        <v>68192562</v>
      </c>
      <c r="I1862">
        <v>124692</v>
      </c>
      <c r="J1862">
        <v>548000000000</v>
      </c>
      <c r="K1862">
        <v>13712280885</v>
      </c>
      <c r="L1862">
        <f>(Table1[[#This Row],[CLOSE_PRICE]] - Table1[[#This Row],[PREV_CL_PR]]) / Table1[[#This Row],[PREV_CL_PR]] * 100</f>
        <v>-4.7914183551847556</v>
      </c>
      <c r="M1862">
        <f>Table1[[#This Row],[HIGH_PRICE]]-Table1[[#This Row],[LOW_PRICE]]</f>
        <v>2.0599999999999952</v>
      </c>
      <c r="N1862" t="str">
        <f>IF(Table1[[#This Row],[CLOSE_PRICE]]&gt;Table1[[#This Row],[OPEN_PRICE]],"Gain","Loss")</f>
        <v>Loss</v>
      </c>
      <c r="O1862" t="str">
        <f>IF(Table1[[#This Row],[MARKET_CAP]]&gt;200000000000,"Large Cap",
IF(Table1[[#This Row],[MARKET_CAP]]&gt;50000000000,"Mid Cap","Small Cap"))</f>
        <v>Large Cap</v>
      </c>
      <c r="P1862" t="str">
        <f>IF(Table1[[#This Row],[NET_TRDQTY]]&gt;1000000,"High Volume","Low Volume")</f>
        <v>High Volume</v>
      </c>
    </row>
    <row r="1863" spans="1:16" x14ac:dyDescent="0.3">
      <c r="A1863" t="s">
        <v>3729</v>
      </c>
      <c r="B1863" t="s">
        <v>3730</v>
      </c>
      <c r="C1863">
        <v>520</v>
      </c>
      <c r="D1863">
        <v>538.85</v>
      </c>
      <c r="E1863">
        <v>495</v>
      </c>
      <c r="F1863">
        <v>498.65</v>
      </c>
      <c r="G1863">
        <v>506.5</v>
      </c>
      <c r="H1863">
        <v>6360</v>
      </c>
      <c r="I1863">
        <v>70</v>
      </c>
      <c r="J1863">
        <v>5731333505</v>
      </c>
      <c r="K1863">
        <v>11493700</v>
      </c>
      <c r="L1863">
        <f>(Table1[[#This Row],[CLOSE_PRICE]] - Table1[[#This Row],[PREV_CL_PR]]) / Table1[[#This Row],[PREV_CL_PR]] * 100</f>
        <v>-1.5498519249753253</v>
      </c>
      <c r="M1863">
        <f>Table1[[#This Row],[HIGH_PRICE]]-Table1[[#This Row],[LOW_PRICE]]</f>
        <v>43.850000000000023</v>
      </c>
      <c r="N1863" t="str">
        <f>IF(Table1[[#This Row],[CLOSE_PRICE]]&gt;Table1[[#This Row],[OPEN_PRICE]],"Gain","Loss")</f>
        <v>Loss</v>
      </c>
      <c r="O1863" t="str">
        <f>IF(Table1[[#This Row],[MARKET_CAP]]&gt;200000000000,"Large Cap",
IF(Table1[[#This Row],[MARKET_CAP]]&gt;50000000000,"Mid Cap","Small Cap"))</f>
        <v>Small Cap</v>
      </c>
      <c r="P1863" t="str">
        <f>IF(Table1[[#This Row],[NET_TRDQTY]]&gt;1000000,"High Volume","Low Volume")</f>
        <v>Low Volume</v>
      </c>
    </row>
    <row r="1864" spans="1:16" x14ac:dyDescent="0.3">
      <c r="A1864" t="s">
        <v>3731</v>
      </c>
      <c r="B1864" t="s">
        <v>3732</v>
      </c>
      <c r="C1864">
        <v>312.8</v>
      </c>
      <c r="D1864">
        <v>318</v>
      </c>
      <c r="E1864">
        <v>303.75</v>
      </c>
      <c r="F1864">
        <v>310.7</v>
      </c>
      <c r="G1864">
        <v>318.60000000000002</v>
      </c>
      <c r="H1864">
        <v>1950229</v>
      </c>
      <c r="I1864">
        <v>38657</v>
      </c>
      <c r="J1864">
        <v>97391054480</v>
      </c>
      <c r="K1864">
        <v>313456886</v>
      </c>
      <c r="L1864">
        <f>(Table1[[#This Row],[CLOSE_PRICE]] - Table1[[#This Row],[PREV_CL_PR]]) / Table1[[#This Row],[PREV_CL_PR]] * 100</f>
        <v>-2.4795982423101175</v>
      </c>
      <c r="M1864">
        <f>Table1[[#This Row],[HIGH_PRICE]]-Table1[[#This Row],[LOW_PRICE]]</f>
        <v>14.25</v>
      </c>
      <c r="N1864" t="str">
        <f>IF(Table1[[#This Row],[CLOSE_PRICE]]&gt;Table1[[#This Row],[OPEN_PRICE]],"Gain","Loss")</f>
        <v>Loss</v>
      </c>
      <c r="O1864" t="str">
        <f>IF(Table1[[#This Row],[MARKET_CAP]]&gt;200000000000,"Large Cap",
IF(Table1[[#This Row],[MARKET_CAP]]&gt;50000000000,"Mid Cap","Small Cap"))</f>
        <v>Mid Cap</v>
      </c>
      <c r="P1864" t="str">
        <f>IF(Table1[[#This Row],[NET_TRDQTY]]&gt;1000000,"High Volume","Low Volume")</f>
        <v>High Volume</v>
      </c>
    </row>
    <row r="1865" spans="1:16" x14ac:dyDescent="0.3">
      <c r="A1865" t="s">
        <v>3733</v>
      </c>
      <c r="B1865" t="s">
        <v>3734</v>
      </c>
      <c r="C1865">
        <v>3550</v>
      </c>
      <c r="D1865">
        <v>3550</v>
      </c>
      <c r="E1865">
        <v>3381.2</v>
      </c>
      <c r="F1865">
        <v>3420.4</v>
      </c>
      <c r="G1865">
        <v>3560.6</v>
      </c>
      <c r="H1865">
        <v>18818</v>
      </c>
      <c r="I1865">
        <v>3291</v>
      </c>
      <c r="J1865">
        <v>41549192706</v>
      </c>
      <c r="K1865">
        <v>12147466</v>
      </c>
      <c r="L1865">
        <f>(Table1[[#This Row],[CLOSE_PRICE]] - Table1[[#This Row],[PREV_CL_PR]]) / Table1[[#This Row],[PREV_CL_PR]] * 100</f>
        <v>-3.9375386170870024</v>
      </c>
      <c r="M1865">
        <f>Table1[[#This Row],[HIGH_PRICE]]-Table1[[#This Row],[LOW_PRICE]]</f>
        <v>168.80000000000018</v>
      </c>
      <c r="N1865" t="str">
        <f>IF(Table1[[#This Row],[CLOSE_PRICE]]&gt;Table1[[#This Row],[OPEN_PRICE]],"Gain","Loss")</f>
        <v>Loss</v>
      </c>
      <c r="O1865" t="str">
        <f>IF(Table1[[#This Row],[MARKET_CAP]]&gt;200000000000,"Large Cap",
IF(Table1[[#This Row],[MARKET_CAP]]&gt;50000000000,"Mid Cap","Small Cap"))</f>
        <v>Small Cap</v>
      </c>
      <c r="P1865" t="str">
        <f>IF(Table1[[#This Row],[NET_TRDQTY]]&gt;1000000,"High Volume","Low Volume")</f>
        <v>Low Volume</v>
      </c>
    </row>
    <row r="1866" spans="1:16" x14ac:dyDescent="0.3">
      <c r="A1866" t="s">
        <v>3735</v>
      </c>
      <c r="B1866" t="s">
        <v>3736</v>
      </c>
      <c r="C1866">
        <v>544.95000000000005</v>
      </c>
      <c r="D1866">
        <v>560</v>
      </c>
      <c r="E1866">
        <v>535</v>
      </c>
      <c r="F1866">
        <v>544.85</v>
      </c>
      <c r="G1866">
        <v>553.85</v>
      </c>
      <c r="H1866">
        <v>50115</v>
      </c>
      <c r="I1866">
        <v>2434</v>
      </c>
      <c r="J1866">
        <v>8259250386</v>
      </c>
      <c r="K1866">
        <v>15158760</v>
      </c>
      <c r="L1866">
        <f>(Table1[[#This Row],[CLOSE_PRICE]] - Table1[[#This Row],[PREV_CL_PR]]) / Table1[[#This Row],[PREV_CL_PR]] * 100</f>
        <v>-1.6249887153561433</v>
      </c>
      <c r="M1866">
        <f>Table1[[#This Row],[HIGH_PRICE]]-Table1[[#This Row],[LOW_PRICE]]</f>
        <v>25</v>
      </c>
      <c r="N1866" t="str">
        <f>IF(Table1[[#This Row],[CLOSE_PRICE]]&gt;Table1[[#This Row],[OPEN_PRICE]],"Gain","Loss")</f>
        <v>Loss</v>
      </c>
      <c r="O1866" t="str">
        <f>IF(Table1[[#This Row],[MARKET_CAP]]&gt;200000000000,"Large Cap",
IF(Table1[[#This Row],[MARKET_CAP]]&gt;50000000000,"Mid Cap","Small Cap"))</f>
        <v>Small Cap</v>
      </c>
      <c r="P1866" t="str">
        <f>IF(Table1[[#This Row],[NET_TRDQTY]]&gt;1000000,"High Volume","Low Volume")</f>
        <v>Low Volume</v>
      </c>
    </row>
    <row r="1867" spans="1:16" x14ac:dyDescent="0.3">
      <c r="A1867" t="s">
        <v>3737</v>
      </c>
      <c r="B1867" t="s">
        <v>3738</v>
      </c>
      <c r="C1867">
        <v>277.35000000000002</v>
      </c>
      <c r="D1867">
        <v>280.8</v>
      </c>
      <c r="E1867">
        <v>266.95</v>
      </c>
      <c r="F1867">
        <v>272.55</v>
      </c>
      <c r="G1867">
        <v>282.8</v>
      </c>
      <c r="H1867">
        <v>17054816</v>
      </c>
      <c r="I1867">
        <v>81030</v>
      </c>
      <c r="J1867">
        <v>752000000000</v>
      </c>
      <c r="K1867">
        <v>2760313555</v>
      </c>
      <c r="L1867">
        <f>(Table1[[#This Row],[CLOSE_PRICE]] - Table1[[#This Row],[PREV_CL_PR]]) / Table1[[#This Row],[PREV_CL_PR]] * 100</f>
        <v>-3.6244695898161239</v>
      </c>
      <c r="M1867">
        <f>Table1[[#This Row],[HIGH_PRICE]]-Table1[[#This Row],[LOW_PRICE]]</f>
        <v>13.850000000000023</v>
      </c>
      <c r="N1867" t="str">
        <f>IF(Table1[[#This Row],[CLOSE_PRICE]]&gt;Table1[[#This Row],[OPEN_PRICE]],"Gain","Loss")</f>
        <v>Loss</v>
      </c>
      <c r="O1867" t="str">
        <f>IF(Table1[[#This Row],[MARKET_CAP]]&gt;200000000000,"Large Cap",
IF(Table1[[#This Row],[MARKET_CAP]]&gt;50000000000,"Mid Cap","Small Cap"))</f>
        <v>Large Cap</v>
      </c>
      <c r="P1867" t="str">
        <f>IF(Table1[[#This Row],[NET_TRDQTY]]&gt;1000000,"High Volume","Low Volume")</f>
        <v>High Volume</v>
      </c>
    </row>
    <row r="1868" spans="1:16" x14ac:dyDescent="0.3">
      <c r="A1868" t="s">
        <v>3739</v>
      </c>
      <c r="B1868" t="s">
        <v>3740</v>
      </c>
      <c r="C1868">
        <v>168.51</v>
      </c>
      <c r="D1868">
        <v>169.5</v>
      </c>
      <c r="E1868">
        <v>158.02000000000001</v>
      </c>
      <c r="F1868">
        <v>158.58000000000001</v>
      </c>
      <c r="G1868">
        <v>171.65</v>
      </c>
      <c r="H1868">
        <v>2331548</v>
      </c>
      <c r="I1868">
        <v>24557</v>
      </c>
      <c r="J1868">
        <v>37033460158</v>
      </c>
      <c r="K1868">
        <v>233531720</v>
      </c>
      <c r="L1868">
        <f>(Table1[[#This Row],[CLOSE_PRICE]] - Table1[[#This Row],[PREV_CL_PR]]) / Table1[[#This Row],[PREV_CL_PR]] * 100</f>
        <v>-7.6143314884940247</v>
      </c>
      <c r="M1868">
        <f>Table1[[#This Row],[HIGH_PRICE]]-Table1[[#This Row],[LOW_PRICE]]</f>
        <v>11.47999999999999</v>
      </c>
      <c r="N1868" t="str">
        <f>IF(Table1[[#This Row],[CLOSE_PRICE]]&gt;Table1[[#This Row],[OPEN_PRICE]],"Gain","Loss")</f>
        <v>Loss</v>
      </c>
      <c r="O1868" t="str">
        <f>IF(Table1[[#This Row],[MARKET_CAP]]&gt;200000000000,"Large Cap",
IF(Table1[[#This Row],[MARKET_CAP]]&gt;50000000000,"Mid Cap","Small Cap"))</f>
        <v>Small Cap</v>
      </c>
      <c r="P1868" t="str">
        <f>IF(Table1[[#This Row],[NET_TRDQTY]]&gt;1000000,"High Volume","Low Volume")</f>
        <v>High Volume</v>
      </c>
    </row>
    <row r="1869" spans="1:16" x14ac:dyDescent="0.3">
      <c r="A1869" t="s">
        <v>3741</v>
      </c>
      <c r="B1869" t="s">
        <v>3742</v>
      </c>
      <c r="C1869">
        <v>765</v>
      </c>
      <c r="D1869">
        <v>767.55</v>
      </c>
      <c r="E1869">
        <v>724</v>
      </c>
      <c r="F1869">
        <v>727.2</v>
      </c>
      <c r="G1869">
        <v>771.45</v>
      </c>
      <c r="H1869">
        <v>166311</v>
      </c>
      <c r="I1869">
        <v>10916</v>
      </c>
      <c r="J1869">
        <v>49937842080</v>
      </c>
      <c r="K1869">
        <v>68671400</v>
      </c>
      <c r="L1869">
        <f>(Table1[[#This Row],[CLOSE_PRICE]] - Table1[[#This Row],[PREV_CL_PR]]) / Table1[[#This Row],[PREV_CL_PR]] * 100</f>
        <v>-5.7359517791172463</v>
      </c>
      <c r="M1869">
        <f>Table1[[#This Row],[HIGH_PRICE]]-Table1[[#This Row],[LOW_PRICE]]</f>
        <v>43.549999999999955</v>
      </c>
      <c r="N1869" t="str">
        <f>IF(Table1[[#This Row],[CLOSE_PRICE]]&gt;Table1[[#This Row],[OPEN_PRICE]],"Gain","Loss")</f>
        <v>Loss</v>
      </c>
      <c r="O1869" t="str">
        <f>IF(Table1[[#This Row],[MARKET_CAP]]&gt;200000000000,"Large Cap",
IF(Table1[[#This Row],[MARKET_CAP]]&gt;50000000000,"Mid Cap","Small Cap"))</f>
        <v>Small Cap</v>
      </c>
      <c r="P1869" t="str">
        <f>IF(Table1[[#This Row],[NET_TRDQTY]]&gt;1000000,"High Volume","Low Volume")</f>
        <v>Low Volume</v>
      </c>
    </row>
    <row r="1870" spans="1:16" x14ac:dyDescent="0.3">
      <c r="A1870" t="s">
        <v>3743</v>
      </c>
      <c r="B1870" t="s">
        <v>3744</v>
      </c>
      <c r="C1870">
        <v>11.76</v>
      </c>
      <c r="D1870">
        <v>11.76</v>
      </c>
      <c r="E1870">
        <v>11</v>
      </c>
      <c r="F1870">
        <v>11.19</v>
      </c>
      <c r="G1870">
        <v>11.78</v>
      </c>
      <c r="H1870">
        <v>1936298</v>
      </c>
      <c r="I1870">
        <v>4980</v>
      </c>
      <c r="J1870">
        <v>10518600000</v>
      </c>
      <c r="K1870">
        <v>940000000</v>
      </c>
      <c r="L1870">
        <f>(Table1[[#This Row],[CLOSE_PRICE]] - Table1[[#This Row],[PREV_CL_PR]]) / Table1[[#This Row],[PREV_CL_PR]] * 100</f>
        <v>-5.0084889643463493</v>
      </c>
      <c r="M1870">
        <f>Table1[[#This Row],[HIGH_PRICE]]-Table1[[#This Row],[LOW_PRICE]]</f>
        <v>0.75999999999999979</v>
      </c>
      <c r="N1870" t="str">
        <f>IF(Table1[[#This Row],[CLOSE_PRICE]]&gt;Table1[[#This Row],[OPEN_PRICE]],"Gain","Loss")</f>
        <v>Loss</v>
      </c>
      <c r="O1870" t="str">
        <f>IF(Table1[[#This Row],[MARKET_CAP]]&gt;200000000000,"Large Cap",
IF(Table1[[#This Row],[MARKET_CAP]]&gt;50000000000,"Mid Cap","Small Cap"))</f>
        <v>Small Cap</v>
      </c>
      <c r="P1870" t="str">
        <f>IF(Table1[[#This Row],[NET_TRDQTY]]&gt;1000000,"High Volume","Low Volume")</f>
        <v>High Volume</v>
      </c>
    </row>
    <row r="1871" spans="1:16" x14ac:dyDescent="0.3">
      <c r="A1871" t="s">
        <v>3745</v>
      </c>
      <c r="B1871" t="s">
        <v>3746</v>
      </c>
      <c r="C1871">
        <v>408.8</v>
      </c>
      <c r="D1871">
        <v>414.7</v>
      </c>
      <c r="E1871">
        <v>396</v>
      </c>
      <c r="F1871">
        <v>397.85</v>
      </c>
      <c r="G1871">
        <v>414.75</v>
      </c>
      <c r="H1871">
        <v>728256</v>
      </c>
      <c r="I1871">
        <v>33945</v>
      </c>
      <c r="J1871">
        <v>160000000000</v>
      </c>
      <c r="K1871">
        <v>402939420</v>
      </c>
      <c r="L1871">
        <f>(Table1[[#This Row],[CLOSE_PRICE]] - Table1[[#This Row],[PREV_CL_PR]]) / Table1[[#This Row],[PREV_CL_PR]] * 100</f>
        <v>-4.0747438215792586</v>
      </c>
      <c r="M1871">
        <f>Table1[[#This Row],[HIGH_PRICE]]-Table1[[#This Row],[LOW_PRICE]]</f>
        <v>18.699999999999989</v>
      </c>
      <c r="N1871" t="str">
        <f>IF(Table1[[#This Row],[CLOSE_PRICE]]&gt;Table1[[#This Row],[OPEN_PRICE]],"Gain","Loss")</f>
        <v>Loss</v>
      </c>
      <c r="O1871" t="str">
        <f>IF(Table1[[#This Row],[MARKET_CAP]]&gt;200000000000,"Large Cap",
IF(Table1[[#This Row],[MARKET_CAP]]&gt;50000000000,"Mid Cap","Small Cap"))</f>
        <v>Mid Cap</v>
      </c>
      <c r="P1871" t="str">
        <f>IF(Table1[[#This Row],[NET_TRDQTY]]&gt;1000000,"High Volume","Low Volume")</f>
        <v>Low Volume</v>
      </c>
    </row>
    <row r="1872" spans="1:16" x14ac:dyDescent="0.3">
      <c r="A1872" t="s">
        <v>3747</v>
      </c>
      <c r="B1872" t="s">
        <v>3748</v>
      </c>
      <c r="C1872">
        <v>775</v>
      </c>
      <c r="D1872">
        <v>777.65</v>
      </c>
      <c r="E1872">
        <v>735.7</v>
      </c>
      <c r="F1872">
        <v>746</v>
      </c>
      <c r="G1872">
        <v>783.9</v>
      </c>
      <c r="H1872">
        <v>979054</v>
      </c>
      <c r="I1872">
        <v>40009</v>
      </c>
      <c r="J1872">
        <v>144000000000</v>
      </c>
      <c r="K1872">
        <v>192830485</v>
      </c>
      <c r="L1872">
        <f>(Table1[[#This Row],[CLOSE_PRICE]] - Table1[[#This Row],[PREV_CL_PR]]) / Table1[[#This Row],[PREV_CL_PR]] * 100</f>
        <v>-4.8348003571884144</v>
      </c>
      <c r="M1872">
        <f>Table1[[#This Row],[HIGH_PRICE]]-Table1[[#This Row],[LOW_PRICE]]</f>
        <v>41.949999999999932</v>
      </c>
      <c r="N1872" t="str">
        <f>IF(Table1[[#This Row],[CLOSE_PRICE]]&gt;Table1[[#This Row],[OPEN_PRICE]],"Gain","Loss")</f>
        <v>Loss</v>
      </c>
      <c r="O1872" t="str">
        <f>IF(Table1[[#This Row],[MARKET_CAP]]&gt;200000000000,"Large Cap",
IF(Table1[[#This Row],[MARKET_CAP]]&gt;50000000000,"Mid Cap","Small Cap"))</f>
        <v>Mid Cap</v>
      </c>
      <c r="P1872" t="str">
        <f>IF(Table1[[#This Row],[NET_TRDQTY]]&gt;1000000,"High Volume","Low Volume")</f>
        <v>Low Volume</v>
      </c>
    </row>
    <row r="1873" spans="1:16" x14ac:dyDescent="0.3">
      <c r="A1873" t="s">
        <v>3749</v>
      </c>
      <c r="B1873" t="s">
        <v>3750</v>
      </c>
      <c r="C1873">
        <v>58.59</v>
      </c>
      <c r="D1873">
        <v>60.5</v>
      </c>
      <c r="E1873">
        <v>57.25</v>
      </c>
      <c r="F1873">
        <v>59.53</v>
      </c>
      <c r="G1873">
        <v>60.04</v>
      </c>
      <c r="H1873">
        <v>75591</v>
      </c>
      <c r="I1873">
        <v>629</v>
      </c>
      <c r="J1873">
        <v>8128107735</v>
      </c>
      <c r="K1873">
        <v>136538010</v>
      </c>
      <c r="L1873">
        <f>(Table1[[#This Row],[CLOSE_PRICE]] - Table1[[#This Row],[PREV_CL_PR]]) / Table1[[#This Row],[PREV_CL_PR]] * 100</f>
        <v>-0.84943371085942376</v>
      </c>
      <c r="M1873">
        <f>Table1[[#This Row],[HIGH_PRICE]]-Table1[[#This Row],[LOW_PRICE]]</f>
        <v>3.25</v>
      </c>
      <c r="N1873" t="str">
        <f>IF(Table1[[#This Row],[CLOSE_PRICE]]&gt;Table1[[#This Row],[OPEN_PRICE]],"Gain","Loss")</f>
        <v>Gain</v>
      </c>
      <c r="O1873" t="str">
        <f>IF(Table1[[#This Row],[MARKET_CAP]]&gt;200000000000,"Large Cap",
IF(Table1[[#This Row],[MARKET_CAP]]&gt;50000000000,"Mid Cap","Small Cap"))</f>
        <v>Small Cap</v>
      </c>
      <c r="P1873" t="str">
        <f>IF(Table1[[#This Row],[NET_TRDQTY]]&gt;1000000,"High Volume","Low Volume")</f>
        <v>Low Volume</v>
      </c>
    </row>
    <row r="1874" spans="1:16" x14ac:dyDescent="0.3">
      <c r="A1874" t="s">
        <v>3751</v>
      </c>
      <c r="B1874" t="s">
        <v>3752</v>
      </c>
      <c r="C1874">
        <v>182</v>
      </c>
      <c r="D1874">
        <v>182.01</v>
      </c>
      <c r="E1874">
        <v>174.25</v>
      </c>
      <c r="F1874">
        <v>174.57</v>
      </c>
      <c r="G1874">
        <v>181.4</v>
      </c>
      <c r="H1874">
        <v>3137</v>
      </c>
      <c r="I1874">
        <v>119</v>
      </c>
      <c r="J1874">
        <v>1634649564</v>
      </c>
      <c r="K1874">
        <v>9363863</v>
      </c>
      <c r="L1874">
        <f>(Table1[[#This Row],[CLOSE_PRICE]] - Table1[[#This Row],[PREV_CL_PR]]) / Table1[[#This Row],[PREV_CL_PR]] * 100</f>
        <v>-3.765159867695707</v>
      </c>
      <c r="M1874">
        <f>Table1[[#This Row],[HIGH_PRICE]]-Table1[[#This Row],[LOW_PRICE]]</f>
        <v>7.7599999999999909</v>
      </c>
      <c r="N1874" t="str">
        <f>IF(Table1[[#This Row],[CLOSE_PRICE]]&gt;Table1[[#This Row],[OPEN_PRICE]],"Gain","Loss")</f>
        <v>Loss</v>
      </c>
      <c r="O1874" t="str">
        <f>IF(Table1[[#This Row],[MARKET_CAP]]&gt;200000000000,"Large Cap",
IF(Table1[[#This Row],[MARKET_CAP]]&gt;50000000000,"Mid Cap","Small Cap"))</f>
        <v>Small Cap</v>
      </c>
      <c r="P1874" t="str">
        <f>IF(Table1[[#This Row],[NET_TRDQTY]]&gt;1000000,"High Volume","Low Volume")</f>
        <v>Low Volume</v>
      </c>
    </row>
    <row r="1875" spans="1:16" x14ac:dyDescent="0.3">
      <c r="A1875" t="s">
        <v>3753</v>
      </c>
      <c r="B1875" t="s">
        <v>3754</v>
      </c>
      <c r="C1875">
        <v>300.64999999999998</v>
      </c>
      <c r="D1875">
        <v>300.64999999999998</v>
      </c>
      <c r="E1875">
        <v>281.35000000000002</v>
      </c>
      <c r="F1875">
        <v>284.95</v>
      </c>
      <c r="G1875">
        <v>301.85000000000002</v>
      </c>
      <c r="H1875">
        <v>182737</v>
      </c>
      <c r="I1875">
        <v>4910</v>
      </c>
      <c r="J1875">
        <v>17866791000</v>
      </c>
      <c r="K1875">
        <v>62701495</v>
      </c>
      <c r="L1875">
        <f>(Table1[[#This Row],[CLOSE_PRICE]] - Table1[[#This Row],[PREV_CL_PR]]) / Table1[[#This Row],[PREV_CL_PR]] * 100</f>
        <v>-5.5988073546463584</v>
      </c>
      <c r="M1875">
        <f>Table1[[#This Row],[HIGH_PRICE]]-Table1[[#This Row],[LOW_PRICE]]</f>
        <v>19.299999999999955</v>
      </c>
      <c r="N1875" t="str">
        <f>IF(Table1[[#This Row],[CLOSE_PRICE]]&gt;Table1[[#This Row],[OPEN_PRICE]],"Gain","Loss")</f>
        <v>Loss</v>
      </c>
      <c r="O1875" t="str">
        <f>IF(Table1[[#This Row],[MARKET_CAP]]&gt;200000000000,"Large Cap",
IF(Table1[[#This Row],[MARKET_CAP]]&gt;50000000000,"Mid Cap","Small Cap"))</f>
        <v>Small Cap</v>
      </c>
      <c r="P1875" t="str">
        <f>IF(Table1[[#This Row],[NET_TRDQTY]]&gt;1000000,"High Volume","Low Volume")</f>
        <v>Low Volume</v>
      </c>
    </row>
    <row r="1876" spans="1:16" x14ac:dyDescent="0.3">
      <c r="A1876" t="s">
        <v>3755</v>
      </c>
      <c r="B1876" t="s">
        <v>3756</v>
      </c>
      <c r="C1876">
        <v>236</v>
      </c>
      <c r="D1876">
        <v>236</v>
      </c>
      <c r="E1876">
        <v>223</v>
      </c>
      <c r="F1876">
        <v>224.4</v>
      </c>
      <c r="G1876">
        <v>236.55</v>
      </c>
      <c r="H1876">
        <v>77837</v>
      </c>
      <c r="I1876">
        <v>2566</v>
      </c>
      <c r="J1876">
        <v>13851796860</v>
      </c>
      <c r="K1876">
        <v>61728150</v>
      </c>
      <c r="L1876">
        <f>(Table1[[#This Row],[CLOSE_PRICE]] - Table1[[#This Row],[PREV_CL_PR]]) / Table1[[#This Row],[PREV_CL_PR]] * 100</f>
        <v>-5.1363348129359565</v>
      </c>
      <c r="M1876">
        <f>Table1[[#This Row],[HIGH_PRICE]]-Table1[[#This Row],[LOW_PRICE]]</f>
        <v>13</v>
      </c>
      <c r="N1876" t="str">
        <f>IF(Table1[[#This Row],[CLOSE_PRICE]]&gt;Table1[[#This Row],[OPEN_PRICE]],"Gain","Loss")</f>
        <v>Loss</v>
      </c>
      <c r="O1876" t="str">
        <f>IF(Table1[[#This Row],[MARKET_CAP]]&gt;200000000000,"Large Cap",
IF(Table1[[#This Row],[MARKET_CAP]]&gt;50000000000,"Mid Cap","Small Cap"))</f>
        <v>Small Cap</v>
      </c>
      <c r="P1876" t="str">
        <f>IF(Table1[[#This Row],[NET_TRDQTY]]&gt;1000000,"High Volume","Low Volume")</f>
        <v>Low Volume</v>
      </c>
    </row>
    <row r="1877" spans="1:16" x14ac:dyDescent="0.3">
      <c r="A1877" t="s">
        <v>3757</v>
      </c>
      <c r="B1877" t="s">
        <v>3758</v>
      </c>
      <c r="C1877">
        <v>420</v>
      </c>
      <c r="D1877">
        <v>420</v>
      </c>
      <c r="E1877">
        <v>393.9</v>
      </c>
      <c r="F1877">
        <v>400</v>
      </c>
      <c r="G1877">
        <v>423.05</v>
      </c>
      <c r="H1877">
        <v>420893</v>
      </c>
      <c r="I1877">
        <v>17898</v>
      </c>
      <c r="J1877">
        <v>53046943600</v>
      </c>
      <c r="K1877">
        <v>132617359</v>
      </c>
      <c r="L1877">
        <f>(Table1[[#This Row],[CLOSE_PRICE]] - Table1[[#This Row],[PREV_CL_PR]]) / Table1[[#This Row],[PREV_CL_PR]] * 100</f>
        <v>-5.4485285427254491</v>
      </c>
      <c r="M1877">
        <f>Table1[[#This Row],[HIGH_PRICE]]-Table1[[#This Row],[LOW_PRICE]]</f>
        <v>26.100000000000023</v>
      </c>
      <c r="N1877" t="str">
        <f>IF(Table1[[#This Row],[CLOSE_PRICE]]&gt;Table1[[#This Row],[OPEN_PRICE]],"Gain","Loss")</f>
        <v>Loss</v>
      </c>
      <c r="O1877" t="str">
        <f>IF(Table1[[#This Row],[MARKET_CAP]]&gt;200000000000,"Large Cap",
IF(Table1[[#This Row],[MARKET_CAP]]&gt;50000000000,"Mid Cap","Small Cap"))</f>
        <v>Mid Cap</v>
      </c>
      <c r="P1877" t="str">
        <f>IF(Table1[[#This Row],[NET_TRDQTY]]&gt;1000000,"High Volume","Low Volume")</f>
        <v>Low Volume</v>
      </c>
    </row>
    <row r="1878" spans="1:16" x14ac:dyDescent="0.3">
      <c r="A1878" t="s">
        <v>3759</v>
      </c>
      <c r="B1878" t="s">
        <v>3760</v>
      </c>
      <c r="C1878">
        <v>56.4</v>
      </c>
      <c r="D1878">
        <v>58.12</v>
      </c>
      <c r="E1878">
        <v>54.71</v>
      </c>
      <c r="F1878">
        <v>56.13</v>
      </c>
      <c r="G1878">
        <v>56.62</v>
      </c>
      <c r="H1878">
        <v>113299</v>
      </c>
      <c r="I1878">
        <v>983</v>
      </c>
      <c r="J1878">
        <v>4424441637</v>
      </c>
      <c r="K1878">
        <v>78824900</v>
      </c>
      <c r="L1878">
        <f>(Table1[[#This Row],[CLOSE_PRICE]] - Table1[[#This Row],[PREV_CL_PR]]) / Table1[[#This Row],[PREV_CL_PR]] * 100</f>
        <v>-0.86541858000705563</v>
      </c>
      <c r="M1878">
        <f>Table1[[#This Row],[HIGH_PRICE]]-Table1[[#This Row],[LOW_PRICE]]</f>
        <v>3.4099999999999966</v>
      </c>
      <c r="N1878" t="str">
        <f>IF(Table1[[#This Row],[CLOSE_PRICE]]&gt;Table1[[#This Row],[OPEN_PRICE]],"Gain","Loss")</f>
        <v>Loss</v>
      </c>
      <c r="O1878" t="str">
        <f>IF(Table1[[#This Row],[MARKET_CAP]]&gt;200000000000,"Large Cap",
IF(Table1[[#This Row],[MARKET_CAP]]&gt;50000000000,"Mid Cap","Small Cap"))</f>
        <v>Small Cap</v>
      </c>
      <c r="P1878" t="str">
        <f>IF(Table1[[#This Row],[NET_TRDQTY]]&gt;1000000,"High Volume","Low Volume")</f>
        <v>Low Volume</v>
      </c>
    </row>
    <row r="1879" spans="1:16" x14ac:dyDescent="0.3">
      <c r="A1879" t="s">
        <v>3761</v>
      </c>
      <c r="B1879" t="s">
        <v>3762</v>
      </c>
      <c r="C1879">
        <v>26.11</v>
      </c>
      <c r="D1879">
        <v>26.97</v>
      </c>
      <c r="E1879">
        <v>25.11</v>
      </c>
      <c r="F1879">
        <v>25.16</v>
      </c>
      <c r="G1879">
        <v>26.43</v>
      </c>
      <c r="H1879">
        <v>19634</v>
      </c>
      <c r="I1879">
        <v>213</v>
      </c>
      <c r="J1879">
        <v>490620276.80000001</v>
      </c>
      <c r="K1879">
        <v>19500011</v>
      </c>
      <c r="L1879">
        <f>(Table1[[#This Row],[CLOSE_PRICE]] - Table1[[#This Row],[PREV_CL_PR]]) / Table1[[#This Row],[PREV_CL_PR]] * 100</f>
        <v>-4.8051456678017388</v>
      </c>
      <c r="M1879">
        <f>Table1[[#This Row],[HIGH_PRICE]]-Table1[[#This Row],[LOW_PRICE]]</f>
        <v>1.8599999999999994</v>
      </c>
      <c r="N1879" t="str">
        <f>IF(Table1[[#This Row],[CLOSE_PRICE]]&gt;Table1[[#This Row],[OPEN_PRICE]],"Gain","Loss")</f>
        <v>Loss</v>
      </c>
      <c r="O1879" t="str">
        <f>IF(Table1[[#This Row],[MARKET_CAP]]&gt;200000000000,"Large Cap",
IF(Table1[[#This Row],[MARKET_CAP]]&gt;50000000000,"Mid Cap","Small Cap"))</f>
        <v>Small Cap</v>
      </c>
      <c r="P1879" t="str">
        <f>IF(Table1[[#This Row],[NET_TRDQTY]]&gt;1000000,"High Volume","Low Volume")</f>
        <v>Low Volume</v>
      </c>
    </row>
    <row r="1880" spans="1:16" x14ac:dyDescent="0.3">
      <c r="A1880" t="s">
        <v>3763</v>
      </c>
      <c r="B1880" t="s">
        <v>3764</v>
      </c>
      <c r="C1880">
        <v>122</v>
      </c>
      <c r="D1880">
        <v>122.05</v>
      </c>
      <c r="E1880">
        <v>112.25</v>
      </c>
      <c r="F1880">
        <v>114.79</v>
      </c>
      <c r="G1880">
        <v>123.09</v>
      </c>
      <c r="H1880">
        <v>987014</v>
      </c>
      <c r="I1880">
        <v>8923</v>
      </c>
      <c r="J1880">
        <v>33874108295</v>
      </c>
      <c r="K1880">
        <v>295096335</v>
      </c>
      <c r="L1880">
        <f>(Table1[[#This Row],[CLOSE_PRICE]] - Table1[[#This Row],[PREV_CL_PR]]) / Table1[[#This Row],[PREV_CL_PR]] * 100</f>
        <v>-6.7430335526850254</v>
      </c>
      <c r="M1880">
        <f>Table1[[#This Row],[HIGH_PRICE]]-Table1[[#This Row],[LOW_PRICE]]</f>
        <v>9.7999999999999972</v>
      </c>
      <c r="N1880" t="str">
        <f>IF(Table1[[#This Row],[CLOSE_PRICE]]&gt;Table1[[#This Row],[OPEN_PRICE]],"Gain","Loss")</f>
        <v>Loss</v>
      </c>
      <c r="O1880" t="str">
        <f>IF(Table1[[#This Row],[MARKET_CAP]]&gt;200000000000,"Large Cap",
IF(Table1[[#This Row],[MARKET_CAP]]&gt;50000000000,"Mid Cap","Small Cap"))</f>
        <v>Small Cap</v>
      </c>
      <c r="P1880" t="str">
        <f>IF(Table1[[#This Row],[NET_TRDQTY]]&gt;1000000,"High Volume","Low Volume")</f>
        <v>Low Volume</v>
      </c>
    </row>
    <row r="1881" spans="1:16" x14ac:dyDescent="0.3">
      <c r="A1881" t="s">
        <v>3765</v>
      </c>
      <c r="B1881" t="s">
        <v>3766</v>
      </c>
      <c r="C1881">
        <v>275.85000000000002</v>
      </c>
      <c r="D1881">
        <v>284.5</v>
      </c>
      <c r="E1881">
        <v>268.14999999999998</v>
      </c>
      <c r="F1881">
        <v>269.39999999999998</v>
      </c>
      <c r="G1881">
        <v>285.14999999999998</v>
      </c>
      <c r="H1881">
        <v>3166655</v>
      </c>
      <c r="I1881">
        <v>45937</v>
      </c>
      <c r="J1881">
        <v>80864675680</v>
      </c>
      <c r="K1881">
        <v>300165834</v>
      </c>
      <c r="L1881">
        <f>(Table1[[#This Row],[CLOSE_PRICE]] - Table1[[#This Row],[PREV_CL_PR]]) / Table1[[#This Row],[PREV_CL_PR]] * 100</f>
        <v>-5.5234087322461862</v>
      </c>
      <c r="M1881">
        <f>Table1[[#This Row],[HIGH_PRICE]]-Table1[[#This Row],[LOW_PRICE]]</f>
        <v>16.350000000000023</v>
      </c>
      <c r="N1881" t="str">
        <f>IF(Table1[[#This Row],[CLOSE_PRICE]]&gt;Table1[[#This Row],[OPEN_PRICE]],"Gain","Loss")</f>
        <v>Loss</v>
      </c>
      <c r="O1881" t="str">
        <f>IF(Table1[[#This Row],[MARKET_CAP]]&gt;200000000000,"Large Cap",
IF(Table1[[#This Row],[MARKET_CAP]]&gt;50000000000,"Mid Cap","Small Cap"))</f>
        <v>Mid Cap</v>
      </c>
      <c r="P1881" t="str">
        <f>IF(Table1[[#This Row],[NET_TRDQTY]]&gt;1000000,"High Volume","Low Volume")</f>
        <v>High Volume</v>
      </c>
    </row>
    <row r="1882" spans="1:16" x14ac:dyDescent="0.3">
      <c r="A1882" t="s">
        <v>3767</v>
      </c>
      <c r="B1882" t="s">
        <v>3768</v>
      </c>
      <c r="C1882">
        <v>185</v>
      </c>
      <c r="D1882">
        <v>185</v>
      </c>
      <c r="E1882">
        <v>174.91</v>
      </c>
      <c r="F1882">
        <v>177.88</v>
      </c>
      <c r="G1882">
        <v>184.47</v>
      </c>
      <c r="H1882">
        <v>233777</v>
      </c>
      <c r="I1882">
        <v>4281</v>
      </c>
      <c r="J1882">
        <v>9464333264</v>
      </c>
      <c r="K1882">
        <v>53206281</v>
      </c>
      <c r="L1882">
        <f>(Table1[[#This Row],[CLOSE_PRICE]] - Table1[[#This Row],[PREV_CL_PR]]) / Table1[[#This Row],[PREV_CL_PR]] * 100</f>
        <v>-3.5723965956524113</v>
      </c>
      <c r="M1882">
        <f>Table1[[#This Row],[HIGH_PRICE]]-Table1[[#This Row],[LOW_PRICE]]</f>
        <v>10.090000000000003</v>
      </c>
      <c r="N1882" t="str">
        <f>IF(Table1[[#This Row],[CLOSE_PRICE]]&gt;Table1[[#This Row],[OPEN_PRICE]],"Gain","Loss")</f>
        <v>Loss</v>
      </c>
      <c r="O1882" t="str">
        <f>IF(Table1[[#This Row],[MARKET_CAP]]&gt;200000000000,"Large Cap",
IF(Table1[[#This Row],[MARKET_CAP]]&gt;50000000000,"Mid Cap","Small Cap"))</f>
        <v>Small Cap</v>
      </c>
      <c r="P1882" t="str">
        <f>IF(Table1[[#This Row],[NET_TRDQTY]]&gt;1000000,"High Volume","Low Volume")</f>
        <v>Low Volume</v>
      </c>
    </row>
    <row r="1883" spans="1:16" x14ac:dyDescent="0.3">
      <c r="A1883" t="s">
        <v>3769</v>
      </c>
      <c r="B1883" t="s">
        <v>3770</v>
      </c>
      <c r="C1883">
        <v>6729.5</v>
      </c>
      <c r="D1883">
        <v>6730</v>
      </c>
      <c r="E1883">
        <v>6430</v>
      </c>
      <c r="F1883">
        <v>6453.5</v>
      </c>
      <c r="G1883">
        <v>6729.5</v>
      </c>
      <c r="H1883">
        <v>2807</v>
      </c>
      <c r="I1883">
        <v>737</v>
      </c>
      <c r="J1883">
        <v>16559681000</v>
      </c>
      <c r="K1883">
        <v>2566000</v>
      </c>
      <c r="L1883">
        <f>(Table1[[#This Row],[CLOSE_PRICE]] - Table1[[#This Row],[PREV_CL_PR]]) / Table1[[#This Row],[PREV_CL_PR]] * 100</f>
        <v>-4.1013448250241478</v>
      </c>
      <c r="M1883">
        <f>Table1[[#This Row],[HIGH_PRICE]]-Table1[[#This Row],[LOW_PRICE]]</f>
        <v>300</v>
      </c>
      <c r="N1883" t="str">
        <f>IF(Table1[[#This Row],[CLOSE_PRICE]]&gt;Table1[[#This Row],[OPEN_PRICE]],"Gain","Loss")</f>
        <v>Loss</v>
      </c>
      <c r="O1883" t="str">
        <f>IF(Table1[[#This Row],[MARKET_CAP]]&gt;200000000000,"Large Cap",
IF(Table1[[#This Row],[MARKET_CAP]]&gt;50000000000,"Mid Cap","Small Cap"))</f>
        <v>Small Cap</v>
      </c>
      <c r="P1883" t="str">
        <f>IF(Table1[[#This Row],[NET_TRDQTY]]&gt;1000000,"High Volume","Low Volume")</f>
        <v>Low Volume</v>
      </c>
    </row>
    <row r="1884" spans="1:16" x14ac:dyDescent="0.3">
      <c r="A1884" t="s">
        <v>3771</v>
      </c>
      <c r="B1884" t="s">
        <v>3772</v>
      </c>
      <c r="C1884">
        <v>312</v>
      </c>
      <c r="D1884">
        <v>314.45</v>
      </c>
      <c r="E1884">
        <v>309.89999999999998</v>
      </c>
      <c r="F1884">
        <v>312.14999999999998</v>
      </c>
      <c r="G1884">
        <v>317.10000000000002</v>
      </c>
      <c r="H1884">
        <v>1680349</v>
      </c>
      <c r="I1884">
        <v>54346</v>
      </c>
      <c r="J1884">
        <v>1330000000000</v>
      </c>
      <c r="K1884">
        <v>4244869037</v>
      </c>
      <c r="L1884">
        <f>(Table1[[#This Row],[CLOSE_PRICE]] - Table1[[#This Row],[PREV_CL_PR]]) / Table1[[#This Row],[PREV_CL_PR]] * 100</f>
        <v>-1.5610217596972706</v>
      </c>
      <c r="M1884">
        <f>Table1[[#This Row],[HIGH_PRICE]]-Table1[[#This Row],[LOW_PRICE]]</f>
        <v>4.5500000000000114</v>
      </c>
      <c r="N1884" t="str">
        <f>IF(Table1[[#This Row],[CLOSE_PRICE]]&gt;Table1[[#This Row],[OPEN_PRICE]],"Gain","Loss")</f>
        <v>Gain</v>
      </c>
      <c r="O1884" t="str">
        <f>IF(Table1[[#This Row],[MARKET_CAP]]&gt;200000000000,"Large Cap",
IF(Table1[[#This Row],[MARKET_CAP]]&gt;50000000000,"Mid Cap","Small Cap"))</f>
        <v>Large Cap</v>
      </c>
      <c r="P1884" t="str">
        <f>IF(Table1[[#This Row],[NET_TRDQTY]]&gt;1000000,"High Volume","Low Volume")</f>
        <v>High Volume</v>
      </c>
    </row>
    <row r="1885" spans="1:16" x14ac:dyDescent="0.3">
      <c r="A1885" t="s">
        <v>3773</v>
      </c>
      <c r="B1885" t="s">
        <v>3774</v>
      </c>
      <c r="C1885">
        <v>618.9</v>
      </c>
      <c r="D1885">
        <v>618.9</v>
      </c>
      <c r="E1885">
        <v>595.25</v>
      </c>
      <c r="F1885">
        <v>608.85</v>
      </c>
      <c r="G1885">
        <v>633.29999999999995</v>
      </c>
      <c r="H1885">
        <v>969036</v>
      </c>
      <c r="I1885">
        <v>48290</v>
      </c>
      <c r="J1885">
        <v>155000000000</v>
      </c>
      <c r="K1885">
        <v>254756278</v>
      </c>
      <c r="L1885">
        <f>(Table1[[#This Row],[CLOSE_PRICE]] - Table1[[#This Row],[PREV_CL_PR]]) / Table1[[#This Row],[PREV_CL_PR]] * 100</f>
        <v>-3.8607295120795726</v>
      </c>
      <c r="M1885">
        <f>Table1[[#This Row],[HIGH_PRICE]]-Table1[[#This Row],[LOW_PRICE]]</f>
        <v>23.649999999999977</v>
      </c>
      <c r="N1885" t="str">
        <f>IF(Table1[[#This Row],[CLOSE_PRICE]]&gt;Table1[[#This Row],[OPEN_PRICE]],"Gain","Loss")</f>
        <v>Loss</v>
      </c>
      <c r="O1885" t="str">
        <f>IF(Table1[[#This Row],[MARKET_CAP]]&gt;200000000000,"Large Cap",
IF(Table1[[#This Row],[MARKET_CAP]]&gt;50000000000,"Mid Cap","Small Cap"))</f>
        <v>Mid Cap</v>
      </c>
      <c r="P1885" t="str">
        <f>IF(Table1[[#This Row],[NET_TRDQTY]]&gt;1000000,"High Volume","Low Volume")</f>
        <v>Low Volume</v>
      </c>
    </row>
    <row r="1886" spans="1:16" x14ac:dyDescent="0.3">
      <c r="A1886" t="s">
        <v>3775</v>
      </c>
      <c r="B1886" t="s">
        <v>3776</v>
      </c>
      <c r="C1886">
        <v>1410.2</v>
      </c>
      <c r="D1886">
        <v>1413.7</v>
      </c>
      <c r="E1886">
        <v>1361.6</v>
      </c>
      <c r="F1886">
        <v>1383</v>
      </c>
      <c r="G1886">
        <v>1416.8</v>
      </c>
      <c r="H1886">
        <v>649938</v>
      </c>
      <c r="I1886">
        <v>59862</v>
      </c>
      <c r="J1886">
        <v>394000000000</v>
      </c>
      <c r="K1886">
        <v>285000000</v>
      </c>
      <c r="L1886">
        <f>(Table1[[#This Row],[CLOSE_PRICE]] - Table1[[#This Row],[PREV_CL_PR]]) / Table1[[#This Row],[PREV_CL_PR]] * 100</f>
        <v>-2.385657820440426</v>
      </c>
      <c r="M1886">
        <f>Table1[[#This Row],[HIGH_PRICE]]-Table1[[#This Row],[LOW_PRICE]]</f>
        <v>52.100000000000136</v>
      </c>
      <c r="N1886" t="str">
        <f>IF(Table1[[#This Row],[CLOSE_PRICE]]&gt;Table1[[#This Row],[OPEN_PRICE]],"Gain","Loss")</f>
        <v>Loss</v>
      </c>
      <c r="O1886" t="str">
        <f>IF(Table1[[#This Row],[MARKET_CAP]]&gt;200000000000,"Large Cap",
IF(Table1[[#This Row],[MARKET_CAP]]&gt;50000000000,"Mid Cap","Small Cap"))</f>
        <v>Large Cap</v>
      </c>
      <c r="P1886" t="str">
        <f>IF(Table1[[#This Row],[NET_TRDQTY]]&gt;1000000,"High Volume","Low Volume")</f>
        <v>Low Volume</v>
      </c>
    </row>
    <row r="1887" spans="1:16" x14ac:dyDescent="0.3">
      <c r="A1887" t="s">
        <v>3777</v>
      </c>
      <c r="B1887" t="s">
        <v>3778</v>
      </c>
      <c r="C1887">
        <v>4190</v>
      </c>
      <c r="D1887">
        <v>4190</v>
      </c>
      <c r="E1887">
        <v>4111</v>
      </c>
      <c r="F1887">
        <v>4130.6000000000004</v>
      </c>
      <c r="G1887">
        <v>4237.7</v>
      </c>
      <c r="H1887">
        <v>299035</v>
      </c>
      <c r="I1887">
        <v>30265</v>
      </c>
      <c r="J1887">
        <v>257000000000</v>
      </c>
      <c r="K1887">
        <v>62295229</v>
      </c>
      <c r="L1887">
        <f>(Table1[[#This Row],[CLOSE_PRICE]] - Table1[[#This Row],[PREV_CL_PR]]) / Table1[[#This Row],[PREV_CL_PR]] * 100</f>
        <v>-2.527314345045649</v>
      </c>
      <c r="M1887">
        <f>Table1[[#This Row],[HIGH_PRICE]]-Table1[[#This Row],[LOW_PRICE]]</f>
        <v>79</v>
      </c>
      <c r="N1887" t="str">
        <f>IF(Table1[[#This Row],[CLOSE_PRICE]]&gt;Table1[[#This Row],[OPEN_PRICE]],"Gain","Loss")</f>
        <v>Loss</v>
      </c>
      <c r="O1887" t="str">
        <f>IF(Table1[[#This Row],[MARKET_CAP]]&gt;200000000000,"Large Cap",
IF(Table1[[#This Row],[MARKET_CAP]]&gt;50000000000,"Mid Cap","Small Cap"))</f>
        <v>Large Cap</v>
      </c>
      <c r="P1887" t="str">
        <f>IF(Table1[[#This Row],[NET_TRDQTY]]&gt;1000000,"High Volume","Low Volume")</f>
        <v>Low Volume</v>
      </c>
    </row>
    <row r="1888" spans="1:16" x14ac:dyDescent="0.3">
      <c r="A1888" t="s">
        <v>3779</v>
      </c>
      <c r="B1888" t="s">
        <v>3780</v>
      </c>
      <c r="C1888">
        <v>598</v>
      </c>
      <c r="D1888">
        <v>599.6</v>
      </c>
      <c r="E1888">
        <v>566.79999999999995</v>
      </c>
      <c r="F1888">
        <v>570.9</v>
      </c>
      <c r="G1888">
        <v>602.6</v>
      </c>
      <c r="H1888">
        <v>671085</v>
      </c>
      <c r="I1888">
        <v>31091</v>
      </c>
      <c r="J1888">
        <v>289000000000</v>
      </c>
      <c r="K1888">
        <v>505952960</v>
      </c>
      <c r="L1888">
        <f>(Table1[[#This Row],[CLOSE_PRICE]] - Table1[[#This Row],[PREV_CL_PR]]) / Table1[[#This Row],[PREV_CL_PR]] * 100</f>
        <v>-5.2605376700962569</v>
      </c>
      <c r="M1888">
        <f>Table1[[#This Row],[HIGH_PRICE]]-Table1[[#This Row],[LOW_PRICE]]</f>
        <v>32.800000000000068</v>
      </c>
      <c r="N1888" t="str">
        <f>IF(Table1[[#This Row],[CLOSE_PRICE]]&gt;Table1[[#This Row],[OPEN_PRICE]],"Gain","Loss")</f>
        <v>Loss</v>
      </c>
      <c r="O1888" t="str">
        <f>IF(Table1[[#This Row],[MARKET_CAP]]&gt;200000000000,"Large Cap",
IF(Table1[[#This Row],[MARKET_CAP]]&gt;50000000000,"Mid Cap","Small Cap"))</f>
        <v>Large Cap</v>
      </c>
      <c r="P1888" t="str">
        <f>IF(Table1[[#This Row],[NET_TRDQTY]]&gt;1000000,"High Volume","Low Volume")</f>
        <v>Low Volume</v>
      </c>
    </row>
    <row r="1889" spans="1:16" x14ac:dyDescent="0.3">
      <c r="A1889" t="s">
        <v>3781</v>
      </c>
      <c r="B1889" t="s">
        <v>3782</v>
      </c>
      <c r="C1889">
        <v>530.65</v>
      </c>
      <c r="D1889">
        <v>539.45000000000005</v>
      </c>
      <c r="E1889">
        <v>517</v>
      </c>
      <c r="F1889">
        <v>519</v>
      </c>
      <c r="G1889">
        <v>539.65</v>
      </c>
      <c r="H1889">
        <v>1257876</v>
      </c>
      <c r="I1889">
        <v>38922</v>
      </c>
      <c r="J1889">
        <v>211000000000</v>
      </c>
      <c r="K1889">
        <v>405743604</v>
      </c>
      <c r="L1889">
        <f>(Table1[[#This Row],[CLOSE_PRICE]] - Table1[[#This Row],[PREV_CL_PR]]) / Table1[[#This Row],[PREV_CL_PR]] * 100</f>
        <v>-3.82655424812378</v>
      </c>
      <c r="M1889">
        <f>Table1[[#This Row],[HIGH_PRICE]]-Table1[[#This Row],[LOW_PRICE]]</f>
        <v>22.450000000000045</v>
      </c>
      <c r="N1889" t="str">
        <f>IF(Table1[[#This Row],[CLOSE_PRICE]]&gt;Table1[[#This Row],[OPEN_PRICE]],"Gain","Loss")</f>
        <v>Loss</v>
      </c>
      <c r="O1889" t="str">
        <f>IF(Table1[[#This Row],[MARKET_CAP]]&gt;200000000000,"Large Cap",
IF(Table1[[#This Row],[MARKET_CAP]]&gt;50000000000,"Mid Cap","Small Cap"))</f>
        <v>Large Cap</v>
      </c>
      <c r="P1889" t="str">
        <f>IF(Table1[[#This Row],[NET_TRDQTY]]&gt;1000000,"High Volume","Low Volume")</f>
        <v>High Volume</v>
      </c>
    </row>
    <row r="1890" spans="1:16" x14ac:dyDescent="0.3">
      <c r="A1890" t="s">
        <v>3783</v>
      </c>
      <c r="B1890" t="s">
        <v>3784</v>
      </c>
      <c r="C1890">
        <v>1111</v>
      </c>
      <c r="D1890">
        <v>1141.9000000000001</v>
      </c>
      <c r="E1890">
        <v>1103</v>
      </c>
      <c r="F1890">
        <v>1118.5</v>
      </c>
      <c r="G1890">
        <v>1128.5</v>
      </c>
      <c r="H1890">
        <v>83006</v>
      </c>
      <c r="I1890">
        <v>4893</v>
      </c>
      <c r="J1890">
        <v>26164013518</v>
      </c>
      <c r="K1890">
        <v>23392055</v>
      </c>
      <c r="L1890">
        <f>(Table1[[#This Row],[CLOSE_PRICE]] - Table1[[#This Row],[PREV_CL_PR]]) / Table1[[#This Row],[PREV_CL_PR]] * 100</f>
        <v>-0.88613203367301718</v>
      </c>
      <c r="M1890">
        <f>Table1[[#This Row],[HIGH_PRICE]]-Table1[[#This Row],[LOW_PRICE]]</f>
        <v>38.900000000000091</v>
      </c>
      <c r="N1890" t="str">
        <f>IF(Table1[[#This Row],[CLOSE_PRICE]]&gt;Table1[[#This Row],[OPEN_PRICE]],"Gain","Loss")</f>
        <v>Gain</v>
      </c>
      <c r="O1890" t="str">
        <f>IF(Table1[[#This Row],[MARKET_CAP]]&gt;200000000000,"Large Cap",
IF(Table1[[#This Row],[MARKET_CAP]]&gt;50000000000,"Mid Cap","Small Cap"))</f>
        <v>Small Cap</v>
      </c>
      <c r="P1890" t="str">
        <f>IF(Table1[[#This Row],[NET_TRDQTY]]&gt;1000000,"High Volume","Low Volume")</f>
        <v>Low Volume</v>
      </c>
    </row>
    <row r="1891" spans="1:16" x14ac:dyDescent="0.3">
      <c r="A1891" t="s">
        <v>3785</v>
      </c>
      <c r="B1891" t="s">
        <v>3786</v>
      </c>
      <c r="C1891">
        <v>1060</v>
      </c>
      <c r="D1891">
        <v>1064</v>
      </c>
      <c r="E1891">
        <v>1004.2</v>
      </c>
      <c r="F1891">
        <v>1018</v>
      </c>
      <c r="G1891">
        <v>1068.0999999999999</v>
      </c>
      <c r="H1891">
        <v>96391</v>
      </c>
      <c r="I1891">
        <v>12038</v>
      </c>
      <c r="J1891">
        <v>111000000000</v>
      </c>
      <c r="K1891">
        <v>108587787</v>
      </c>
      <c r="L1891">
        <f>(Table1[[#This Row],[CLOSE_PRICE]] - Table1[[#This Row],[PREV_CL_PR]]) / Table1[[#This Row],[PREV_CL_PR]] * 100</f>
        <v>-4.6905720438161138</v>
      </c>
      <c r="M1891">
        <f>Table1[[#This Row],[HIGH_PRICE]]-Table1[[#This Row],[LOW_PRICE]]</f>
        <v>59.799999999999955</v>
      </c>
      <c r="N1891" t="str">
        <f>IF(Table1[[#This Row],[CLOSE_PRICE]]&gt;Table1[[#This Row],[OPEN_PRICE]],"Gain","Loss")</f>
        <v>Loss</v>
      </c>
      <c r="O1891" t="str">
        <f>IF(Table1[[#This Row],[MARKET_CAP]]&gt;200000000000,"Large Cap",
IF(Table1[[#This Row],[MARKET_CAP]]&gt;50000000000,"Mid Cap","Small Cap"))</f>
        <v>Mid Cap</v>
      </c>
      <c r="P1891" t="str">
        <f>IF(Table1[[#This Row],[NET_TRDQTY]]&gt;1000000,"High Volume","Low Volume")</f>
        <v>Low Volume</v>
      </c>
    </row>
    <row r="1892" spans="1:16" x14ac:dyDescent="0.3">
      <c r="A1892" t="s">
        <v>3787</v>
      </c>
      <c r="B1892" t="s">
        <v>3788</v>
      </c>
      <c r="C1892">
        <v>129.01</v>
      </c>
      <c r="D1892">
        <v>129.01</v>
      </c>
      <c r="E1892">
        <v>120.01</v>
      </c>
      <c r="F1892">
        <v>121.11</v>
      </c>
      <c r="G1892">
        <v>129.06</v>
      </c>
      <c r="H1892">
        <v>290139</v>
      </c>
      <c r="I1892">
        <v>4686</v>
      </c>
      <c r="J1892">
        <v>8081745388</v>
      </c>
      <c r="K1892">
        <v>66730620</v>
      </c>
      <c r="L1892">
        <f>(Table1[[#This Row],[CLOSE_PRICE]] - Table1[[#This Row],[PREV_CL_PR]]) / Table1[[#This Row],[PREV_CL_PR]] * 100</f>
        <v>-6.1599256159925639</v>
      </c>
      <c r="M1892">
        <f>Table1[[#This Row],[HIGH_PRICE]]-Table1[[#This Row],[LOW_PRICE]]</f>
        <v>8.9999999999999858</v>
      </c>
      <c r="N1892" t="str">
        <f>IF(Table1[[#This Row],[CLOSE_PRICE]]&gt;Table1[[#This Row],[OPEN_PRICE]],"Gain","Loss")</f>
        <v>Loss</v>
      </c>
      <c r="O1892" t="str">
        <f>IF(Table1[[#This Row],[MARKET_CAP]]&gt;200000000000,"Large Cap",
IF(Table1[[#This Row],[MARKET_CAP]]&gt;50000000000,"Mid Cap","Small Cap"))</f>
        <v>Small Cap</v>
      </c>
      <c r="P1892" t="str">
        <f>IF(Table1[[#This Row],[NET_TRDQTY]]&gt;1000000,"High Volume","Low Volume")</f>
        <v>Low Volume</v>
      </c>
    </row>
    <row r="1893" spans="1:16" x14ac:dyDescent="0.3">
      <c r="A1893" t="s">
        <v>3789</v>
      </c>
      <c r="B1893" t="s">
        <v>3790</v>
      </c>
      <c r="C1893">
        <v>377</v>
      </c>
      <c r="D1893">
        <v>377</v>
      </c>
      <c r="E1893">
        <v>310</v>
      </c>
      <c r="F1893">
        <v>331.05</v>
      </c>
      <c r="G1893">
        <v>358.65</v>
      </c>
      <c r="H1893">
        <v>25113</v>
      </c>
      <c r="I1893">
        <v>1351</v>
      </c>
      <c r="J1893">
        <v>15734164594</v>
      </c>
      <c r="K1893">
        <v>47528061</v>
      </c>
      <c r="L1893">
        <f>(Table1[[#This Row],[CLOSE_PRICE]] - Table1[[#This Row],[PREV_CL_PR]]) / Table1[[#This Row],[PREV_CL_PR]] * 100</f>
        <v>-7.6955248849853524</v>
      </c>
      <c r="M1893">
        <f>Table1[[#This Row],[HIGH_PRICE]]-Table1[[#This Row],[LOW_PRICE]]</f>
        <v>67</v>
      </c>
      <c r="N1893" t="str">
        <f>IF(Table1[[#This Row],[CLOSE_PRICE]]&gt;Table1[[#This Row],[OPEN_PRICE]],"Gain","Loss")</f>
        <v>Loss</v>
      </c>
      <c r="O1893" t="str">
        <f>IF(Table1[[#This Row],[MARKET_CAP]]&gt;200000000000,"Large Cap",
IF(Table1[[#This Row],[MARKET_CAP]]&gt;50000000000,"Mid Cap","Small Cap"))</f>
        <v>Small Cap</v>
      </c>
      <c r="P1893" t="str">
        <f>IF(Table1[[#This Row],[NET_TRDQTY]]&gt;1000000,"High Volume","Low Volume")</f>
        <v>Low Volume</v>
      </c>
    </row>
    <row r="1894" spans="1:16" x14ac:dyDescent="0.3">
      <c r="A1894" t="s">
        <v>3791</v>
      </c>
      <c r="B1894" t="s">
        <v>3792</v>
      </c>
      <c r="C1894">
        <v>936</v>
      </c>
      <c r="D1894">
        <v>949.6</v>
      </c>
      <c r="E1894">
        <v>881.2</v>
      </c>
      <c r="F1894">
        <v>885.6</v>
      </c>
      <c r="G1894">
        <v>944.6</v>
      </c>
      <c r="H1894">
        <v>38899</v>
      </c>
      <c r="I1894">
        <v>4561</v>
      </c>
      <c r="J1894">
        <v>67949419687</v>
      </c>
      <c r="K1894">
        <v>76726987</v>
      </c>
      <c r="L1894">
        <f>(Table1[[#This Row],[CLOSE_PRICE]] - Table1[[#This Row],[PREV_CL_PR]]) / Table1[[#This Row],[PREV_CL_PR]] * 100</f>
        <v>-6.2460300656362477</v>
      </c>
      <c r="M1894">
        <f>Table1[[#This Row],[HIGH_PRICE]]-Table1[[#This Row],[LOW_PRICE]]</f>
        <v>68.399999999999977</v>
      </c>
      <c r="N1894" t="str">
        <f>IF(Table1[[#This Row],[CLOSE_PRICE]]&gt;Table1[[#This Row],[OPEN_PRICE]],"Gain","Loss")</f>
        <v>Loss</v>
      </c>
      <c r="O1894" t="str">
        <f>IF(Table1[[#This Row],[MARKET_CAP]]&gt;200000000000,"Large Cap",
IF(Table1[[#This Row],[MARKET_CAP]]&gt;50000000000,"Mid Cap","Small Cap"))</f>
        <v>Mid Cap</v>
      </c>
      <c r="P1894" t="str">
        <f>IF(Table1[[#This Row],[NET_TRDQTY]]&gt;1000000,"High Volume","Low Volume")</f>
        <v>Low Volume</v>
      </c>
    </row>
    <row r="1895" spans="1:16" x14ac:dyDescent="0.3">
      <c r="A1895" t="s">
        <v>3793</v>
      </c>
      <c r="B1895" t="s">
        <v>3794</v>
      </c>
      <c r="C1895">
        <v>493.6</v>
      </c>
      <c r="D1895">
        <v>494.65</v>
      </c>
      <c r="E1895">
        <v>465.25</v>
      </c>
      <c r="F1895">
        <v>472.55</v>
      </c>
      <c r="G1895">
        <v>498.15</v>
      </c>
      <c r="H1895">
        <v>35566</v>
      </c>
      <c r="I1895">
        <v>1426</v>
      </c>
      <c r="J1895">
        <v>18154893725</v>
      </c>
      <c r="K1895">
        <v>38418990</v>
      </c>
      <c r="L1895">
        <f>(Table1[[#This Row],[CLOSE_PRICE]] - Table1[[#This Row],[PREV_CL_PR]]) / Table1[[#This Row],[PREV_CL_PR]] * 100</f>
        <v>-5.1390143531064876</v>
      </c>
      <c r="M1895">
        <f>Table1[[#This Row],[HIGH_PRICE]]-Table1[[#This Row],[LOW_PRICE]]</f>
        <v>29.399999999999977</v>
      </c>
      <c r="N1895" t="str">
        <f>IF(Table1[[#This Row],[CLOSE_PRICE]]&gt;Table1[[#This Row],[OPEN_PRICE]],"Gain","Loss")</f>
        <v>Loss</v>
      </c>
      <c r="O1895" t="str">
        <f>IF(Table1[[#This Row],[MARKET_CAP]]&gt;200000000000,"Large Cap",
IF(Table1[[#This Row],[MARKET_CAP]]&gt;50000000000,"Mid Cap","Small Cap"))</f>
        <v>Small Cap</v>
      </c>
      <c r="P1895" t="str">
        <f>IF(Table1[[#This Row],[NET_TRDQTY]]&gt;1000000,"High Volume","Low Volume")</f>
        <v>Low Volume</v>
      </c>
    </row>
    <row r="1896" spans="1:16" x14ac:dyDescent="0.3">
      <c r="A1896" t="s">
        <v>3795</v>
      </c>
      <c r="B1896" t="s">
        <v>3796</v>
      </c>
      <c r="C1896">
        <v>2300</v>
      </c>
      <c r="D1896">
        <v>2302.6</v>
      </c>
      <c r="E1896">
        <v>2200</v>
      </c>
      <c r="F1896">
        <v>2214.1</v>
      </c>
      <c r="G1896">
        <v>2334.6999999999998</v>
      </c>
      <c r="H1896">
        <v>4545</v>
      </c>
      <c r="I1896">
        <v>1014</v>
      </c>
      <c r="J1896">
        <v>20148310000</v>
      </c>
      <c r="K1896">
        <v>9100000</v>
      </c>
      <c r="L1896">
        <f>(Table1[[#This Row],[CLOSE_PRICE]] - Table1[[#This Row],[PREV_CL_PR]]) / Table1[[#This Row],[PREV_CL_PR]] * 100</f>
        <v>-5.1655458945474759</v>
      </c>
      <c r="M1896">
        <f>Table1[[#This Row],[HIGH_PRICE]]-Table1[[#This Row],[LOW_PRICE]]</f>
        <v>102.59999999999991</v>
      </c>
      <c r="N1896" t="str">
        <f>IF(Table1[[#This Row],[CLOSE_PRICE]]&gt;Table1[[#This Row],[OPEN_PRICE]],"Gain","Loss")</f>
        <v>Loss</v>
      </c>
      <c r="O1896" t="str">
        <f>IF(Table1[[#This Row],[MARKET_CAP]]&gt;200000000000,"Large Cap",
IF(Table1[[#This Row],[MARKET_CAP]]&gt;50000000000,"Mid Cap","Small Cap"))</f>
        <v>Small Cap</v>
      </c>
      <c r="P1896" t="str">
        <f>IF(Table1[[#This Row],[NET_TRDQTY]]&gt;1000000,"High Volume","Low Volume")</f>
        <v>Low Volume</v>
      </c>
    </row>
    <row r="1897" spans="1:16" x14ac:dyDescent="0.3">
      <c r="A1897" t="s">
        <v>3797</v>
      </c>
      <c r="B1897" t="s">
        <v>3798</v>
      </c>
      <c r="C1897">
        <v>840</v>
      </c>
      <c r="D1897">
        <v>853.5</v>
      </c>
      <c r="E1897">
        <v>803.65</v>
      </c>
      <c r="F1897">
        <v>819.7</v>
      </c>
      <c r="G1897">
        <v>863.25</v>
      </c>
      <c r="H1897">
        <v>781166</v>
      </c>
      <c r="I1897">
        <v>37007</v>
      </c>
      <c r="J1897">
        <v>128000000000</v>
      </c>
      <c r="K1897">
        <v>156214830</v>
      </c>
      <c r="L1897">
        <f>(Table1[[#This Row],[CLOSE_PRICE]] - Table1[[#This Row],[PREV_CL_PR]]) / Table1[[#This Row],[PREV_CL_PR]] * 100</f>
        <v>-5.0448885027512258</v>
      </c>
      <c r="M1897">
        <f>Table1[[#This Row],[HIGH_PRICE]]-Table1[[#This Row],[LOW_PRICE]]</f>
        <v>49.850000000000023</v>
      </c>
      <c r="N1897" t="str">
        <f>IF(Table1[[#This Row],[CLOSE_PRICE]]&gt;Table1[[#This Row],[OPEN_PRICE]],"Gain","Loss")</f>
        <v>Loss</v>
      </c>
      <c r="O1897" t="str">
        <f>IF(Table1[[#This Row],[MARKET_CAP]]&gt;200000000000,"Large Cap",
IF(Table1[[#This Row],[MARKET_CAP]]&gt;50000000000,"Mid Cap","Small Cap"))</f>
        <v>Mid Cap</v>
      </c>
      <c r="P1897" t="str">
        <f>IF(Table1[[#This Row],[NET_TRDQTY]]&gt;1000000,"High Volume","Low Volume")</f>
        <v>Low Volume</v>
      </c>
    </row>
    <row r="1898" spans="1:16" x14ac:dyDescent="0.3">
      <c r="A1898" t="s">
        <v>3799</v>
      </c>
      <c r="B1898" t="s">
        <v>3800</v>
      </c>
      <c r="C1898">
        <v>283.8</v>
      </c>
      <c r="D1898">
        <v>290</v>
      </c>
      <c r="E1898">
        <v>247</v>
      </c>
      <c r="F1898">
        <v>247.7</v>
      </c>
      <c r="G1898">
        <v>268.35000000000002</v>
      </c>
      <c r="H1898">
        <v>2810</v>
      </c>
      <c r="I1898">
        <v>315</v>
      </c>
      <c r="J1898">
        <v>2227603007</v>
      </c>
      <c r="K1898">
        <v>8993149</v>
      </c>
      <c r="L1898">
        <f>(Table1[[#This Row],[CLOSE_PRICE]] - Table1[[#This Row],[PREV_CL_PR]]) / Table1[[#This Row],[PREV_CL_PR]] * 100</f>
        <v>-7.6951742127818274</v>
      </c>
      <c r="M1898">
        <f>Table1[[#This Row],[HIGH_PRICE]]-Table1[[#This Row],[LOW_PRICE]]</f>
        <v>43</v>
      </c>
      <c r="N1898" t="str">
        <f>IF(Table1[[#This Row],[CLOSE_PRICE]]&gt;Table1[[#This Row],[OPEN_PRICE]],"Gain","Loss")</f>
        <v>Loss</v>
      </c>
      <c r="O1898" t="str">
        <f>IF(Table1[[#This Row],[MARKET_CAP]]&gt;200000000000,"Large Cap",
IF(Table1[[#This Row],[MARKET_CAP]]&gt;50000000000,"Mid Cap","Small Cap"))</f>
        <v>Small Cap</v>
      </c>
      <c r="P1898" t="str">
        <f>IF(Table1[[#This Row],[NET_TRDQTY]]&gt;1000000,"High Volume","Low Volume")</f>
        <v>Low Volume</v>
      </c>
    </row>
    <row r="1899" spans="1:16" x14ac:dyDescent="0.3">
      <c r="A1899" t="s">
        <v>3801</v>
      </c>
      <c r="B1899" t="s">
        <v>3802</v>
      </c>
      <c r="C1899">
        <v>1172.0999999999999</v>
      </c>
      <c r="D1899">
        <v>1175.5999999999999</v>
      </c>
      <c r="E1899">
        <v>1135</v>
      </c>
      <c r="F1899">
        <v>1154.4000000000001</v>
      </c>
      <c r="G1899">
        <v>1188.5</v>
      </c>
      <c r="H1899">
        <v>31934</v>
      </c>
      <c r="I1899">
        <v>3777</v>
      </c>
      <c r="J1899">
        <v>19358018160</v>
      </c>
      <c r="K1899">
        <v>16768900</v>
      </c>
      <c r="L1899">
        <f>(Table1[[#This Row],[CLOSE_PRICE]] - Table1[[#This Row],[PREV_CL_PR]]) / Table1[[#This Row],[PREV_CL_PR]] * 100</f>
        <v>-2.8691628102650322</v>
      </c>
      <c r="M1899">
        <f>Table1[[#This Row],[HIGH_PRICE]]-Table1[[#This Row],[LOW_PRICE]]</f>
        <v>40.599999999999909</v>
      </c>
      <c r="N1899" t="str">
        <f>IF(Table1[[#This Row],[CLOSE_PRICE]]&gt;Table1[[#This Row],[OPEN_PRICE]],"Gain","Loss")</f>
        <v>Loss</v>
      </c>
      <c r="O1899" t="str">
        <f>IF(Table1[[#This Row],[MARKET_CAP]]&gt;200000000000,"Large Cap",
IF(Table1[[#This Row],[MARKET_CAP]]&gt;50000000000,"Mid Cap","Small Cap"))</f>
        <v>Small Cap</v>
      </c>
      <c r="P1899" t="str">
        <f>IF(Table1[[#This Row],[NET_TRDQTY]]&gt;1000000,"High Volume","Low Volume")</f>
        <v>Low Volume</v>
      </c>
    </row>
    <row r="1900" spans="1:16" x14ac:dyDescent="0.3">
      <c r="A1900" t="s">
        <v>3803</v>
      </c>
      <c r="B1900" t="s">
        <v>3804</v>
      </c>
      <c r="C1900">
        <v>1072</v>
      </c>
      <c r="D1900">
        <v>1074.9000000000001</v>
      </c>
      <c r="E1900">
        <v>1001.2</v>
      </c>
      <c r="F1900">
        <v>1016.4</v>
      </c>
      <c r="G1900">
        <v>1089.5999999999999</v>
      </c>
      <c r="H1900">
        <v>260763</v>
      </c>
      <c r="I1900">
        <v>23289</v>
      </c>
      <c r="J1900">
        <v>118000000000</v>
      </c>
      <c r="K1900">
        <v>116299574</v>
      </c>
      <c r="L1900">
        <f>(Table1[[#This Row],[CLOSE_PRICE]] - Table1[[#This Row],[PREV_CL_PR]]) / Table1[[#This Row],[PREV_CL_PR]] * 100</f>
        <v>-6.7180616740088048</v>
      </c>
      <c r="M1900">
        <f>Table1[[#This Row],[HIGH_PRICE]]-Table1[[#This Row],[LOW_PRICE]]</f>
        <v>73.700000000000045</v>
      </c>
      <c r="N1900" t="str">
        <f>IF(Table1[[#This Row],[CLOSE_PRICE]]&gt;Table1[[#This Row],[OPEN_PRICE]],"Gain","Loss")</f>
        <v>Loss</v>
      </c>
      <c r="O1900" t="str">
        <f>IF(Table1[[#This Row],[MARKET_CAP]]&gt;200000000000,"Large Cap",
IF(Table1[[#This Row],[MARKET_CAP]]&gt;50000000000,"Mid Cap","Small Cap"))</f>
        <v>Mid Cap</v>
      </c>
      <c r="P1900" t="str">
        <f>IF(Table1[[#This Row],[NET_TRDQTY]]&gt;1000000,"High Volume","Low Volume")</f>
        <v>Low Volume</v>
      </c>
    </row>
    <row r="1901" spans="1:16" x14ac:dyDescent="0.3">
      <c r="A1901" t="s">
        <v>3805</v>
      </c>
      <c r="B1901" t="s">
        <v>3806</v>
      </c>
      <c r="C1901">
        <v>13.5</v>
      </c>
      <c r="D1901">
        <v>13.5</v>
      </c>
      <c r="E1901">
        <v>11.41</v>
      </c>
      <c r="F1901">
        <v>12.6</v>
      </c>
      <c r="G1901">
        <v>13</v>
      </c>
      <c r="H1901">
        <v>1582</v>
      </c>
      <c r="I1901">
        <v>65</v>
      </c>
      <c r="J1901">
        <v>238942620</v>
      </c>
      <c r="K1901">
        <v>18963700</v>
      </c>
      <c r="L1901">
        <f>(Table1[[#This Row],[CLOSE_PRICE]] - Table1[[#This Row],[PREV_CL_PR]]) / Table1[[#This Row],[PREV_CL_PR]] * 100</f>
        <v>-3.0769230769230793</v>
      </c>
      <c r="M1901">
        <f>Table1[[#This Row],[HIGH_PRICE]]-Table1[[#This Row],[LOW_PRICE]]</f>
        <v>2.09</v>
      </c>
      <c r="N1901" t="str">
        <f>IF(Table1[[#This Row],[CLOSE_PRICE]]&gt;Table1[[#This Row],[OPEN_PRICE]],"Gain","Loss")</f>
        <v>Loss</v>
      </c>
      <c r="O1901" t="str">
        <f>IF(Table1[[#This Row],[MARKET_CAP]]&gt;200000000000,"Large Cap",
IF(Table1[[#This Row],[MARKET_CAP]]&gt;50000000000,"Mid Cap","Small Cap"))</f>
        <v>Small Cap</v>
      </c>
      <c r="P1901" t="str">
        <f>IF(Table1[[#This Row],[NET_TRDQTY]]&gt;1000000,"High Volume","Low Volume")</f>
        <v>Low Volume</v>
      </c>
    </row>
    <row r="1902" spans="1:16" x14ac:dyDescent="0.3">
      <c r="A1902" t="s">
        <v>3807</v>
      </c>
      <c r="B1902" t="s">
        <v>3808</v>
      </c>
      <c r="C1902">
        <v>1700.1</v>
      </c>
      <c r="D1902">
        <v>1714.9</v>
      </c>
      <c r="E1902">
        <v>1560.8</v>
      </c>
      <c r="F1902">
        <v>1585.5</v>
      </c>
      <c r="G1902">
        <v>1725</v>
      </c>
      <c r="H1902">
        <v>395567</v>
      </c>
      <c r="I1902">
        <v>32473</v>
      </c>
      <c r="J1902">
        <v>119000000000</v>
      </c>
      <c r="K1902">
        <v>75127698</v>
      </c>
      <c r="L1902">
        <f>(Table1[[#This Row],[CLOSE_PRICE]] - Table1[[#This Row],[PREV_CL_PR]]) / Table1[[#This Row],[PREV_CL_PR]] * 100</f>
        <v>-8.0869565217391308</v>
      </c>
      <c r="M1902">
        <f>Table1[[#This Row],[HIGH_PRICE]]-Table1[[#This Row],[LOW_PRICE]]</f>
        <v>154.10000000000014</v>
      </c>
      <c r="N1902" t="str">
        <f>IF(Table1[[#This Row],[CLOSE_PRICE]]&gt;Table1[[#This Row],[OPEN_PRICE]],"Gain","Loss")</f>
        <v>Loss</v>
      </c>
      <c r="O1902" t="str">
        <f>IF(Table1[[#This Row],[MARKET_CAP]]&gt;200000000000,"Large Cap",
IF(Table1[[#This Row],[MARKET_CAP]]&gt;50000000000,"Mid Cap","Small Cap"))</f>
        <v>Mid Cap</v>
      </c>
      <c r="P1902" t="str">
        <f>IF(Table1[[#This Row],[NET_TRDQTY]]&gt;1000000,"High Volume","Low Volume")</f>
        <v>Low Volume</v>
      </c>
    </row>
    <row r="1903" spans="1:16" x14ac:dyDescent="0.3">
      <c r="A1903" t="s">
        <v>3809</v>
      </c>
      <c r="B1903" t="s">
        <v>3810</v>
      </c>
      <c r="C1903">
        <v>428</v>
      </c>
      <c r="D1903">
        <v>429.3</v>
      </c>
      <c r="E1903">
        <v>399.15</v>
      </c>
      <c r="F1903">
        <v>400.8</v>
      </c>
      <c r="G1903">
        <v>435.95</v>
      </c>
      <c r="H1903">
        <v>3486592</v>
      </c>
      <c r="I1903">
        <v>47333</v>
      </c>
      <c r="J1903">
        <v>71121542366</v>
      </c>
      <c r="K1903">
        <v>177448958</v>
      </c>
      <c r="L1903">
        <f>(Table1[[#This Row],[CLOSE_PRICE]] - Table1[[#This Row],[PREV_CL_PR]]) / Table1[[#This Row],[PREV_CL_PR]] * 100</f>
        <v>-8.0628512444087566</v>
      </c>
      <c r="M1903">
        <f>Table1[[#This Row],[HIGH_PRICE]]-Table1[[#This Row],[LOW_PRICE]]</f>
        <v>30.150000000000034</v>
      </c>
      <c r="N1903" t="str">
        <f>IF(Table1[[#This Row],[CLOSE_PRICE]]&gt;Table1[[#This Row],[OPEN_PRICE]],"Gain","Loss")</f>
        <v>Loss</v>
      </c>
      <c r="O1903" t="str">
        <f>IF(Table1[[#This Row],[MARKET_CAP]]&gt;200000000000,"Large Cap",
IF(Table1[[#This Row],[MARKET_CAP]]&gt;50000000000,"Mid Cap","Small Cap"))</f>
        <v>Mid Cap</v>
      </c>
      <c r="P1903" t="str">
        <f>IF(Table1[[#This Row],[NET_TRDQTY]]&gt;1000000,"High Volume","Low Volume")</f>
        <v>High Volume</v>
      </c>
    </row>
    <row r="1904" spans="1:16" x14ac:dyDescent="0.3">
      <c r="A1904" t="s">
        <v>3811</v>
      </c>
      <c r="B1904" t="s">
        <v>3812</v>
      </c>
      <c r="C1904">
        <v>502</v>
      </c>
      <c r="D1904">
        <v>502</v>
      </c>
      <c r="E1904">
        <v>471.6</v>
      </c>
      <c r="F1904">
        <v>490.6</v>
      </c>
      <c r="G1904">
        <v>501.4</v>
      </c>
      <c r="H1904">
        <v>129777</v>
      </c>
      <c r="I1904">
        <v>3782</v>
      </c>
      <c r="J1904">
        <v>7588181828</v>
      </c>
      <c r="K1904">
        <v>15467146</v>
      </c>
      <c r="L1904">
        <f>(Table1[[#This Row],[CLOSE_PRICE]] - Table1[[#This Row],[PREV_CL_PR]]) / Table1[[#This Row],[PREV_CL_PR]] * 100</f>
        <v>-2.1539688871160658</v>
      </c>
      <c r="M1904">
        <f>Table1[[#This Row],[HIGH_PRICE]]-Table1[[#This Row],[LOW_PRICE]]</f>
        <v>30.399999999999977</v>
      </c>
      <c r="N1904" t="str">
        <f>IF(Table1[[#This Row],[CLOSE_PRICE]]&gt;Table1[[#This Row],[OPEN_PRICE]],"Gain","Loss")</f>
        <v>Loss</v>
      </c>
      <c r="O1904" t="str">
        <f>IF(Table1[[#This Row],[MARKET_CAP]]&gt;200000000000,"Large Cap",
IF(Table1[[#This Row],[MARKET_CAP]]&gt;50000000000,"Mid Cap","Small Cap"))</f>
        <v>Small Cap</v>
      </c>
      <c r="P1904" t="str">
        <f>IF(Table1[[#This Row],[NET_TRDQTY]]&gt;1000000,"High Volume","Low Volume")</f>
        <v>Low Volume</v>
      </c>
    </row>
    <row r="1905" spans="1:16" x14ac:dyDescent="0.3">
      <c r="A1905" t="s">
        <v>3813</v>
      </c>
      <c r="B1905" t="s">
        <v>3814</v>
      </c>
      <c r="C1905">
        <v>540</v>
      </c>
      <c r="D1905">
        <v>541.4</v>
      </c>
      <c r="E1905">
        <v>524.70000000000005</v>
      </c>
      <c r="F1905">
        <v>536.4</v>
      </c>
      <c r="G1905">
        <v>546.5</v>
      </c>
      <c r="H1905">
        <v>292503</v>
      </c>
      <c r="I1905">
        <v>18050</v>
      </c>
      <c r="J1905">
        <v>216000000000</v>
      </c>
      <c r="K1905">
        <v>403604309</v>
      </c>
      <c r="L1905">
        <f>(Table1[[#This Row],[CLOSE_PRICE]] - Table1[[#This Row],[PREV_CL_PR]]) / Table1[[#This Row],[PREV_CL_PR]] * 100</f>
        <v>-1.848124428179327</v>
      </c>
      <c r="M1905">
        <f>Table1[[#This Row],[HIGH_PRICE]]-Table1[[#This Row],[LOW_PRICE]]</f>
        <v>16.699999999999932</v>
      </c>
      <c r="N1905" t="str">
        <f>IF(Table1[[#This Row],[CLOSE_PRICE]]&gt;Table1[[#This Row],[OPEN_PRICE]],"Gain","Loss")</f>
        <v>Loss</v>
      </c>
      <c r="O1905" t="str">
        <f>IF(Table1[[#This Row],[MARKET_CAP]]&gt;200000000000,"Large Cap",
IF(Table1[[#This Row],[MARKET_CAP]]&gt;50000000000,"Mid Cap","Small Cap"))</f>
        <v>Large Cap</v>
      </c>
      <c r="P1905" t="str">
        <f>IF(Table1[[#This Row],[NET_TRDQTY]]&gt;1000000,"High Volume","Low Volume")</f>
        <v>Low Volume</v>
      </c>
    </row>
    <row r="1906" spans="1:16" x14ac:dyDescent="0.3">
      <c r="A1906" t="s">
        <v>3815</v>
      </c>
      <c r="B1906" t="s">
        <v>3816</v>
      </c>
      <c r="C1906">
        <v>330.9</v>
      </c>
      <c r="D1906">
        <v>330.9</v>
      </c>
      <c r="E1906">
        <v>315.39999999999998</v>
      </c>
      <c r="F1906">
        <v>317.8</v>
      </c>
      <c r="G1906">
        <v>331.9</v>
      </c>
      <c r="H1906">
        <v>22510</v>
      </c>
      <c r="I1906">
        <v>1057</v>
      </c>
      <c r="J1906">
        <v>3976273875</v>
      </c>
      <c r="K1906">
        <v>12511875</v>
      </c>
      <c r="L1906">
        <f>(Table1[[#This Row],[CLOSE_PRICE]] - Table1[[#This Row],[PREV_CL_PR]]) / Table1[[#This Row],[PREV_CL_PR]] * 100</f>
        <v>-4.2482675504669984</v>
      </c>
      <c r="M1906">
        <f>Table1[[#This Row],[HIGH_PRICE]]-Table1[[#This Row],[LOW_PRICE]]</f>
        <v>15.5</v>
      </c>
      <c r="N1906" t="str">
        <f>IF(Table1[[#This Row],[CLOSE_PRICE]]&gt;Table1[[#This Row],[OPEN_PRICE]],"Gain","Loss")</f>
        <v>Loss</v>
      </c>
      <c r="O1906" t="str">
        <f>IF(Table1[[#This Row],[MARKET_CAP]]&gt;200000000000,"Large Cap",
IF(Table1[[#This Row],[MARKET_CAP]]&gt;50000000000,"Mid Cap","Small Cap"))</f>
        <v>Small Cap</v>
      </c>
      <c r="P1906" t="str">
        <f>IF(Table1[[#This Row],[NET_TRDQTY]]&gt;1000000,"High Volume","Low Volume")</f>
        <v>Low Volume</v>
      </c>
    </row>
    <row r="1907" spans="1:16" x14ac:dyDescent="0.3">
      <c r="A1907" t="s">
        <v>3817</v>
      </c>
      <c r="B1907" t="s">
        <v>3818</v>
      </c>
      <c r="C1907">
        <v>87.31</v>
      </c>
      <c r="D1907">
        <v>91</v>
      </c>
      <c r="E1907">
        <v>84.92</v>
      </c>
      <c r="F1907">
        <v>88.53</v>
      </c>
      <c r="G1907">
        <v>89.08</v>
      </c>
      <c r="H1907">
        <v>535563</v>
      </c>
      <c r="I1907">
        <v>1377</v>
      </c>
      <c r="J1907">
        <v>11281076013</v>
      </c>
      <c r="K1907">
        <v>127426590</v>
      </c>
      <c r="L1907">
        <f>(Table1[[#This Row],[CLOSE_PRICE]] - Table1[[#This Row],[PREV_CL_PR]]) / Table1[[#This Row],[PREV_CL_PR]] * 100</f>
        <v>-0.61742254153569509</v>
      </c>
      <c r="M1907">
        <f>Table1[[#This Row],[HIGH_PRICE]]-Table1[[#This Row],[LOW_PRICE]]</f>
        <v>6.0799999999999983</v>
      </c>
      <c r="N1907" t="str">
        <f>IF(Table1[[#This Row],[CLOSE_PRICE]]&gt;Table1[[#This Row],[OPEN_PRICE]],"Gain","Loss")</f>
        <v>Gain</v>
      </c>
      <c r="O1907" t="str">
        <f>IF(Table1[[#This Row],[MARKET_CAP]]&gt;200000000000,"Large Cap",
IF(Table1[[#This Row],[MARKET_CAP]]&gt;50000000000,"Mid Cap","Small Cap"))</f>
        <v>Small Cap</v>
      </c>
      <c r="P1907" t="str">
        <f>IF(Table1[[#This Row],[NET_TRDQTY]]&gt;1000000,"High Volume","Low Volume")</f>
        <v>Low Volume</v>
      </c>
    </row>
    <row r="1908" spans="1:16" x14ac:dyDescent="0.3">
      <c r="A1908" t="s">
        <v>3819</v>
      </c>
      <c r="B1908" t="s">
        <v>3820</v>
      </c>
      <c r="C1908">
        <v>39.619999999999997</v>
      </c>
      <c r="D1908">
        <v>40.799999999999997</v>
      </c>
      <c r="E1908">
        <v>37.270000000000003</v>
      </c>
      <c r="F1908">
        <v>38.51</v>
      </c>
      <c r="G1908">
        <v>40.47</v>
      </c>
      <c r="H1908">
        <v>100850</v>
      </c>
      <c r="I1908">
        <v>1122</v>
      </c>
      <c r="J1908">
        <v>1124299450</v>
      </c>
      <c r="K1908">
        <v>29195000</v>
      </c>
      <c r="L1908">
        <f>(Table1[[#This Row],[CLOSE_PRICE]] - Table1[[#This Row],[PREV_CL_PR]]) / Table1[[#This Row],[PREV_CL_PR]] * 100</f>
        <v>-4.8430936496170025</v>
      </c>
      <c r="M1908">
        <f>Table1[[#This Row],[HIGH_PRICE]]-Table1[[#This Row],[LOW_PRICE]]</f>
        <v>3.529999999999994</v>
      </c>
      <c r="N1908" t="str">
        <f>IF(Table1[[#This Row],[CLOSE_PRICE]]&gt;Table1[[#This Row],[OPEN_PRICE]],"Gain","Loss")</f>
        <v>Loss</v>
      </c>
      <c r="O1908" t="str">
        <f>IF(Table1[[#This Row],[MARKET_CAP]]&gt;200000000000,"Large Cap",
IF(Table1[[#This Row],[MARKET_CAP]]&gt;50000000000,"Mid Cap","Small Cap"))</f>
        <v>Small Cap</v>
      </c>
      <c r="P1908" t="str">
        <f>IF(Table1[[#This Row],[NET_TRDQTY]]&gt;1000000,"High Volume","Low Volume")</f>
        <v>Low Volume</v>
      </c>
    </row>
    <row r="1909" spans="1:16" x14ac:dyDescent="0.3">
      <c r="A1909" t="s">
        <v>3821</v>
      </c>
      <c r="B1909" t="s">
        <v>3822</v>
      </c>
      <c r="C1909">
        <v>89.63</v>
      </c>
      <c r="D1909">
        <v>89.63</v>
      </c>
      <c r="E1909">
        <v>84</v>
      </c>
      <c r="F1909">
        <v>84.38</v>
      </c>
      <c r="G1909">
        <v>89.63</v>
      </c>
      <c r="H1909">
        <v>2412223</v>
      </c>
      <c r="I1909">
        <v>17709</v>
      </c>
      <c r="J1909">
        <v>34331232585</v>
      </c>
      <c r="K1909">
        <v>406864572</v>
      </c>
      <c r="L1909">
        <f>(Table1[[#This Row],[CLOSE_PRICE]] - Table1[[#This Row],[PREV_CL_PR]]) / Table1[[#This Row],[PREV_CL_PR]] * 100</f>
        <v>-5.8574138123396189</v>
      </c>
      <c r="M1909">
        <f>Table1[[#This Row],[HIGH_PRICE]]-Table1[[#This Row],[LOW_PRICE]]</f>
        <v>5.6299999999999955</v>
      </c>
      <c r="N1909" t="str">
        <f>IF(Table1[[#This Row],[CLOSE_PRICE]]&gt;Table1[[#This Row],[OPEN_PRICE]],"Gain","Loss")</f>
        <v>Loss</v>
      </c>
      <c r="O1909" t="str">
        <f>IF(Table1[[#This Row],[MARKET_CAP]]&gt;200000000000,"Large Cap",
IF(Table1[[#This Row],[MARKET_CAP]]&gt;50000000000,"Mid Cap","Small Cap"))</f>
        <v>Small Cap</v>
      </c>
      <c r="P1909" t="str">
        <f>IF(Table1[[#This Row],[NET_TRDQTY]]&gt;1000000,"High Volume","Low Volume")</f>
        <v>High Volume</v>
      </c>
    </row>
    <row r="1910" spans="1:16" x14ac:dyDescent="0.3">
      <c r="A1910" t="s">
        <v>3823</v>
      </c>
      <c r="B1910" t="s">
        <v>3824</v>
      </c>
      <c r="C1910">
        <v>64.2</v>
      </c>
      <c r="D1910">
        <v>64.5</v>
      </c>
      <c r="E1910">
        <v>61.95</v>
      </c>
      <c r="F1910">
        <v>63.87</v>
      </c>
      <c r="G1910">
        <v>65.45</v>
      </c>
      <c r="H1910">
        <v>6039542</v>
      </c>
      <c r="I1910">
        <v>10114</v>
      </c>
      <c r="J1910">
        <v>29570356319</v>
      </c>
      <c r="K1910">
        <v>462977240</v>
      </c>
      <c r="L1910">
        <f>(Table1[[#This Row],[CLOSE_PRICE]] - Table1[[#This Row],[PREV_CL_PR]]) / Table1[[#This Row],[PREV_CL_PR]] * 100</f>
        <v>-2.4140565317035989</v>
      </c>
      <c r="M1910">
        <f>Table1[[#This Row],[HIGH_PRICE]]-Table1[[#This Row],[LOW_PRICE]]</f>
        <v>2.5499999999999972</v>
      </c>
      <c r="N1910" t="str">
        <f>IF(Table1[[#This Row],[CLOSE_PRICE]]&gt;Table1[[#This Row],[OPEN_PRICE]],"Gain","Loss")</f>
        <v>Loss</v>
      </c>
      <c r="O1910" t="str">
        <f>IF(Table1[[#This Row],[MARKET_CAP]]&gt;200000000000,"Large Cap",
IF(Table1[[#This Row],[MARKET_CAP]]&gt;50000000000,"Mid Cap","Small Cap"))</f>
        <v>Small Cap</v>
      </c>
      <c r="P1910" t="str">
        <f>IF(Table1[[#This Row],[NET_TRDQTY]]&gt;1000000,"High Volume","Low Volume")</f>
        <v>High Volume</v>
      </c>
    </row>
    <row r="1911" spans="1:16" x14ac:dyDescent="0.3">
      <c r="A1911" t="s">
        <v>3825</v>
      </c>
      <c r="B1911" t="s">
        <v>3826</v>
      </c>
      <c r="C1911">
        <v>13.97</v>
      </c>
      <c r="D1911">
        <v>13.97</v>
      </c>
      <c r="E1911">
        <v>12.1</v>
      </c>
      <c r="F1911">
        <v>12.12</v>
      </c>
      <c r="G1911">
        <v>12.79</v>
      </c>
      <c r="H1911">
        <v>45248</v>
      </c>
      <c r="I1911">
        <v>102</v>
      </c>
      <c r="J1911">
        <v>654171388.5</v>
      </c>
      <c r="K1911">
        <v>53974537</v>
      </c>
      <c r="L1911">
        <f>(Table1[[#This Row],[CLOSE_PRICE]] - Table1[[#This Row],[PREV_CL_PR]]) / Table1[[#This Row],[PREV_CL_PR]] * 100</f>
        <v>-5.2384675527756057</v>
      </c>
      <c r="M1911">
        <f>Table1[[#This Row],[HIGH_PRICE]]-Table1[[#This Row],[LOW_PRICE]]</f>
        <v>1.870000000000001</v>
      </c>
      <c r="N1911" t="str">
        <f>IF(Table1[[#This Row],[CLOSE_PRICE]]&gt;Table1[[#This Row],[OPEN_PRICE]],"Gain","Loss")</f>
        <v>Loss</v>
      </c>
      <c r="O1911" t="str">
        <f>IF(Table1[[#This Row],[MARKET_CAP]]&gt;200000000000,"Large Cap",
IF(Table1[[#This Row],[MARKET_CAP]]&gt;50000000000,"Mid Cap","Small Cap"))</f>
        <v>Small Cap</v>
      </c>
      <c r="P1911" t="str">
        <f>IF(Table1[[#This Row],[NET_TRDQTY]]&gt;1000000,"High Volume","Low Volume")</f>
        <v>Low Volume</v>
      </c>
    </row>
    <row r="1912" spans="1:16" x14ac:dyDescent="0.3">
      <c r="A1912" t="s">
        <v>3827</v>
      </c>
      <c r="B1912" t="s">
        <v>3828</v>
      </c>
      <c r="C1912">
        <v>8.48</v>
      </c>
      <c r="D1912">
        <v>8.48</v>
      </c>
      <c r="E1912">
        <v>7.7</v>
      </c>
      <c r="F1912">
        <v>7.76</v>
      </c>
      <c r="G1912">
        <v>8.23</v>
      </c>
      <c r="H1912">
        <v>146549</v>
      </c>
      <c r="I1912">
        <v>281</v>
      </c>
      <c r="J1912">
        <v>227262464</v>
      </c>
      <c r="K1912">
        <v>29286400</v>
      </c>
      <c r="L1912">
        <f>(Table1[[#This Row],[CLOSE_PRICE]] - Table1[[#This Row],[PREV_CL_PR]]) / Table1[[#This Row],[PREV_CL_PR]] * 100</f>
        <v>-5.7108140947752197</v>
      </c>
      <c r="M1912">
        <f>Table1[[#This Row],[HIGH_PRICE]]-Table1[[#This Row],[LOW_PRICE]]</f>
        <v>0.78000000000000025</v>
      </c>
      <c r="N1912" t="str">
        <f>IF(Table1[[#This Row],[CLOSE_PRICE]]&gt;Table1[[#This Row],[OPEN_PRICE]],"Gain","Loss")</f>
        <v>Loss</v>
      </c>
      <c r="O1912" t="str">
        <f>IF(Table1[[#This Row],[MARKET_CAP]]&gt;200000000000,"Large Cap",
IF(Table1[[#This Row],[MARKET_CAP]]&gt;50000000000,"Mid Cap","Small Cap"))</f>
        <v>Small Cap</v>
      </c>
      <c r="P1912" t="str">
        <f>IF(Table1[[#This Row],[NET_TRDQTY]]&gt;1000000,"High Volume","Low Volume")</f>
        <v>Low Volume</v>
      </c>
    </row>
    <row r="1913" spans="1:16" x14ac:dyDescent="0.3">
      <c r="A1913" t="s">
        <v>3829</v>
      </c>
      <c r="B1913" t="s">
        <v>3830</v>
      </c>
      <c r="C1913">
        <v>3319</v>
      </c>
      <c r="D1913">
        <v>3319</v>
      </c>
      <c r="E1913">
        <v>3131.5</v>
      </c>
      <c r="F1913">
        <v>3158.8</v>
      </c>
      <c r="G1913">
        <v>3328.8</v>
      </c>
      <c r="H1913">
        <v>57441</v>
      </c>
      <c r="I1913">
        <v>8507</v>
      </c>
      <c r="J1913">
        <v>98181887935</v>
      </c>
      <c r="K1913">
        <v>31082021</v>
      </c>
      <c r="L1913">
        <f>(Table1[[#This Row],[CLOSE_PRICE]] - Table1[[#This Row],[PREV_CL_PR]]) / Table1[[#This Row],[PREV_CL_PR]] * 100</f>
        <v>-5.1069454458062964</v>
      </c>
      <c r="M1913">
        <f>Table1[[#This Row],[HIGH_PRICE]]-Table1[[#This Row],[LOW_PRICE]]</f>
        <v>187.5</v>
      </c>
      <c r="N1913" t="str">
        <f>IF(Table1[[#This Row],[CLOSE_PRICE]]&gt;Table1[[#This Row],[OPEN_PRICE]],"Gain","Loss")</f>
        <v>Loss</v>
      </c>
      <c r="O1913" t="str">
        <f>IF(Table1[[#This Row],[MARKET_CAP]]&gt;200000000000,"Large Cap",
IF(Table1[[#This Row],[MARKET_CAP]]&gt;50000000000,"Mid Cap","Small Cap"))</f>
        <v>Mid Cap</v>
      </c>
      <c r="P1913" t="str">
        <f>IF(Table1[[#This Row],[NET_TRDQTY]]&gt;1000000,"High Volume","Low Volume")</f>
        <v>Low Volume</v>
      </c>
    </row>
    <row r="1914" spans="1:16" x14ac:dyDescent="0.3">
      <c r="A1914" t="s">
        <v>3831</v>
      </c>
      <c r="B1914" t="s">
        <v>3832</v>
      </c>
      <c r="C1914">
        <v>101.16</v>
      </c>
      <c r="D1914">
        <v>101.16</v>
      </c>
      <c r="E1914">
        <v>91.16</v>
      </c>
      <c r="F1914">
        <v>94.09</v>
      </c>
      <c r="G1914">
        <v>101.19</v>
      </c>
      <c r="H1914">
        <v>29758</v>
      </c>
      <c r="I1914">
        <v>851</v>
      </c>
      <c r="J1914">
        <v>4915470198</v>
      </c>
      <c r="K1914">
        <v>52242217</v>
      </c>
      <c r="L1914">
        <f>(Table1[[#This Row],[CLOSE_PRICE]] - Table1[[#This Row],[PREV_CL_PR]]) / Table1[[#This Row],[PREV_CL_PR]] * 100</f>
        <v>-7.0165036070757925</v>
      </c>
      <c r="M1914">
        <f>Table1[[#This Row],[HIGH_PRICE]]-Table1[[#This Row],[LOW_PRICE]]</f>
        <v>10</v>
      </c>
      <c r="N1914" t="str">
        <f>IF(Table1[[#This Row],[CLOSE_PRICE]]&gt;Table1[[#This Row],[OPEN_PRICE]],"Gain","Loss")</f>
        <v>Loss</v>
      </c>
      <c r="O1914" t="str">
        <f>IF(Table1[[#This Row],[MARKET_CAP]]&gt;200000000000,"Large Cap",
IF(Table1[[#This Row],[MARKET_CAP]]&gt;50000000000,"Mid Cap","Small Cap"))</f>
        <v>Small Cap</v>
      </c>
      <c r="P1914" t="str">
        <f>IF(Table1[[#This Row],[NET_TRDQTY]]&gt;1000000,"High Volume","Low Volume")</f>
        <v>Low Volume</v>
      </c>
    </row>
    <row r="1915" spans="1:16" x14ac:dyDescent="0.3">
      <c r="A1915" t="s">
        <v>3833</v>
      </c>
      <c r="B1915" t="s">
        <v>3834</v>
      </c>
      <c r="C1915">
        <v>1540</v>
      </c>
      <c r="D1915">
        <v>1572</v>
      </c>
      <c r="E1915">
        <v>1505.7</v>
      </c>
      <c r="F1915">
        <v>1529.9</v>
      </c>
      <c r="G1915">
        <v>1555.7</v>
      </c>
      <c r="H1915">
        <v>6596</v>
      </c>
      <c r="I1915">
        <v>1203</v>
      </c>
      <c r="J1915">
        <v>16595068554</v>
      </c>
      <c r="K1915">
        <v>10847159</v>
      </c>
      <c r="L1915">
        <f>(Table1[[#This Row],[CLOSE_PRICE]] - Table1[[#This Row],[PREV_CL_PR]]) / Table1[[#This Row],[PREV_CL_PR]] * 100</f>
        <v>-1.6584174326669636</v>
      </c>
      <c r="M1915">
        <f>Table1[[#This Row],[HIGH_PRICE]]-Table1[[#This Row],[LOW_PRICE]]</f>
        <v>66.299999999999955</v>
      </c>
      <c r="N1915" t="str">
        <f>IF(Table1[[#This Row],[CLOSE_PRICE]]&gt;Table1[[#This Row],[OPEN_PRICE]],"Gain","Loss")</f>
        <v>Loss</v>
      </c>
      <c r="O1915" t="str">
        <f>IF(Table1[[#This Row],[MARKET_CAP]]&gt;200000000000,"Large Cap",
IF(Table1[[#This Row],[MARKET_CAP]]&gt;50000000000,"Mid Cap","Small Cap"))</f>
        <v>Small Cap</v>
      </c>
      <c r="P1915" t="str">
        <f>IF(Table1[[#This Row],[NET_TRDQTY]]&gt;1000000,"High Volume","Low Volume")</f>
        <v>Low Volume</v>
      </c>
    </row>
    <row r="1916" spans="1:16" x14ac:dyDescent="0.3">
      <c r="A1916" t="s">
        <v>3835</v>
      </c>
      <c r="B1916" t="s">
        <v>3836</v>
      </c>
      <c r="C1916">
        <v>390</v>
      </c>
      <c r="D1916">
        <v>402.95</v>
      </c>
      <c r="E1916">
        <v>385.1</v>
      </c>
      <c r="F1916">
        <v>393.75</v>
      </c>
      <c r="G1916">
        <v>399.3</v>
      </c>
      <c r="H1916">
        <v>202434</v>
      </c>
      <c r="I1916">
        <v>11931</v>
      </c>
      <c r="J1916">
        <v>131000000000</v>
      </c>
      <c r="K1916">
        <v>333957878</v>
      </c>
      <c r="L1916">
        <f>(Table1[[#This Row],[CLOSE_PRICE]] - Table1[[#This Row],[PREV_CL_PR]]) / Table1[[#This Row],[PREV_CL_PR]] * 100</f>
        <v>-1.3899323816679217</v>
      </c>
      <c r="M1916">
        <f>Table1[[#This Row],[HIGH_PRICE]]-Table1[[#This Row],[LOW_PRICE]]</f>
        <v>17.849999999999966</v>
      </c>
      <c r="N1916" t="str">
        <f>IF(Table1[[#This Row],[CLOSE_PRICE]]&gt;Table1[[#This Row],[OPEN_PRICE]],"Gain","Loss")</f>
        <v>Gain</v>
      </c>
      <c r="O1916" t="str">
        <f>IF(Table1[[#This Row],[MARKET_CAP]]&gt;200000000000,"Large Cap",
IF(Table1[[#This Row],[MARKET_CAP]]&gt;50000000000,"Mid Cap","Small Cap"))</f>
        <v>Mid Cap</v>
      </c>
      <c r="P1916" t="str">
        <f>IF(Table1[[#This Row],[NET_TRDQTY]]&gt;1000000,"High Volume","Low Volume")</f>
        <v>Low Volume</v>
      </c>
    </row>
    <row r="1917" spans="1:16" x14ac:dyDescent="0.3">
      <c r="A1917" t="s">
        <v>3837</v>
      </c>
      <c r="B1917" t="s">
        <v>3838</v>
      </c>
      <c r="C1917">
        <v>74.81</v>
      </c>
      <c r="D1917">
        <v>74.81</v>
      </c>
      <c r="E1917">
        <v>70.25</v>
      </c>
      <c r="F1917">
        <v>71.12</v>
      </c>
      <c r="G1917">
        <v>75.290000000000006</v>
      </c>
      <c r="H1917">
        <v>100693</v>
      </c>
      <c r="I1917">
        <v>1378</v>
      </c>
      <c r="J1917">
        <v>6545893334</v>
      </c>
      <c r="K1917">
        <v>92040120</v>
      </c>
      <c r="L1917">
        <f>(Table1[[#This Row],[CLOSE_PRICE]] - Table1[[#This Row],[PREV_CL_PR]]) / Table1[[#This Row],[PREV_CL_PR]] * 100</f>
        <v>-5.5385841413202304</v>
      </c>
      <c r="M1917">
        <f>Table1[[#This Row],[HIGH_PRICE]]-Table1[[#This Row],[LOW_PRICE]]</f>
        <v>4.5600000000000023</v>
      </c>
      <c r="N1917" t="str">
        <f>IF(Table1[[#This Row],[CLOSE_PRICE]]&gt;Table1[[#This Row],[OPEN_PRICE]],"Gain","Loss")</f>
        <v>Loss</v>
      </c>
      <c r="O1917" t="str">
        <f>IF(Table1[[#This Row],[MARKET_CAP]]&gt;200000000000,"Large Cap",
IF(Table1[[#This Row],[MARKET_CAP]]&gt;50000000000,"Mid Cap","Small Cap"))</f>
        <v>Small Cap</v>
      </c>
      <c r="P1917" t="str">
        <f>IF(Table1[[#This Row],[NET_TRDQTY]]&gt;1000000,"High Volume","Low Volume")</f>
        <v>Low Volume</v>
      </c>
    </row>
    <row r="1918" spans="1:16" x14ac:dyDescent="0.3">
      <c r="A1918" t="s">
        <v>3839</v>
      </c>
      <c r="B1918" t="s">
        <v>3840</v>
      </c>
      <c r="C1918">
        <v>3195.1</v>
      </c>
      <c r="D1918">
        <v>3200</v>
      </c>
      <c r="E1918">
        <v>3050</v>
      </c>
      <c r="F1918">
        <v>3101.1</v>
      </c>
      <c r="G1918">
        <v>3227.4</v>
      </c>
      <c r="H1918">
        <v>102143</v>
      </c>
      <c r="I1918">
        <v>15744</v>
      </c>
      <c r="J1918">
        <v>370000000000</v>
      </c>
      <c r="K1918">
        <v>119156300</v>
      </c>
      <c r="L1918">
        <f>(Table1[[#This Row],[CLOSE_PRICE]] - Table1[[#This Row],[PREV_CL_PR]]) / Table1[[#This Row],[PREV_CL_PR]] * 100</f>
        <v>-3.9133667968023853</v>
      </c>
      <c r="M1918">
        <f>Table1[[#This Row],[HIGH_PRICE]]-Table1[[#This Row],[LOW_PRICE]]</f>
        <v>150</v>
      </c>
      <c r="N1918" t="str">
        <f>IF(Table1[[#This Row],[CLOSE_PRICE]]&gt;Table1[[#This Row],[OPEN_PRICE]],"Gain","Loss")</f>
        <v>Loss</v>
      </c>
      <c r="O1918" t="str">
        <f>IF(Table1[[#This Row],[MARKET_CAP]]&gt;200000000000,"Large Cap",
IF(Table1[[#This Row],[MARKET_CAP]]&gt;50000000000,"Mid Cap","Small Cap"))</f>
        <v>Large Cap</v>
      </c>
      <c r="P1918" t="str">
        <f>IF(Table1[[#This Row],[NET_TRDQTY]]&gt;1000000,"High Volume","Low Volume")</f>
        <v>Low Volume</v>
      </c>
    </row>
    <row r="1919" spans="1:16" x14ac:dyDescent="0.3">
      <c r="A1919" t="s">
        <v>3841</v>
      </c>
      <c r="B1919" t="s">
        <v>3842</v>
      </c>
      <c r="C1919">
        <v>103.5</v>
      </c>
      <c r="D1919">
        <v>103.5</v>
      </c>
      <c r="E1919">
        <v>92.99</v>
      </c>
      <c r="F1919">
        <v>93.57</v>
      </c>
      <c r="G1919">
        <v>103.34</v>
      </c>
      <c r="H1919">
        <v>2340847</v>
      </c>
      <c r="I1919">
        <v>21967</v>
      </c>
      <c r="J1919">
        <v>44013509186</v>
      </c>
      <c r="K1919">
        <v>470380562</v>
      </c>
      <c r="L1919">
        <f>(Table1[[#This Row],[CLOSE_PRICE]] - Table1[[#This Row],[PREV_CL_PR]]) / Table1[[#This Row],[PREV_CL_PR]] * 100</f>
        <v>-9.4542287594348853</v>
      </c>
      <c r="M1919">
        <f>Table1[[#This Row],[HIGH_PRICE]]-Table1[[#This Row],[LOW_PRICE]]</f>
        <v>10.510000000000005</v>
      </c>
      <c r="N1919" t="str">
        <f>IF(Table1[[#This Row],[CLOSE_PRICE]]&gt;Table1[[#This Row],[OPEN_PRICE]],"Gain","Loss")</f>
        <v>Loss</v>
      </c>
      <c r="O1919" t="str">
        <f>IF(Table1[[#This Row],[MARKET_CAP]]&gt;200000000000,"Large Cap",
IF(Table1[[#This Row],[MARKET_CAP]]&gt;50000000000,"Mid Cap","Small Cap"))</f>
        <v>Small Cap</v>
      </c>
      <c r="P1919" t="str">
        <f>IF(Table1[[#This Row],[NET_TRDQTY]]&gt;1000000,"High Volume","Low Volume")</f>
        <v>High Volume</v>
      </c>
    </row>
    <row r="1920" spans="1:16" x14ac:dyDescent="0.3">
      <c r="A1920" t="s">
        <v>3843</v>
      </c>
      <c r="B1920" t="s">
        <v>3844</v>
      </c>
      <c r="C1920">
        <v>267</v>
      </c>
      <c r="D1920">
        <v>267</v>
      </c>
      <c r="E1920">
        <v>253</v>
      </c>
      <c r="F1920">
        <v>255.55</v>
      </c>
      <c r="G1920">
        <v>273.35000000000002</v>
      </c>
      <c r="H1920">
        <v>30442</v>
      </c>
      <c r="I1920">
        <v>1576</v>
      </c>
      <c r="J1920">
        <v>3749015609</v>
      </c>
      <c r="K1920">
        <v>14670380</v>
      </c>
      <c r="L1920">
        <f>(Table1[[#This Row],[CLOSE_PRICE]] - Table1[[#This Row],[PREV_CL_PR]]) / Table1[[#This Row],[PREV_CL_PR]] * 100</f>
        <v>-6.5117980610938391</v>
      </c>
      <c r="M1920">
        <f>Table1[[#This Row],[HIGH_PRICE]]-Table1[[#This Row],[LOW_PRICE]]</f>
        <v>14</v>
      </c>
      <c r="N1920" t="str">
        <f>IF(Table1[[#This Row],[CLOSE_PRICE]]&gt;Table1[[#This Row],[OPEN_PRICE]],"Gain","Loss")</f>
        <v>Loss</v>
      </c>
      <c r="O1920" t="str">
        <f>IF(Table1[[#This Row],[MARKET_CAP]]&gt;200000000000,"Large Cap",
IF(Table1[[#This Row],[MARKET_CAP]]&gt;50000000000,"Mid Cap","Small Cap"))</f>
        <v>Small Cap</v>
      </c>
      <c r="P1920" t="str">
        <f>IF(Table1[[#This Row],[NET_TRDQTY]]&gt;1000000,"High Volume","Low Volume")</f>
        <v>Low Volume</v>
      </c>
    </row>
    <row r="1921" spans="1:16" x14ac:dyDescent="0.3">
      <c r="A1921" t="s">
        <v>3845</v>
      </c>
      <c r="B1921" t="s">
        <v>3846</v>
      </c>
      <c r="C1921">
        <v>350</v>
      </c>
      <c r="D1921">
        <v>382.3</v>
      </c>
      <c r="E1921">
        <v>342.55</v>
      </c>
      <c r="F1921">
        <v>373.3</v>
      </c>
      <c r="G1921">
        <v>351.35</v>
      </c>
      <c r="H1921">
        <v>1032587</v>
      </c>
      <c r="I1921">
        <v>46106</v>
      </c>
      <c r="J1921">
        <v>59415059250</v>
      </c>
      <c r="K1921">
        <v>159161691</v>
      </c>
      <c r="L1921">
        <f>(Table1[[#This Row],[CLOSE_PRICE]] - Table1[[#This Row],[PREV_CL_PR]]) / Table1[[#This Row],[PREV_CL_PR]] * 100</f>
        <v>6.2473317205066135</v>
      </c>
      <c r="M1921">
        <f>Table1[[#This Row],[HIGH_PRICE]]-Table1[[#This Row],[LOW_PRICE]]</f>
        <v>39.75</v>
      </c>
      <c r="N1921" t="str">
        <f>IF(Table1[[#This Row],[CLOSE_PRICE]]&gt;Table1[[#This Row],[OPEN_PRICE]],"Gain","Loss")</f>
        <v>Gain</v>
      </c>
      <c r="O1921" t="str">
        <f>IF(Table1[[#This Row],[MARKET_CAP]]&gt;200000000000,"Large Cap",
IF(Table1[[#This Row],[MARKET_CAP]]&gt;50000000000,"Mid Cap","Small Cap"))</f>
        <v>Mid Cap</v>
      </c>
      <c r="P1921" t="str">
        <f>IF(Table1[[#This Row],[NET_TRDQTY]]&gt;1000000,"High Volume","Low Volume")</f>
        <v>High Volume</v>
      </c>
    </row>
    <row r="1922" spans="1:16" x14ac:dyDescent="0.3">
      <c r="A1922" t="s">
        <v>3847</v>
      </c>
      <c r="B1922" t="s">
        <v>3848</v>
      </c>
      <c r="C1922">
        <v>430</v>
      </c>
      <c r="D1922">
        <v>430.05</v>
      </c>
      <c r="E1922">
        <v>412.5</v>
      </c>
      <c r="F1922">
        <v>417</v>
      </c>
      <c r="G1922">
        <v>434.4</v>
      </c>
      <c r="H1922">
        <v>1173499</v>
      </c>
      <c r="I1922">
        <v>24668</v>
      </c>
      <c r="J1922">
        <v>86816793750</v>
      </c>
      <c r="K1922">
        <v>208193750</v>
      </c>
      <c r="L1922">
        <f>(Table1[[#This Row],[CLOSE_PRICE]] - Table1[[#This Row],[PREV_CL_PR]]) / Table1[[#This Row],[PREV_CL_PR]] * 100</f>
        <v>-4.005524861878448</v>
      </c>
      <c r="M1922">
        <f>Table1[[#This Row],[HIGH_PRICE]]-Table1[[#This Row],[LOW_PRICE]]</f>
        <v>17.550000000000011</v>
      </c>
      <c r="N1922" t="str">
        <f>IF(Table1[[#This Row],[CLOSE_PRICE]]&gt;Table1[[#This Row],[OPEN_PRICE]],"Gain","Loss")</f>
        <v>Loss</v>
      </c>
      <c r="O1922" t="str">
        <f>IF(Table1[[#This Row],[MARKET_CAP]]&gt;200000000000,"Large Cap",
IF(Table1[[#This Row],[MARKET_CAP]]&gt;50000000000,"Mid Cap","Small Cap"))</f>
        <v>Mid Cap</v>
      </c>
      <c r="P1922" t="str">
        <f>IF(Table1[[#This Row],[NET_TRDQTY]]&gt;1000000,"High Volume","Low Volume")</f>
        <v>High Volume</v>
      </c>
    </row>
    <row r="1923" spans="1:16" x14ac:dyDescent="0.3">
      <c r="A1923" t="s">
        <v>3849</v>
      </c>
      <c r="B1923" t="s">
        <v>3850</v>
      </c>
      <c r="C1923">
        <v>25.05</v>
      </c>
      <c r="D1923">
        <v>25.16</v>
      </c>
      <c r="E1923">
        <v>24.33</v>
      </c>
      <c r="F1923">
        <v>24.33</v>
      </c>
      <c r="G1923">
        <v>25.61</v>
      </c>
      <c r="H1923">
        <v>89531</v>
      </c>
      <c r="I1923">
        <v>392</v>
      </c>
      <c r="J1923">
        <v>3771150000</v>
      </c>
      <c r="K1923">
        <v>155000000</v>
      </c>
      <c r="L1923">
        <f>(Table1[[#This Row],[CLOSE_PRICE]] - Table1[[#This Row],[PREV_CL_PR]]) / Table1[[#This Row],[PREV_CL_PR]] * 100</f>
        <v>-4.9980476376415508</v>
      </c>
      <c r="M1923">
        <f>Table1[[#This Row],[HIGH_PRICE]]-Table1[[#This Row],[LOW_PRICE]]</f>
        <v>0.83000000000000185</v>
      </c>
      <c r="N1923" t="str">
        <f>IF(Table1[[#This Row],[CLOSE_PRICE]]&gt;Table1[[#This Row],[OPEN_PRICE]],"Gain","Loss")</f>
        <v>Loss</v>
      </c>
      <c r="O1923" t="str">
        <f>IF(Table1[[#This Row],[MARKET_CAP]]&gt;200000000000,"Large Cap",
IF(Table1[[#This Row],[MARKET_CAP]]&gt;50000000000,"Mid Cap","Small Cap"))</f>
        <v>Small Cap</v>
      </c>
      <c r="P1923" t="str">
        <f>IF(Table1[[#This Row],[NET_TRDQTY]]&gt;1000000,"High Volume","Low Volume")</f>
        <v>Low Volume</v>
      </c>
    </row>
    <row r="1924" spans="1:16" x14ac:dyDescent="0.3">
      <c r="A1924" t="s">
        <v>3851</v>
      </c>
      <c r="B1924" t="s">
        <v>3852</v>
      </c>
      <c r="C1924">
        <v>24.5</v>
      </c>
      <c r="D1924">
        <v>26.95</v>
      </c>
      <c r="E1924">
        <v>22.9</v>
      </c>
      <c r="F1924">
        <v>25.01</v>
      </c>
      <c r="G1924">
        <v>25.09</v>
      </c>
      <c r="H1924">
        <v>216723</v>
      </c>
      <c r="I1924">
        <v>1727</v>
      </c>
      <c r="J1924">
        <v>2644182250</v>
      </c>
      <c r="K1924">
        <v>105725000</v>
      </c>
      <c r="L1924">
        <f>(Table1[[#This Row],[CLOSE_PRICE]] - Table1[[#This Row],[PREV_CL_PR]]) / Table1[[#This Row],[PREV_CL_PR]] * 100</f>
        <v>-0.31885213232362813</v>
      </c>
      <c r="M1924">
        <f>Table1[[#This Row],[HIGH_PRICE]]-Table1[[#This Row],[LOW_PRICE]]</f>
        <v>4.0500000000000007</v>
      </c>
      <c r="N1924" t="str">
        <f>IF(Table1[[#This Row],[CLOSE_PRICE]]&gt;Table1[[#This Row],[OPEN_PRICE]],"Gain","Loss")</f>
        <v>Gain</v>
      </c>
      <c r="O1924" t="str">
        <f>IF(Table1[[#This Row],[MARKET_CAP]]&gt;200000000000,"Large Cap",
IF(Table1[[#This Row],[MARKET_CAP]]&gt;50000000000,"Mid Cap","Small Cap"))</f>
        <v>Small Cap</v>
      </c>
      <c r="P1924" t="str">
        <f>IF(Table1[[#This Row],[NET_TRDQTY]]&gt;1000000,"High Volume","Low Volume")</f>
        <v>Low Volume</v>
      </c>
    </row>
    <row r="1925" spans="1:16" x14ac:dyDescent="0.3">
      <c r="A1925" t="s">
        <v>3853</v>
      </c>
      <c r="B1925" t="s">
        <v>3854</v>
      </c>
      <c r="C1925">
        <v>2188.9</v>
      </c>
      <c r="D1925">
        <v>2188.9</v>
      </c>
      <c r="E1925">
        <v>2053.4</v>
      </c>
      <c r="F1925">
        <v>2092.1</v>
      </c>
      <c r="G1925">
        <v>2189.8000000000002</v>
      </c>
      <c r="H1925">
        <v>24843</v>
      </c>
      <c r="I1925">
        <v>3067</v>
      </c>
      <c r="J1925">
        <v>47433760696</v>
      </c>
      <c r="K1925">
        <v>22672798</v>
      </c>
      <c r="L1925">
        <f>(Table1[[#This Row],[CLOSE_PRICE]] - Table1[[#This Row],[PREV_CL_PR]]) / Table1[[#This Row],[PREV_CL_PR]] * 100</f>
        <v>-4.4615946661795718</v>
      </c>
      <c r="M1925">
        <f>Table1[[#This Row],[HIGH_PRICE]]-Table1[[#This Row],[LOW_PRICE]]</f>
        <v>135.5</v>
      </c>
      <c r="N1925" t="str">
        <f>IF(Table1[[#This Row],[CLOSE_PRICE]]&gt;Table1[[#This Row],[OPEN_PRICE]],"Gain","Loss")</f>
        <v>Loss</v>
      </c>
      <c r="O1925" t="str">
        <f>IF(Table1[[#This Row],[MARKET_CAP]]&gt;200000000000,"Large Cap",
IF(Table1[[#This Row],[MARKET_CAP]]&gt;50000000000,"Mid Cap","Small Cap"))</f>
        <v>Small Cap</v>
      </c>
      <c r="P1925" t="str">
        <f>IF(Table1[[#This Row],[NET_TRDQTY]]&gt;1000000,"High Volume","Low Volume")</f>
        <v>Low Volume</v>
      </c>
    </row>
    <row r="1926" spans="1:16" x14ac:dyDescent="0.3">
      <c r="A1926" t="s">
        <v>3855</v>
      </c>
      <c r="B1926" t="s">
        <v>3856</v>
      </c>
      <c r="C1926">
        <v>2524.9</v>
      </c>
      <c r="D1926">
        <v>2524.9</v>
      </c>
      <c r="E1926">
        <v>2436</v>
      </c>
      <c r="F1926">
        <v>2471</v>
      </c>
      <c r="G1926">
        <v>2537.3000000000002</v>
      </c>
      <c r="H1926">
        <v>308410</v>
      </c>
      <c r="I1926">
        <v>33759</v>
      </c>
      <c r="J1926">
        <v>478000000000</v>
      </c>
      <c r="K1926">
        <v>193508850</v>
      </c>
      <c r="L1926">
        <f>(Table1[[#This Row],[CLOSE_PRICE]] - Table1[[#This Row],[PREV_CL_PR]]) / Table1[[#This Row],[PREV_CL_PR]] * 100</f>
        <v>-2.6130138336026554</v>
      </c>
      <c r="M1926">
        <f>Table1[[#This Row],[HIGH_PRICE]]-Table1[[#This Row],[LOW_PRICE]]</f>
        <v>88.900000000000091</v>
      </c>
      <c r="N1926" t="str">
        <f>IF(Table1[[#This Row],[CLOSE_PRICE]]&gt;Table1[[#This Row],[OPEN_PRICE]],"Gain","Loss")</f>
        <v>Loss</v>
      </c>
      <c r="O1926" t="str">
        <f>IF(Table1[[#This Row],[MARKET_CAP]]&gt;200000000000,"Large Cap",
IF(Table1[[#This Row],[MARKET_CAP]]&gt;50000000000,"Mid Cap","Small Cap"))</f>
        <v>Large Cap</v>
      </c>
      <c r="P1926" t="str">
        <f>IF(Table1[[#This Row],[NET_TRDQTY]]&gt;1000000,"High Volume","Low Volume")</f>
        <v>Low Volume</v>
      </c>
    </row>
    <row r="1927" spans="1:16" x14ac:dyDescent="0.3">
      <c r="A1927" t="s">
        <v>3857</v>
      </c>
      <c r="B1927" t="s">
        <v>3858</v>
      </c>
      <c r="C1927">
        <v>180</v>
      </c>
      <c r="D1927">
        <v>182.61</v>
      </c>
      <c r="E1927">
        <v>166.09</v>
      </c>
      <c r="F1927">
        <v>168.25</v>
      </c>
      <c r="G1927">
        <v>187.24</v>
      </c>
      <c r="H1927">
        <v>118330</v>
      </c>
      <c r="I1927">
        <v>1975</v>
      </c>
      <c r="J1927">
        <v>11205795922</v>
      </c>
      <c r="K1927">
        <v>66602056</v>
      </c>
      <c r="L1927">
        <f>(Table1[[#This Row],[CLOSE_PRICE]] - Table1[[#This Row],[PREV_CL_PR]]) / Table1[[#This Row],[PREV_CL_PR]] * 100</f>
        <v>-10.142063661610772</v>
      </c>
      <c r="M1927">
        <f>Table1[[#This Row],[HIGH_PRICE]]-Table1[[#This Row],[LOW_PRICE]]</f>
        <v>16.52000000000001</v>
      </c>
      <c r="N1927" t="str">
        <f>IF(Table1[[#This Row],[CLOSE_PRICE]]&gt;Table1[[#This Row],[OPEN_PRICE]],"Gain","Loss")</f>
        <v>Loss</v>
      </c>
      <c r="O1927" t="str">
        <f>IF(Table1[[#This Row],[MARKET_CAP]]&gt;200000000000,"Large Cap",
IF(Table1[[#This Row],[MARKET_CAP]]&gt;50000000000,"Mid Cap","Small Cap"))</f>
        <v>Small Cap</v>
      </c>
      <c r="P1927" t="str">
        <f>IF(Table1[[#This Row],[NET_TRDQTY]]&gt;1000000,"High Volume","Low Volume")</f>
        <v>Low Volume</v>
      </c>
    </row>
    <row r="1928" spans="1:16" x14ac:dyDescent="0.3">
      <c r="A1928" t="s">
        <v>3859</v>
      </c>
      <c r="B1928" t="s">
        <v>3860</v>
      </c>
      <c r="C1928">
        <v>158</v>
      </c>
      <c r="D1928">
        <v>158.83000000000001</v>
      </c>
      <c r="E1928">
        <v>154</v>
      </c>
      <c r="F1928">
        <v>155.27000000000001</v>
      </c>
      <c r="G1928">
        <v>162.22</v>
      </c>
      <c r="H1928">
        <v>1795873</v>
      </c>
      <c r="I1928">
        <v>24674</v>
      </c>
      <c r="J1928">
        <v>76646765297</v>
      </c>
      <c r="K1928">
        <v>493635379</v>
      </c>
      <c r="L1928">
        <f>(Table1[[#This Row],[CLOSE_PRICE]] - Table1[[#This Row],[PREV_CL_PR]]) / Table1[[#This Row],[PREV_CL_PR]] * 100</f>
        <v>-4.2843052644556705</v>
      </c>
      <c r="M1928">
        <f>Table1[[#This Row],[HIGH_PRICE]]-Table1[[#This Row],[LOW_PRICE]]</f>
        <v>4.8300000000000125</v>
      </c>
      <c r="N1928" t="str">
        <f>IF(Table1[[#This Row],[CLOSE_PRICE]]&gt;Table1[[#This Row],[OPEN_PRICE]],"Gain","Loss")</f>
        <v>Loss</v>
      </c>
      <c r="O1928" t="str">
        <f>IF(Table1[[#This Row],[MARKET_CAP]]&gt;200000000000,"Large Cap",
IF(Table1[[#This Row],[MARKET_CAP]]&gt;50000000000,"Mid Cap","Small Cap"))</f>
        <v>Mid Cap</v>
      </c>
      <c r="P1928" t="str">
        <f>IF(Table1[[#This Row],[NET_TRDQTY]]&gt;1000000,"High Volume","Low Volume")</f>
        <v>High Volume</v>
      </c>
    </row>
    <row r="1929" spans="1:16" x14ac:dyDescent="0.3">
      <c r="A1929" t="s">
        <v>3861</v>
      </c>
      <c r="B1929" t="s">
        <v>3862</v>
      </c>
      <c r="C1929">
        <v>3140</v>
      </c>
      <c r="D1929">
        <v>3195.9</v>
      </c>
      <c r="E1929">
        <v>3008</v>
      </c>
      <c r="F1929">
        <v>3092.6</v>
      </c>
      <c r="G1929">
        <v>3163.3</v>
      </c>
      <c r="H1929">
        <v>50029</v>
      </c>
      <c r="I1929">
        <v>11449</v>
      </c>
      <c r="J1929">
        <v>233000000000</v>
      </c>
      <c r="K1929">
        <v>75218734</v>
      </c>
      <c r="L1929">
        <f>(Table1[[#This Row],[CLOSE_PRICE]] - Table1[[#This Row],[PREV_CL_PR]]) / Table1[[#This Row],[PREV_CL_PR]] * 100</f>
        <v>-2.2350077450763526</v>
      </c>
      <c r="M1929">
        <f>Table1[[#This Row],[HIGH_PRICE]]-Table1[[#This Row],[LOW_PRICE]]</f>
        <v>187.90000000000009</v>
      </c>
      <c r="N1929" t="str">
        <f>IF(Table1[[#This Row],[CLOSE_PRICE]]&gt;Table1[[#This Row],[OPEN_PRICE]],"Gain","Loss")</f>
        <v>Loss</v>
      </c>
      <c r="O1929" t="str">
        <f>IF(Table1[[#This Row],[MARKET_CAP]]&gt;200000000000,"Large Cap",
IF(Table1[[#This Row],[MARKET_CAP]]&gt;50000000000,"Mid Cap","Small Cap"))</f>
        <v>Large Cap</v>
      </c>
      <c r="P1929" t="str">
        <f>IF(Table1[[#This Row],[NET_TRDQTY]]&gt;1000000,"High Volume","Low Volume")</f>
        <v>Low Volume</v>
      </c>
    </row>
    <row r="1930" spans="1:16" x14ac:dyDescent="0.3">
      <c r="A1930" t="s">
        <v>3863</v>
      </c>
      <c r="B1930" t="s">
        <v>3864</v>
      </c>
      <c r="C1930">
        <v>623.5</v>
      </c>
      <c r="D1930">
        <v>623.95000000000005</v>
      </c>
      <c r="E1930">
        <v>576</v>
      </c>
      <c r="F1930">
        <v>600.35</v>
      </c>
      <c r="G1930">
        <v>626.6</v>
      </c>
      <c r="H1930">
        <v>64663</v>
      </c>
      <c r="I1930">
        <v>4776</v>
      </c>
      <c r="J1930">
        <v>10815759715</v>
      </c>
      <c r="K1930">
        <v>18015757</v>
      </c>
      <c r="L1930">
        <f>(Table1[[#This Row],[CLOSE_PRICE]] - Table1[[#This Row],[PREV_CL_PR]]) / Table1[[#This Row],[PREV_CL_PR]] * 100</f>
        <v>-4.1892754548356201</v>
      </c>
      <c r="M1930">
        <f>Table1[[#This Row],[HIGH_PRICE]]-Table1[[#This Row],[LOW_PRICE]]</f>
        <v>47.950000000000045</v>
      </c>
      <c r="N1930" t="str">
        <f>IF(Table1[[#This Row],[CLOSE_PRICE]]&gt;Table1[[#This Row],[OPEN_PRICE]],"Gain","Loss")</f>
        <v>Loss</v>
      </c>
      <c r="O1930" t="str">
        <f>IF(Table1[[#This Row],[MARKET_CAP]]&gt;200000000000,"Large Cap",
IF(Table1[[#This Row],[MARKET_CAP]]&gt;50000000000,"Mid Cap","Small Cap"))</f>
        <v>Small Cap</v>
      </c>
      <c r="P1930" t="str">
        <f>IF(Table1[[#This Row],[NET_TRDQTY]]&gt;1000000,"High Volume","Low Volume")</f>
        <v>Low Volume</v>
      </c>
    </row>
    <row r="1931" spans="1:16" x14ac:dyDescent="0.3">
      <c r="A1931" t="s">
        <v>3865</v>
      </c>
      <c r="B1931" t="s">
        <v>3866</v>
      </c>
      <c r="C1931">
        <v>314</v>
      </c>
      <c r="D1931">
        <v>314</v>
      </c>
      <c r="E1931">
        <v>280.45</v>
      </c>
      <c r="F1931">
        <v>284.10000000000002</v>
      </c>
      <c r="G1931">
        <v>312.7</v>
      </c>
      <c r="H1931">
        <v>5413</v>
      </c>
      <c r="I1931">
        <v>634</v>
      </c>
      <c r="J1931">
        <v>1228131913</v>
      </c>
      <c r="K1931">
        <v>4322886</v>
      </c>
      <c r="L1931">
        <f>(Table1[[#This Row],[CLOSE_PRICE]] - Table1[[#This Row],[PREV_CL_PR]]) / Table1[[#This Row],[PREV_CL_PR]] * 100</f>
        <v>-9.1461464662615821</v>
      </c>
      <c r="M1931">
        <f>Table1[[#This Row],[HIGH_PRICE]]-Table1[[#This Row],[LOW_PRICE]]</f>
        <v>33.550000000000011</v>
      </c>
      <c r="N1931" t="str">
        <f>IF(Table1[[#This Row],[CLOSE_PRICE]]&gt;Table1[[#This Row],[OPEN_PRICE]],"Gain","Loss")</f>
        <v>Loss</v>
      </c>
      <c r="O1931" t="str">
        <f>IF(Table1[[#This Row],[MARKET_CAP]]&gt;200000000000,"Large Cap",
IF(Table1[[#This Row],[MARKET_CAP]]&gt;50000000000,"Mid Cap","Small Cap"))</f>
        <v>Small Cap</v>
      </c>
      <c r="P1931" t="str">
        <f>IF(Table1[[#This Row],[NET_TRDQTY]]&gt;1000000,"High Volume","Low Volume")</f>
        <v>Low Volume</v>
      </c>
    </row>
    <row r="1932" spans="1:16" x14ac:dyDescent="0.3">
      <c r="A1932" t="s">
        <v>3867</v>
      </c>
      <c r="B1932" t="s">
        <v>3868</v>
      </c>
      <c r="C1932">
        <v>505</v>
      </c>
      <c r="D1932">
        <v>506.1</v>
      </c>
      <c r="E1932">
        <v>491</v>
      </c>
      <c r="F1932">
        <v>492.8</v>
      </c>
      <c r="G1932">
        <v>515.54999999999995</v>
      </c>
      <c r="H1932">
        <v>142283</v>
      </c>
      <c r="I1932">
        <v>5165</v>
      </c>
      <c r="J1932">
        <v>63288623552</v>
      </c>
      <c r="K1932">
        <v>128426590</v>
      </c>
      <c r="L1932">
        <f>(Table1[[#This Row],[CLOSE_PRICE]] - Table1[[#This Row],[PREV_CL_PR]]) / Table1[[#This Row],[PREV_CL_PR]] * 100</f>
        <v>-4.4127630685675383</v>
      </c>
      <c r="M1932">
        <f>Table1[[#This Row],[HIGH_PRICE]]-Table1[[#This Row],[LOW_PRICE]]</f>
        <v>15.100000000000023</v>
      </c>
      <c r="N1932" t="str">
        <f>IF(Table1[[#This Row],[CLOSE_PRICE]]&gt;Table1[[#This Row],[OPEN_PRICE]],"Gain","Loss")</f>
        <v>Loss</v>
      </c>
      <c r="O1932" t="str">
        <f>IF(Table1[[#This Row],[MARKET_CAP]]&gt;200000000000,"Large Cap",
IF(Table1[[#This Row],[MARKET_CAP]]&gt;50000000000,"Mid Cap","Small Cap"))</f>
        <v>Mid Cap</v>
      </c>
      <c r="P1932" t="str">
        <f>IF(Table1[[#This Row],[NET_TRDQTY]]&gt;1000000,"High Volume","Low Volume")</f>
        <v>Low Volume</v>
      </c>
    </row>
    <row r="1933" spans="1:16" x14ac:dyDescent="0.3">
      <c r="A1933" t="s">
        <v>3869</v>
      </c>
      <c r="B1933" t="s">
        <v>3870</v>
      </c>
      <c r="C1933">
        <v>172</v>
      </c>
      <c r="D1933">
        <v>174.5</v>
      </c>
      <c r="E1933">
        <v>163.1</v>
      </c>
      <c r="F1933">
        <v>164.97</v>
      </c>
      <c r="G1933">
        <v>174.37</v>
      </c>
      <c r="H1933">
        <v>406859</v>
      </c>
      <c r="I1933">
        <v>7741</v>
      </c>
      <c r="J1933">
        <v>19574706715</v>
      </c>
      <c r="K1933">
        <v>118656160</v>
      </c>
      <c r="L1933">
        <f>(Table1[[#This Row],[CLOSE_PRICE]] - Table1[[#This Row],[PREV_CL_PR]]) / Table1[[#This Row],[PREV_CL_PR]] * 100</f>
        <v>-5.3908355795148282</v>
      </c>
      <c r="M1933">
        <f>Table1[[#This Row],[HIGH_PRICE]]-Table1[[#This Row],[LOW_PRICE]]</f>
        <v>11.400000000000006</v>
      </c>
      <c r="N1933" t="str">
        <f>IF(Table1[[#This Row],[CLOSE_PRICE]]&gt;Table1[[#This Row],[OPEN_PRICE]],"Gain","Loss")</f>
        <v>Loss</v>
      </c>
      <c r="O1933" t="str">
        <f>IF(Table1[[#This Row],[MARKET_CAP]]&gt;200000000000,"Large Cap",
IF(Table1[[#This Row],[MARKET_CAP]]&gt;50000000000,"Mid Cap","Small Cap"))</f>
        <v>Small Cap</v>
      </c>
      <c r="P1933" t="str">
        <f>IF(Table1[[#This Row],[NET_TRDQTY]]&gt;1000000,"High Volume","Low Volume")</f>
        <v>Low Volume</v>
      </c>
    </row>
    <row r="1934" spans="1:16" x14ac:dyDescent="0.3">
      <c r="A1934" t="s">
        <v>3871</v>
      </c>
      <c r="B1934" t="s">
        <v>3872</v>
      </c>
      <c r="C1934">
        <v>46.26</v>
      </c>
      <c r="D1934">
        <v>46.77</v>
      </c>
      <c r="E1934">
        <v>42.12</v>
      </c>
      <c r="F1934">
        <v>42.85</v>
      </c>
      <c r="G1934">
        <v>46.88</v>
      </c>
      <c r="H1934">
        <v>862582</v>
      </c>
      <c r="I1934">
        <v>4510</v>
      </c>
      <c r="J1934">
        <v>5239698000</v>
      </c>
      <c r="K1934">
        <v>122280000</v>
      </c>
      <c r="L1934">
        <f>(Table1[[#This Row],[CLOSE_PRICE]] - Table1[[#This Row],[PREV_CL_PR]]) / Table1[[#This Row],[PREV_CL_PR]] * 100</f>
        <v>-8.5964163822525617</v>
      </c>
      <c r="M1934">
        <f>Table1[[#This Row],[HIGH_PRICE]]-Table1[[#This Row],[LOW_PRICE]]</f>
        <v>4.6500000000000057</v>
      </c>
      <c r="N1934" t="str">
        <f>IF(Table1[[#This Row],[CLOSE_PRICE]]&gt;Table1[[#This Row],[OPEN_PRICE]],"Gain","Loss")</f>
        <v>Loss</v>
      </c>
      <c r="O1934" t="str">
        <f>IF(Table1[[#This Row],[MARKET_CAP]]&gt;200000000000,"Large Cap",
IF(Table1[[#This Row],[MARKET_CAP]]&gt;50000000000,"Mid Cap","Small Cap"))</f>
        <v>Small Cap</v>
      </c>
      <c r="P1934" t="str">
        <f>IF(Table1[[#This Row],[NET_TRDQTY]]&gt;1000000,"High Volume","Low Volume")</f>
        <v>Low Volume</v>
      </c>
    </row>
    <row r="1935" spans="1:16" x14ac:dyDescent="0.3">
      <c r="A1935" t="s">
        <v>3873</v>
      </c>
      <c r="B1935" t="s">
        <v>3874</v>
      </c>
      <c r="C1935">
        <v>624.95000000000005</v>
      </c>
      <c r="D1935">
        <v>624.95000000000005</v>
      </c>
      <c r="E1935">
        <v>590.45000000000005</v>
      </c>
      <c r="F1935">
        <v>595</v>
      </c>
      <c r="G1935">
        <v>626.35</v>
      </c>
      <c r="H1935">
        <v>790682</v>
      </c>
      <c r="I1935">
        <v>35400</v>
      </c>
      <c r="J1935">
        <v>80130891960</v>
      </c>
      <c r="K1935">
        <v>134673768</v>
      </c>
      <c r="L1935">
        <f>(Table1[[#This Row],[CLOSE_PRICE]] - Table1[[#This Row],[PREV_CL_PR]]) / Table1[[#This Row],[PREV_CL_PR]] * 100</f>
        <v>-5.0051887922088323</v>
      </c>
      <c r="M1935">
        <f>Table1[[#This Row],[HIGH_PRICE]]-Table1[[#This Row],[LOW_PRICE]]</f>
        <v>34.5</v>
      </c>
      <c r="N1935" t="str">
        <f>IF(Table1[[#This Row],[CLOSE_PRICE]]&gt;Table1[[#This Row],[OPEN_PRICE]],"Gain","Loss")</f>
        <v>Loss</v>
      </c>
      <c r="O1935" t="str">
        <f>IF(Table1[[#This Row],[MARKET_CAP]]&gt;200000000000,"Large Cap",
IF(Table1[[#This Row],[MARKET_CAP]]&gt;50000000000,"Mid Cap","Small Cap"))</f>
        <v>Mid Cap</v>
      </c>
      <c r="P1935" t="str">
        <f>IF(Table1[[#This Row],[NET_TRDQTY]]&gt;1000000,"High Volume","Low Volume")</f>
        <v>Low Volume</v>
      </c>
    </row>
    <row r="1936" spans="1:16" x14ac:dyDescent="0.3">
      <c r="A1936" t="s">
        <v>3875</v>
      </c>
      <c r="B1936" t="s">
        <v>3876</v>
      </c>
      <c r="C1936">
        <v>597.70000000000005</v>
      </c>
      <c r="D1936">
        <v>597.70000000000005</v>
      </c>
      <c r="E1936">
        <v>570.04999999999995</v>
      </c>
      <c r="F1936">
        <v>571.75</v>
      </c>
      <c r="G1936">
        <v>599</v>
      </c>
      <c r="H1936">
        <v>220204</v>
      </c>
      <c r="I1936">
        <v>13696</v>
      </c>
      <c r="J1936">
        <v>90537443825</v>
      </c>
      <c r="K1936">
        <v>158351454</v>
      </c>
      <c r="L1936">
        <f>(Table1[[#This Row],[CLOSE_PRICE]] - Table1[[#This Row],[PREV_CL_PR]]) / Table1[[#This Row],[PREV_CL_PR]] * 100</f>
        <v>-4.5492487479131887</v>
      </c>
      <c r="M1936">
        <f>Table1[[#This Row],[HIGH_PRICE]]-Table1[[#This Row],[LOW_PRICE]]</f>
        <v>27.650000000000091</v>
      </c>
      <c r="N1936" t="str">
        <f>IF(Table1[[#This Row],[CLOSE_PRICE]]&gt;Table1[[#This Row],[OPEN_PRICE]],"Gain","Loss")</f>
        <v>Loss</v>
      </c>
      <c r="O1936" t="str">
        <f>IF(Table1[[#This Row],[MARKET_CAP]]&gt;200000000000,"Large Cap",
IF(Table1[[#This Row],[MARKET_CAP]]&gt;50000000000,"Mid Cap","Small Cap"))</f>
        <v>Mid Cap</v>
      </c>
      <c r="P1936" t="str">
        <f>IF(Table1[[#This Row],[NET_TRDQTY]]&gt;1000000,"High Volume","Low Volume")</f>
        <v>Low Volume</v>
      </c>
    </row>
    <row r="1937" spans="1:16" x14ac:dyDescent="0.3">
      <c r="A1937" t="s">
        <v>3877</v>
      </c>
      <c r="B1937" t="s">
        <v>3878</v>
      </c>
      <c r="C1937">
        <v>415.4</v>
      </c>
      <c r="D1937">
        <v>416</v>
      </c>
      <c r="E1937">
        <v>391.8</v>
      </c>
      <c r="F1937">
        <v>394.45</v>
      </c>
      <c r="G1937">
        <v>419.65</v>
      </c>
      <c r="H1937">
        <v>19403533</v>
      </c>
      <c r="I1937">
        <v>379362</v>
      </c>
      <c r="J1937">
        <v>1450000000000</v>
      </c>
      <c r="K1937">
        <v>3682331373</v>
      </c>
      <c r="L1937">
        <f>(Table1[[#This Row],[CLOSE_PRICE]] - Table1[[#This Row],[PREV_CL_PR]]) / Table1[[#This Row],[PREV_CL_PR]] * 100</f>
        <v>-6.0050041701417829</v>
      </c>
      <c r="M1937">
        <f>Table1[[#This Row],[HIGH_PRICE]]-Table1[[#This Row],[LOW_PRICE]]</f>
        <v>24.199999999999989</v>
      </c>
      <c r="N1937" t="str">
        <f>IF(Table1[[#This Row],[CLOSE_PRICE]]&gt;Table1[[#This Row],[OPEN_PRICE]],"Gain","Loss")</f>
        <v>Loss</v>
      </c>
      <c r="O1937" t="str">
        <f>IF(Table1[[#This Row],[MARKET_CAP]]&gt;200000000000,"Large Cap",
IF(Table1[[#This Row],[MARKET_CAP]]&gt;50000000000,"Mid Cap","Small Cap"))</f>
        <v>Large Cap</v>
      </c>
      <c r="P1937" t="str">
        <f>IF(Table1[[#This Row],[NET_TRDQTY]]&gt;1000000,"High Volume","Low Volume")</f>
        <v>High Volume</v>
      </c>
    </row>
    <row r="1938" spans="1:16" x14ac:dyDescent="0.3">
      <c r="A1938" t="s">
        <v>3879</v>
      </c>
      <c r="B1938" t="s">
        <v>3880</v>
      </c>
      <c r="C1938">
        <v>80.709999999999994</v>
      </c>
      <c r="D1938">
        <v>82.09</v>
      </c>
      <c r="E1938">
        <v>79.150000000000006</v>
      </c>
      <c r="F1938">
        <v>79.900000000000006</v>
      </c>
      <c r="G1938">
        <v>82.13</v>
      </c>
      <c r="H1938">
        <v>252511</v>
      </c>
      <c r="I1938">
        <v>2509</v>
      </c>
      <c r="J1938">
        <v>7188720773</v>
      </c>
      <c r="K1938">
        <v>89971474</v>
      </c>
      <c r="L1938">
        <f>(Table1[[#This Row],[CLOSE_PRICE]] - Table1[[#This Row],[PREV_CL_PR]]) / Table1[[#This Row],[PREV_CL_PR]] * 100</f>
        <v>-2.715207597710934</v>
      </c>
      <c r="M1938">
        <f>Table1[[#This Row],[HIGH_PRICE]]-Table1[[#This Row],[LOW_PRICE]]</f>
        <v>2.9399999999999977</v>
      </c>
      <c r="N1938" t="str">
        <f>IF(Table1[[#This Row],[CLOSE_PRICE]]&gt;Table1[[#This Row],[OPEN_PRICE]],"Gain","Loss")</f>
        <v>Loss</v>
      </c>
      <c r="O1938" t="str">
        <f>IF(Table1[[#This Row],[MARKET_CAP]]&gt;200000000000,"Large Cap",
IF(Table1[[#This Row],[MARKET_CAP]]&gt;50000000000,"Mid Cap","Small Cap"))</f>
        <v>Small Cap</v>
      </c>
      <c r="P1938" t="str">
        <f>IF(Table1[[#This Row],[NET_TRDQTY]]&gt;1000000,"High Volume","Low Volume")</f>
        <v>Low Volume</v>
      </c>
    </row>
    <row r="1939" spans="1:16" x14ac:dyDescent="0.3">
      <c r="A1939" t="s">
        <v>3881</v>
      </c>
      <c r="B1939" t="s">
        <v>3882</v>
      </c>
      <c r="C1939">
        <v>128</v>
      </c>
      <c r="D1939">
        <v>130.9</v>
      </c>
      <c r="E1939">
        <v>123.32</v>
      </c>
      <c r="F1939">
        <v>128.33000000000001</v>
      </c>
      <c r="G1939">
        <v>130.29</v>
      </c>
      <c r="H1939">
        <v>198669</v>
      </c>
      <c r="I1939">
        <v>3867</v>
      </c>
      <c r="J1939">
        <v>8881796298</v>
      </c>
      <c r="K1939">
        <v>69210600</v>
      </c>
      <c r="L1939">
        <f>(Table1[[#This Row],[CLOSE_PRICE]] - Table1[[#This Row],[PREV_CL_PR]]) / Table1[[#This Row],[PREV_CL_PR]] * 100</f>
        <v>-1.5043364801596282</v>
      </c>
      <c r="M1939">
        <f>Table1[[#This Row],[HIGH_PRICE]]-Table1[[#This Row],[LOW_PRICE]]</f>
        <v>7.5800000000000125</v>
      </c>
      <c r="N1939" t="str">
        <f>IF(Table1[[#This Row],[CLOSE_PRICE]]&gt;Table1[[#This Row],[OPEN_PRICE]],"Gain","Loss")</f>
        <v>Gain</v>
      </c>
      <c r="O1939" t="str">
        <f>IF(Table1[[#This Row],[MARKET_CAP]]&gt;200000000000,"Large Cap",
IF(Table1[[#This Row],[MARKET_CAP]]&gt;50000000000,"Mid Cap","Small Cap"))</f>
        <v>Small Cap</v>
      </c>
      <c r="P1939" t="str">
        <f>IF(Table1[[#This Row],[NET_TRDQTY]]&gt;1000000,"High Volume","Low Volume")</f>
        <v>Low Volume</v>
      </c>
    </row>
    <row r="1940" spans="1:16" x14ac:dyDescent="0.3">
      <c r="A1940" t="s">
        <v>3883</v>
      </c>
      <c r="B1940" t="s">
        <v>3884</v>
      </c>
      <c r="C1940">
        <v>9.11</v>
      </c>
      <c r="D1940">
        <v>9.4700000000000006</v>
      </c>
      <c r="E1940">
        <v>8.41</v>
      </c>
      <c r="F1940">
        <v>8.5299999999999994</v>
      </c>
      <c r="G1940">
        <v>9.11</v>
      </c>
      <c r="H1940">
        <v>23530</v>
      </c>
      <c r="I1940">
        <v>104</v>
      </c>
      <c r="J1940">
        <v>389577042</v>
      </c>
      <c r="K1940">
        <v>45671400</v>
      </c>
      <c r="L1940">
        <f>(Table1[[#This Row],[CLOSE_PRICE]] - Table1[[#This Row],[PREV_CL_PR]]) / Table1[[#This Row],[PREV_CL_PR]] * 100</f>
        <v>-6.3666300768386401</v>
      </c>
      <c r="M1940">
        <f>Table1[[#This Row],[HIGH_PRICE]]-Table1[[#This Row],[LOW_PRICE]]</f>
        <v>1.0600000000000005</v>
      </c>
      <c r="N1940" t="str">
        <f>IF(Table1[[#This Row],[CLOSE_PRICE]]&gt;Table1[[#This Row],[OPEN_PRICE]],"Gain","Loss")</f>
        <v>Loss</v>
      </c>
      <c r="O1940" t="str">
        <f>IF(Table1[[#This Row],[MARKET_CAP]]&gt;200000000000,"Large Cap",
IF(Table1[[#This Row],[MARKET_CAP]]&gt;50000000000,"Mid Cap","Small Cap"))</f>
        <v>Small Cap</v>
      </c>
      <c r="P1940" t="str">
        <f>IF(Table1[[#This Row],[NET_TRDQTY]]&gt;1000000,"High Volume","Low Volume")</f>
        <v>Low Volume</v>
      </c>
    </row>
    <row r="1941" spans="1:16" x14ac:dyDescent="0.3">
      <c r="A1941" t="s">
        <v>3885</v>
      </c>
      <c r="B1941" t="s">
        <v>3886</v>
      </c>
      <c r="C1941">
        <v>67.3</v>
      </c>
      <c r="D1941">
        <v>71.489999999999995</v>
      </c>
      <c r="E1941">
        <v>65.8</v>
      </c>
      <c r="F1941">
        <v>66.98</v>
      </c>
      <c r="G1941">
        <v>69.94</v>
      </c>
      <c r="H1941">
        <v>5403</v>
      </c>
      <c r="I1941">
        <v>155</v>
      </c>
      <c r="J1941">
        <v>636403772</v>
      </c>
      <c r="K1941">
        <v>9501400</v>
      </c>
      <c r="L1941">
        <f>(Table1[[#This Row],[CLOSE_PRICE]] - Table1[[#This Row],[PREV_CL_PR]]) / Table1[[#This Row],[PREV_CL_PR]] * 100</f>
        <v>-4.2321990277380523</v>
      </c>
      <c r="M1941">
        <f>Table1[[#This Row],[HIGH_PRICE]]-Table1[[#This Row],[LOW_PRICE]]</f>
        <v>5.6899999999999977</v>
      </c>
      <c r="N1941" t="str">
        <f>IF(Table1[[#This Row],[CLOSE_PRICE]]&gt;Table1[[#This Row],[OPEN_PRICE]],"Gain","Loss")</f>
        <v>Loss</v>
      </c>
      <c r="O1941" t="str">
        <f>IF(Table1[[#This Row],[MARKET_CAP]]&gt;200000000000,"Large Cap",
IF(Table1[[#This Row],[MARKET_CAP]]&gt;50000000000,"Mid Cap","Small Cap"))</f>
        <v>Small Cap</v>
      </c>
      <c r="P1941" t="str">
        <f>IF(Table1[[#This Row],[NET_TRDQTY]]&gt;1000000,"High Volume","Low Volume")</f>
        <v>Low Volume</v>
      </c>
    </row>
    <row r="1942" spans="1:16" x14ac:dyDescent="0.3">
      <c r="A1942" t="s">
        <v>3887</v>
      </c>
      <c r="B1942" t="s">
        <v>3888</v>
      </c>
      <c r="C1942">
        <v>98.63</v>
      </c>
      <c r="D1942">
        <v>99.96</v>
      </c>
      <c r="E1942">
        <v>90.1</v>
      </c>
      <c r="F1942">
        <v>92.92</v>
      </c>
      <c r="G1942">
        <v>98.63</v>
      </c>
      <c r="H1942">
        <v>177827</v>
      </c>
      <c r="I1942">
        <v>3037</v>
      </c>
      <c r="J1942">
        <v>3671160577</v>
      </c>
      <c r="K1942">
        <v>39508831</v>
      </c>
      <c r="L1942">
        <f>(Table1[[#This Row],[CLOSE_PRICE]] - Table1[[#This Row],[PREV_CL_PR]]) / Table1[[#This Row],[PREV_CL_PR]] * 100</f>
        <v>-5.7893135962688778</v>
      </c>
      <c r="M1942">
        <f>Table1[[#This Row],[HIGH_PRICE]]-Table1[[#This Row],[LOW_PRICE]]</f>
        <v>9.86</v>
      </c>
      <c r="N1942" t="str">
        <f>IF(Table1[[#This Row],[CLOSE_PRICE]]&gt;Table1[[#This Row],[OPEN_PRICE]],"Gain","Loss")</f>
        <v>Loss</v>
      </c>
      <c r="O1942" t="str">
        <f>IF(Table1[[#This Row],[MARKET_CAP]]&gt;200000000000,"Large Cap",
IF(Table1[[#This Row],[MARKET_CAP]]&gt;50000000000,"Mid Cap","Small Cap"))</f>
        <v>Small Cap</v>
      </c>
      <c r="P1942" t="str">
        <f>IF(Table1[[#This Row],[NET_TRDQTY]]&gt;1000000,"High Volume","Low Volume")</f>
        <v>Low Volume</v>
      </c>
    </row>
    <row r="1943" spans="1:16" x14ac:dyDescent="0.3">
      <c r="A1943" t="s">
        <v>3889</v>
      </c>
      <c r="B1943" t="s">
        <v>3890</v>
      </c>
      <c r="C1943">
        <v>1438.5</v>
      </c>
      <c r="D1943">
        <v>1440.4</v>
      </c>
      <c r="E1943">
        <v>1357.7</v>
      </c>
      <c r="F1943">
        <v>1362.8</v>
      </c>
      <c r="G1943">
        <v>1450.7</v>
      </c>
      <c r="H1943">
        <v>336557</v>
      </c>
      <c r="I1943">
        <v>24417</v>
      </c>
      <c r="J1943">
        <v>687000000000</v>
      </c>
      <c r="K1943">
        <v>503903543</v>
      </c>
      <c r="L1943">
        <f>(Table1[[#This Row],[CLOSE_PRICE]] - Table1[[#This Row],[PREV_CL_PR]]) / Table1[[#This Row],[PREV_CL_PR]] * 100</f>
        <v>-6.0591438615840687</v>
      </c>
      <c r="M1943">
        <f>Table1[[#This Row],[HIGH_PRICE]]-Table1[[#This Row],[LOW_PRICE]]</f>
        <v>82.700000000000045</v>
      </c>
      <c r="N1943" t="str">
        <f>IF(Table1[[#This Row],[CLOSE_PRICE]]&gt;Table1[[#This Row],[OPEN_PRICE]],"Gain","Loss")</f>
        <v>Loss</v>
      </c>
      <c r="O1943" t="str">
        <f>IF(Table1[[#This Row],[MARKET_CAP]]&gt;200000000000,"Large Cap",
IF(Table1[[#This Row],[MARKET_CAP]]&gt;50000000000,"Mid Cap","Small Cap"))</f>
        <v>Large Cap</v>
      </c>
      <c r="P1943" t="str">
        <f>IF(Table1[[#This Row],[NET_TRDQTY]]&gt;1000000,"High Volume","Low Volume")</f>
        <v>Low Volume</v>
      </c>
    </row>
    <row r="1944" spans="1:16" x14ac:dyDescent="0.3">
      <c r="A1944" t="s">
        <v>3891</v>
      </c>
      <c r="B1944" t="s">
        <v>3892</v>
      </c>
      <c r="C1944">
        <v>52.86</v>
      </c>
      <c r="D1944">
        <v>53.99</v>
      </c>
      <c r="E1944">
        <v>49.16</v>
      </c>
      <c r="F1944">
        <v>49.99</v>
      </c>
      <c r="G1944">
        <v>51.99</v>
      </c>
      <c r="H1944">
        <v>15149</v>
      </c>
      <c r="I1944">
        <v>156</v>
      </c>
      <c r="J1944">
        <v>806187380.29999995</v>
      </c>
      <c r="K1944">
        <v>16126973</v>
      </c>
      <c r="L1944">
        <f>(Table1[[#This Row],[CLOSE_PRICE]] - Table1[[#This Row],[PREV_CL_PR]]) / Table1[[#This Row],[PREV_CL_PR]] * 100</f>
        <v>-3.8468936333910366</v>
      </c>
      <c r="M1944">
        <f>Table1[[#This Row],[HIGH_PRICE]]-Table1[[#This Row],[LOW_PRICE]]</f>
        <v>4.8300000000000054</v>
      </c>
      <c r="N1944" t="str">
        <f>IF(Table1[[#This Row],[CLOSE_PRICE]]&gt;Table1[[#This Row],[OPEN_PRICE]],"Gain","Loss")</f>
        <v>Loss</v>
      </c>
      <c r="O1944" t="str">
        <f>IF(Table1[[#This Row],[MARKET_CAP]]&gt;200000000000,"Large Cap",
IF(Table1[[#This Row],[MARKET_CAP]]&gt;50000000000,"Mid Cap","Small Cap"))</f>
        <v>Small Cap</v>
      </c>
      <c r="P1944" t="str">
        <f>IF(Table1[[#This Row],[NET_TRDQTY]]&gt;1000000,"High Volume","Low Volume")</f>
        <v>Low Volume</v>
      </c>
    </row>
    <row r="1945" spans="1:16" x14ac:dyDescent="0.3">
      <c r="A1945" t="s">
        <v>3893</v>
      </c>
      <c r="B1945" t="s">
        <v>3894</v>
      </c>
      <c r="C1945">
        <v>71.98</v>
      </c>
      <c r="D1945">
        <v>71.98</v>
      </c>
      <c r="E1945">
        <v>64.02</v>
      </c>
      <c r="F1945">
        <v>67.819999999999993</v>
      </c>
      <c r="G1945">
        <v>68.37</v>
      </c>
      <c r="H1945">
        <v>2188</v>
      </c>
      <c r="I1945">
        <v>121</v>
      </c>
      <c r="J1945">
        <v>751530035.89999998</v>
      </c>
      <c r="K1945">
        <v>11081245</v>
      </c>
      <c r="L1945">
        <f>(Table1[[#This Row],[CLOSE_PRICE]] - Table1[[#This Row],[PREV_CL_PR]]) / Table1[[#This Row],[PREV_CL_PR]] * 100</f>
        <v>-0.80444639461753875</v>
      </c>
      <c r="M1945">
        <f>Table1[[#This Row],[HIGH_PRICE]]-Table1[[#This Row],[LOW_PRICE]]</f>
        <v>7.960000000000008</v>
      </c>
      <c r="N1945" t="str">
        <f>IF(Table1[[#This Row],[CLOSE_PRICE]]&gt;Table1[[#This Row],[OPEN_PRICE]],"Gain","Loss")</f>
        <v>Loss</v>
      </c>
      <c r="O1945" t="str">
        <f>IF(Table1[[#This Row],[MARKET_CAP]]&gt;200000000000,"Large Cap",
IF(Table1[[#This Row],[MARKET_CAP]]&gt;50000000000,"Mid Cap","Small Cap"))</f>
        <v>Small Cap</v>
      </c>
      <c r="P1945" t="str">
        <f>IF(Table1[[#This Row],[NET_TRDQTY]]&gt;1000000,"High Volume","Low Volume")</f>
        <v>Low Volume</v>
      </c>
    </row>
    <row r="1946" spans="1:16" x14ac:dyDescent="0.3">
      <c r="A1946" t="s">
        <v>3895</v>
      </c>
      <c r="B1946" t="s">
        <v>3896</v>
      </c>
      <c r="C1946">
        <v>0.49</v>
      </c>
      <c r="D1946">
        <v>0.51</v>
      </c>
      <c r="E1946">
        <v>0.47</v>
      </c>
      <c r="F1946">
        <v>0.47</v>
      </c>
      <c r="G1946">
        <v>0.49</v>
      </c>
      <c r="H1946">
        <v>3219526</v>
      </c>
      <c r="I1946">
        <v>792</v>
      </c>
      <c r="J1946">
        <v>515223212</v>
      </c>
      <c r="K1946">
        <v>1096219600</v>
      </c>
      <c r="L1946">
        <f>(Table1[[#This Row],[CLOSE_PRICE]] - Table1[[#This Row],[PREV_CL_PR]]) / Table1[[#This Row],[PREV_CL_PR]] * 100</f>
        <v>-4.0816326530612281</v>
      </c>
      <c r="M1946">
        <f>Table1[[#This Row],[HIGH_PRICE]]-Table1[[#This Row],[LOW_PRICE]]</f>
        <v>4.0000000000000036E-2</v>
      </c>
      <c r="N1946" t="str">
        <f>IF(Table1[[#This Row],[CLOSE_PRICE]]&gt;Table1[[#This Row],[OPEN_PRICE]],"Gain","Loss")</f>
        <v>Loss</v>
      </c>
      <c r="O1946" t="str">
        <f>IF(Table1[[#This Row],[MARKET_CAP]]&gt;200000000000,"Large Cap",
IF(Table1[[#This Row],[MARKET_CAP]]&gt;50000000000,"Mid Cap","Small Cap"))</f>
        <v>Small Cap</v>
      </c>
      <c r="P1946" t="str">
        <f>IF(Table1[[#This Row],[NET_TRDQTY]]&gt;1000000,"High Volume","Low Volume")</f>
        <v>High Volume</v>
      </c>
    </row>
    <row r="1947" spans="1:16" x14ac:dyDescent="0.3">
      <c r="A1947" t="s">
        <v>3897</v>
      </c>
      <c r="B1947" t="s">
        <v>3898</v>
      </c>
      <c r="C1947">
        <v>60</v>
      </c>
      <c r="D1947">
        <v>60</v>
      </c>
      <c r="E1947">
        <v>56.25</v>
      </c>
      <c r="F1947">
        <v>56.87</v>
      </c>
      <c r="G1947">
        <v>60.87</v>
      </c>
      <c r="H1947">
        <v>129948</v>
      </c>
      <c r="I1947">
        <v>1533</v>
      </c>
      <c r="J1947">
        <v>4436030610</v>
      </c>
      <c r="K1947">
        <v>78003000</v>
      </c>
      <c r="L1947">
        <f>(Table1[[#This Row],[CLOSE_PRICE]] - Table1[[#This Row],[PREV_CL_PR]]) / Table1[[#This Row],[PREV_CL_PR]] * 100</f>
        <v>-6.5713816329883361</v>
      </c>
      <c r="M1947">
        <f>Table1[[#This Row],[HIGH_PRICE]]-Table1[[#This Row],[LOW_PRICE]]</f>
        <v>3.75</v>
      </c>
      <c r="N1947" t="str">
        <f>IF(Table1[[#This Row],[CLOSE_PRICE]]&gt;Table1[[#This Row],[OPEN_PRICE]],"Gain","Loss")</f>
        <v>Loss</v>
      </c>
      <c r="O1947" t="str">
        <f>IF(Table1[[#This Row],[MARKET_CAP]]&gt;200000000000,"Large Cap",
IF(Table1[[#This Row],[MARKET_CAP]]&gt;50000000000,"Mid Cap","Small Cap"))</f>
        <v>Small Cap</v>
      </c>
      <c r="P1947" t="str">
        <f>IF(Table1[[#This Row],[NET_TRDQTY]]&gt;1000000,"High Volume","Low Volume")</f>
        <v>Low Volume</v>
      </c>
    </row>
    <row r="1948" spans="1:16" x14ac:dyDescent="0.3">
      <c r="A1948" t="s">
        <v>3899</v>
      </c>
      <c r="B1948" t="s">
        <v>3900</v>
      </c>
      <c r="C1948">
        <v>31.16</v>
      </c>
      <c r="D1948">
        <v>31.8</v>
      </c>
      <c r="E1948">
        <v>29.8</v>
      </c>
      <c r="F1948">
        <v>30.17</v>
      </c>
      <c r="G1948">
        <v>32.14</v>
      </c>
      <c r="H1948">
        <v>236172</v>
      </c>
      <c r="I1948">
        <v>2327</v>
      </c>
      <c r="J1948">
        <v>3216052307</v>
      </c>
      <c r="K1948">
        <v>106597690</v>
      </c>
      <c r="L1948">
        <f>(Table1[[#This Row],[CLOSE_PRICE]] - Table1[[#This Row],[PREV_CL_PR]]) / Table1[[#This Row],[PREV_CL_PR]] * 100</f>
        <v>-6.1294337274424358</v>
      </c>
      <c r="M1948">
        <f>Table1[[#This Row],[HIGH_PRICE]]-Table1[[#This Row],[LOW_PRICE]]</f>
        <v>2</v>
      </c>
      <c r="N1948" t="str">
        <f>IF(Table1[[#This Row],[CLOSE_PRICE]]&gt;Table1[[#This Row],[OPEN_PRICE]],"Gain","Loss")</f>
        <v>Loss</v>
      </c>
      <c r="O1948" t="str">
        <f>IF(Table1[[#This Row],[MARKET_CAP]]&gt;200000000000,"Large Cap",
IF(Table1[[#This Row],[MARKET_CAP]]&gt;50000000000,"Mid Cap","Small Cap"))</f>
        <v>Small Cap</v>
      </c>
      <c r="P1948" t="str">
        <f>IF(Table1[[#This Row],[NET_TRDQTY]]&gt;1000000,"High Volume","Low Volume")</f>
        <v>Low Volume</v>
      </c>
    </row>
    <row r="1949" spans="1:16" x14ac:dyDescent="0.3">
      <c r="A1949" t="s">
        <v>3901</v>
      </c>
      <c r="B1949" t="s">
        <v>3902</v>
      </c>
      <c r="C1949">
        <v>492</v>
      </c>
      <c r="D1949">
        <v>494.1</v>
      </c>
      <c r="E1949">
        <v>481.5</v>
      </c>
      <c r="F1949">
        <v>486.65</v>
      </c>
      <c r="G1949">
        <v>500.4</v>
      </c>
      <c r="H1949">
        <v>752834</v>
      </c>
      <c r="I1949">
        <v>18369</v>
      </c>
      <c r="J1949">
        <v>65335694566</v>
      </c>
      <c r="K1949">
        <v>134256025</v>
      </c>
      <c r="L1949">
        <f>(Table1[[#This Row],[CLOSE_PRICE]] - Table1[[#This Row],[PREV_CL_PR]]) / Table1[[#This Row],[PREV_CL_PR]] * 100</f>
        <v>-2.7478017585931256</v>
      </c>
      <c r="M1949">
        <f>Table1[[#This Row],[HIGH_PRICE]]-Table1[[#This Row],[LOW_PRICE]]</f>
        <v>12.600000000000023</v>
      </c>
      <c r="N1949" t="str">
        <f>IF(Table1[[#This Row],[CLOSE_PRICE]]&gt;Table1[[#This Row],[OPEN_PRICE]],"Gain","Loss")</f>
        <v>Loss</v>
      </c>
      <c r="O1949" t="str">
        <f>IF(Table1[[#This Row],[MARKET_CAP]]&gt;200000000000,"Large Cap",
IF(Table1[[#This Row],[MARKET_CAP]]&gt;50000000000,"Mid Cap","Small Cap"))</f>
        <v>Mid Cap</v>
      </c>
      <c r="P1949" t="str">
        <f>IF(Table1[[#This Row],[NET_TRDQTY]]&gt;1000000,"High Volume","Low Volume")</f>
        <v>Low Volume</v>
      </c>
    </row>
    <row r="1950" spans="1:16" x14ac:dyDescent="0.3">
      <c r="A1950" t="s">
        <v>3903</v>
      </c>
      <c r="B1950" t="s">
        <v>3904</v>
      </c>
      <c r="C1950">
        <v>135.19999999999999</v>
      </c>
      <c r="D1950">
        <v>135.19999999999999</v>
      </c>
      <c r="E1950">
        <v>128</v>
      </c>
      <c r="F1950">
        <v>130.22999999999999</v>
      </c>
      <c r="G1950">
        <v>135.19999999999999</v>
      </c>
      <c r="H1950">
        <v>48031</v>
      </c>
      <c r="I1950">
        <v>1849</v>
      </c>
      <c r="J1950">
        <v>2859529523</v>
      </c>
      <c r="K1950">
        <v>21957533</v>
      </c>
      <c r="L1950">
        <f>(Table1[[#This Row],[CLOSE_PRICE]] - Table1[[#This Row],[PREV_CL_PR]]) / Table1[[#This Row],[PREV_CL_PR]] * 100</f>
        <v>-3.6760355029585794</v>
      </c>
      <c r="M1950">
        <f>Table1[[#This Row],[HIGH_PRICE]]-Table1[[#This Row],[LOW_PRICE]]</f>
        <v>7.1999999999999886</v>
      </c>
      <c r="N1950" t="str">
        <f>IF(Table1[[#This Row],[CLOSE_PRICE]]&gt;Table1[[#This Row],[OPEN_PRICE]],"Gain","Loss")</f>
        <v>Loss</v>
      </c>
      <c r="O1950" t="str">
        <f>IF(Table1[[#This Row],[MARKET_CAP]]&gt;200000000000,"Large Cap",
IF(Table1[[#This Row],[MARKET_CAP]]&gt;50000000000,"Mid Cap","Small Cap"))</f>
        <v>Small Cap</v>
      </c>
      <c r="P1950" t="str">
        <f>IF(Table1[[#This Row],[NET_TRDQTY]]&gt;1000000,"High Volume","Low Volume")</f>
        <v>Low Volume</v>
      </c>
    </row>
    <row r="1951" spans="1:16" x14ac:dyDescent="0.3">
      <c r="A1951" t="s">
        <v>3905</v>
      </c>
      <c r="B1951" t="s">
        <v>3906</v>
      </c>
      <c r="C1951">
        <v>1115</v>
      </c>
      <c r="D1951">
        <v>1118</v>
      </c>
      <c r="E1951">
        <v>1089.0999999999999</v>
      </c>
      <c r="F1951">
        <v>1099.2</v>
      </c>
      <c r="G1951">
        <v>1118.3</v>
      </c>
      <c r="H1951">
        <v>159866</v>
      </c>
      <c r="I1951">
        <v>6412</v>
      </c>
      <c r="J1951">
        <v>145000000000</v>
      </c>
      <c r="K1951">
        <v>131679484</v>
      </c>
      <c r="L1951">
        <f>(Table1[[#This Row],[CLOSE_PRICE]] - Table1[[#This Row],[PREV_CL_PR]]) / Table1[[#This Row],[PREV_CL_PR]] * 100</f>
        <v>-1.707949566305992</v>
      </c>
      <c r="M1951">
        <f>Table1[[#This Row],[HIGH_PRICE]]-Table1[[#This Row],[LOW_PRICE]]</f>
        <v>28.900000000000091</v>
      </c>
      <c r="N1951" t="str">
        <f>IF(Table1[[#This Row],[CLOSE_PRICE]]&gt;Table1[[#This Row],[OPEN_PRICE]],"Gain","Loss")</f>
        <v>Loss</v>
      </c>
      <c r="O1951" t="str">
        <f>IF(Table1[[#This Row],[MARKET_CAP]]&gt;200000000000,"Large Cap",
IF(Table1[[#This Row],[MARKET_CAP]]&gt;50000000000,"Mid Cap","Small Cap"))</f>
        <v>Mid Cap</v>
      </c>
      <c r="P1951" t="str">
        <f>IF(Table1[[#This Row],[NET_TRDQTY]]&gt;1000000,"High Volume","Low Volume")</f>
        <v>Low Volume</v>
      </c>
    </row>
    <row r="1952" spans="1:16" x14ac:dyDescent="0.3">
      <c r="A1952" t="s">
        <v>3907</v>
      </c>
      <c r="B1952" t="s">
        <v>3908</v>
      </c>
      <c r="C1952">
        <v>167.99</v>
      </c>
      <c r="D1952">
        <v>167.99</v>
      </c>
      <c r="E1952">
        <v>158.05000000000001</v>
      </c>
      <c r="F1952">
        <v>159.9</v>
      </c>
      <c r="G1952">
        <v>165.67</v>
      </c>
      <c r="H1952">
        <v>39868</v>
      </c>
      <c r="I1952">
        <v>763</v>
      </c>
      <c r="J1952">
        <v>3758552156</v>
      </c>
      <c r="K1952">
        <v>23505642</v>
      </c>
      <c r="L1952">
        <f>(Table1[[#This Row],[CLOSE_PRICE]] - Table1[[#This Row],[PREV_CL_PR]]) / Table1[[#This Row],[PREV_CL_PR]] * 100</f>
        <v>-3.482827307297629</v>
      </c>
      <c r="M1952">
        <f>Table1[[#This Row],[HIGH_PRICE]]-Table1[[#This Row],[LOW_PRICE]]</f>
        <v>9.9399999999999977</v>
      </c>
      <c r="N1952" t="str">
        <f>IF(Table1[[#This Row],[CLOSE_PRICE]]&gt;Table1[[#This Row],[OPEN_PRICE]],"Gain","Loss")</f>
        <v>Loss</v>
      </c>
      <c r="O1952" t="str">
        <f>IF(Table1[[#This Row],[MARKET_CAP]]&gt;200000000000,"Large Cap",
IF(Table1[[#This Row],[MARKET_CAP]]&gt;50000000000,"Mid Cap","Small Cap"))</f>
        <v>Small Cap</v>
      </c>
      <c r="P1952" t="str">
        <f>IF(Table1[[#This Row],[NET_TRDQTY]]&gt;1000000,"High Volume","Low Volume")</f>
        <v>Low Volume</v>
      </c>
    </row>
    <row r="1953" spans="1:16" x14ac:dyDescent="0.3">
      <c r="A1953" t="s">
        <v>3909</v>
      </c>
      <c r="B1953" t="s">
        <v>3910</v>
      </c>
      <c r="C1953">
        <v>24.52</v>
      </c>
      <c r="D1953">
        <v>25.2</v>
      </c>
      <c r="E1953">
        <v>23.86</v>
      </c>
      <c r="F1953">
        <v>24.3</v>
      </c>
      <c r="G1953">
        <v>25.21</v>
      </c>
      <c r="H1953">
        <v>204558</v>
      </c>
      <c r="I1953">
        <v>1076</v>
      </c>
      <c r="J1953">
        <v>5970401233</v>
      </c>
      <c r="K1953">
        <v>245695524</v>
      </c>
      <c r="L1953">
        <f>(Table1[[#This Row],[CLOSE_PRICE]] - Table1[[#This Row],[PREV_CL_PR]]) / Table1[[#This Row],[PREV_CL_PR]] * 100</f>
        <v>-3.6096786989289966</v>
      </c>
      <c r="M1953">
        <f>Table1[[#This Row],[HIGH_PRICE]]-Table1[[#This Row],[LOW_PRICE]]</f>
        <v>1.3399999999999999</v>
      </c>
      <c r="N1953" t="str">
        <f>IF(Table1[[#This Row],[CLOSE_PRICE]]&gt;Table1[[#This Row],[OPEN_PRICE]],"Gain","Loss")</f>
        <v>Loss</v>
      </c>
      <c r="O1953" t="str">
        <f>IF(Table1[[#This Row],[MARKET_CAP]]&gt;200000000000,"Large Cap",
IF(Table1[[#This Row],[MARKET_CAP]]&gt;50000000000,"Mid Cap","Small Cap"))</f>
        <v>Small Cap</v>
      </c>
      <c r="P1953" t="str">
        <f>IF(Table1[[#This Row],[NET_TRDQTY]]&gt;1000000,"High Volume","Low Volume")</f>
        <v>Low Volume</v>
      </c>
    </row>
    <row r="1954" spans="1:16" x14ac:dyDescent="0.3">
      <c r="A1954" t="s">
        <v>3911</v>
      </c>
      <c r="B1954" t="s">
        <v>3912</v>
      </c>
      <c r="C1954">
        <v>230.3</v>
      </c>
      <c r="D1954">
        <v>240</v>
      </c>
      <c r="E1954">
        <v>220.3</v>
      </c>
      <c r="F1954">
        <v>224.2</v>
      </c>
      <c r="G1954">
        <v>230.45</v>
      </c>
      <c r="H1954">
        <v>71586</v>
      </c>
      <c r="I1954">
        <v>762</v>
      </c>
      <c r="J1954">
        <v>2467189170</v>
      </c>
      <c r="K1954">
        <v>11004412</v>
      </c>
      <c r="L1954">
        <f>(Table1[[#This Row],[CLOSE_PRICE]] - Table1[[#This Row],[PREV_CL_PR]]) / Table1[[#This Row],[PREV_CL_PR]] * 100</f>
        <v>-2.712085050987199</v>
      </c>
      <c r="M1954">
        <f>Table1[[#This Row],[HIGH_PRICE]]-Table1[[#This Row],[LOW_PRICE]]</f>
        <v>19.699999999999989</v>
      </c>
      <c r="N1954" t="str">
        <f>IF(Table1[[#This Row],[CLOSE_PRICE]]&gt;Table1[[#This Row],[OPEN_PRICE]],"Gain","Loss")</f>
        <v>Loss</v>
      </c>
      <c r="O1954" t="str">
        <f>IF(Table1[[#This Row],[MARKET_CAP]]&gt;200000000000,"Large Cap",
IF(Table1[[#This Row],[MARKET_CAP]]&gt;50000000000,"Mid Cap","Small Cap"))</f>
        <v>Small Cap</v>
      </c>
      <c r="P1954" t="str">
        <f>IF(Table1[[#This Row],[NET_TRDQTY]]&gt;1000000,"High Volume","Low Volume")</f>
        <v>Low Volume</v>
      </c>
    </row>
    <row r="1955" spans="1:16" x14ac:dyDescent="0.3">
      <c r="A1955" t="s">
        <v>3913</v>
      </c>
      <c r="B1955" t="s">
        <v>3914</v>
      </c>
      <c r="C1955">
        <v>23.6</v>
      </c>
      <c r="D1955">
        <v>25.79</v>
      </c>
      <c r="E1955">
        <v>23.01</v>
      </c>
      <c r="F1955">
        <v>25.05</v>
      </c>
      <c r="G1955">
        <v>24.25</v>
      </c>
      <c r="H1955">
        <v>46340575</v>
      </c>
      <c r="I1955">
        <v>75726</v>
      </c>
      <c r="J1955">
        <v>128000000000</v>
      </c>
      <c r="K1955">
        <v>5095955670</v>
      </c>
      <c r="L1955">
        <f>(Table1[[#This Row],[CLOSE_PRICE]] - Table1[[#This Row],[PREV_CL_PR]]) / Table1[[#This Row],[PREV_CL_PR]] * 100</f>
        <v>3.2989690721649514</v>
      </c>
      <c r="M1955">
        <f>Table1[[#This Row],[HIGH_PRICE]]-Table1[[#This Row],[LOW_PRICE]]</f>
        <v>2.7799999999999976</v>
      </c>
      <c r="N1955" t="str">
        <f>IF(Table1[[#This Row],[CLOSE_PRICE]]&gt;Table1[[#This Row],[OPEN_PRICE]],"Gain","Loss")</f>
        <v>Gain</v>
      </c>
      <c r="O1955" t="str">
        <f>IF(Table1[[#This Row],[MARKET_CAP]]&gt;200000000000,"Large Cap",
IF(Table1[[#This Row],[MARKET_CAP]]&gt;50000000000,"Mid Cap","Small Cap"))</f>
        <v>Mid Cap</v>
      </c>
      <c r="P1955" t="str">
        <f>IF(Table1[[#This Row],[NET_TRDQTY]]&gt;1000000,"High Volume","Low Volume")</f>
        <v>High Volume</v>
      </c>
    </row>
    <row r="1956" spans="1:16" x14ac:dyDescent="0.3">
      <c r="A1956" t="s">
        <v>3915</v>
      </c>
      <c r="B1956" t="s">
        <v>3916</v>
      </c>
      <c r="C1956">
        <v>47.94</v>
      </c>
      <c r="D1956">
        <v>47.94</v>
      </c>
      <c r="E1956">
        <v>44.24</v>
      </c>
      <c r="F1956">
        <v>45.14</v>
      </c>
      <c r="G1956">
        <v>47.71</v>
      </c>
      <c r="H1956">
        <v>68637</v>
      </c>
      <c r="I1956">
        <v>1375</v>
      </c>
      <c r="J1956">
        <v>1389668123</v>
      </c>
      <c r="K1956">
        <v>30785736</v>
      </c>
      <c r="L1956">
        <f>(Table1[[#This Row],[CLOSE_PRICE]] - Table1[[#This Row],[PREV_CL_PR]]) / Table1[[#This Row],[PREV_CL_PR]] * 100</f>
        <v>-5.3867113812617902</v>
      </c>
      <c r="M1956">
        <f>Table1[[#This Row],[HIGH_PRICE]]-Table1[[#This Row],[LOW_PRICE]]</f>
        <v>3.6999999999999957</v>
      </c>
      <c r="N1956" t="str">
        <f>IF(Table1[[#This Row],[CLOSE_PRICE]]&gt;Table1[[#This Row],[OPEN_PRICE]],"Gain","Loss")</f>
        <v>Loss</v>
      </c>
      <c r="O1956" t="str">
        <f>IF(Table1[[#This Row],[MARKET_CAP]]&gt;200000000000,"Large Cap",
IF(Table1[[#This Row],[MARKET_CAP]]&gt;50000000000,"Mid Cap","Small Cap"))</f>
        <v>Small Cap</v>
      </c>
      <c r="P1956" t="str">
        <f>IF(Table1[[#This Row],[NET_TRDQTY]]&gt;1000000,"High Volume","Low Volume")</f>
        <v>Low Volume</v>
      </c>
    </row>
    <row r="1957" spans="1:16" x14ac:dyDescent="0.3">
      <c r="A1957" t="s">
        <v>3917</v>
      </c>
      <c r="B1957" t="s">
        <v>3918</v>
      </c>
      <c r="C1957">
        <v>448.45</v>
      </c>
      <c r="D1957">
        <v>452</v>
      </c>
      <c r="E1957">
        <v>428.35</v>
      </c>
      <c r="F1957">
        <v>435.25</v>
      </c>
      <c r="G1957">
        <v>456.15</v>
      </c>
      <c r="H1957">
        <v>711843</v>
      </c>
      <c r="I1957">
        <v>37288</v>
      </c>
      <c r="J1957">
        <v>138000000000</v>
      </c>
      <c r="K1957">
        <v>317886270</v>
      </c>
      <c r="L1957">
        <f>(Table1[[#This Row],[CLOSE_PRICE]] - Table1[[#This Row],[PREV_CL_PR]]) / Table1[[#This Row],[PREV_CL_PR]] * 100</f>
        <v>-4.5818261536775138</v>
      </c>
      <c r="M1957">
        <f>Table1[[#This Row],[HIGH_PRICE]]-Table1[[#This Row],[LOW_PRICE]]</f>
        <v>23.649999999999977</v>
      </c>
      <c r="N1957" t="str">
        <f>IF(Table1[[#This Row],[CLOSE_PRICE]]&gt;Table1[[#This Row],[OPEN_PRICE]],"Gain","Loss")</f>
        <v>Loss</v>
      </c>
      <c r="O1957" t="str">
        <f>IF(Table1[[#This Row],[MARKET_CAP]]&gt;200000000000,"Large Cap",
IF(Table1[[#This Row],[MARKET_CAP]]&gt;50000000000,"Mid Cap","Small Cap"))</f>
        <v>Mid Cap</v>
      </c>
      <c r="P1957" t="str">
        <f>IF(Table1[[#This Row],[NET_TRDQTY]]&gt;1000000,"High Volume","Low Volume")</f>
        <v>Low Volume</v>
      </c>
    </row>
    <row r="1958" spans="1:16" x14ac:dyDescent="0.3">
      <c r="A1958" t="s">
        <v>3919</v>
      </c>
      <c r="B1958" t="s">
        <v>3920</v>
      </c>
      <c r="C1958">
        <v>352.5</v>
      </c>
      <c r="D1958">
        <v>353.75</v>
      </c>
      <c r="E1958">
        <v>337.1</v>
      </c>
      <c r="F1958">
        <v>347.7</v>
      </c>
      <c r="G1958">
        <v>359.8</v>
      </c>
      <c r="H1958">
        <v>473342</v>
      </c>
      <c r="I1958">
        <v>15306</v>
      </c>
      <c r="J1958">
        <v>76110823474</v>
      </c>
      <c r="K1958">
        <v>218897968</v>
      </c>
      <c r="L1958">
        <f>(Table1[[#This Row],[CLOSE_PRICE]] - Table1[[#This Row],[PREV_CL_PR]]) / Table1[[#This Row],[PREV_CL_PR]] * 100</f>
        <v>-3.3629794330183498</v>
      </c>
      <c r="M1958">
        <f>Table1[[#This Row],[HIGH_PRICE]]-Table1[[#This Row],[LOW_PRICE]]</f>
        <v>16.649999999999977</v>
      </c>
      <c r="N1958" t="str">
        <f>IF(Table1[[#This Row],[CLOSE_PRICE]]&gt;Table1[[#This Row],[OPEN_PRICE]],"Gain","Loss")</f>
        <v>Loss</v>
      </c>
      <c r="O1958" t="str">
        <f>IF(Table1[[#This Row],[MARKET_CAP]]&gt;200000000000,"Large Cap",
IF(Table1[[#This Row],[MARKET_CAP]]&gt;50000000000,"Mid Cap","Small Cap"))</f>
        <v>Mid Cap</v>
      </c>
      <c r="P1958" t="str">
        <f>IF(Table1[[#This Row],[NET_TRDQTY]]&gt;1000000,"High Volume","Low Volume")</f>
        <v>Low Volume</v>
      </c>
    </row>
    <row r="1959" spans="1:16" x14ac:dyDescent="0.3">
      <c r="A1959" t="s">
        <v>3921</v>
      </c>
      <c r="B1959" t="s">
        <v>3922</v>
      </c>
      <c r="C1959">
        <v>5.97</v>
      </c>
      <c r="D1959">
        <v>6.3</v>
      </c>
      <c r="E1959">
        <v>5.97</v>
      </c>
      <c r="F1959">
        <v>6.08</v>
      </c>
      <c r="G1959">
        <v>6.24</v>
      </c>
      <c r="H1959">
        <v>101934</v>
      </c>
      <c r="I1959">
        <v>342</v>
      </c>
      <c r="J1959">
        <v>722680175.70000005</v>
      </c>
      <c r="K1959">
        <v>118861871</v>
      </c>
      <c r="L1959">
        <f>(Table1[[#This Row],[CLOSE_PRICE]] - Table1[[#This Row],[PREV_CL_PR]]) / Table1[[#This Row],[PREV_CL_PR]] * 100</f>
        <v>-2.5641025641025665</v>
      </c>
      <c r="M1959">
        <f>Table1[[#This Row],[HIGH_PRICE]]-Table1[[#This Row],[LOW_PRICE]]</f>
        <v>0.33000000000000007</v>
      </c>
      <c r="N1959" t="str">
        <f>IF(Table1[[#This Row],[CLOSE_PRICE]]&gt;Table1[[#This Row],[OPEN_PRICE]],"Gain","Loss")</f>
        <v>Gain</v>
      </c>
      <c r="O1959" t="str">
        <f>IF(Table1[[#This Row],[MARKET_CAP]]&gt;200000000000,"Large Cap",
IF(Table1[[#This Row],[MARKET_CAP]]&gt;50000000000,"Mid Cap","Small Cap"))</f>
        <v>Small Cap</v>
      </c>
      <c r="P1959" t="str">
        <f>IF(Table1[[#This Row],[NET_TRDQTY]]&gt;1000000,"High Volume","Low Volume")</f>
        <v>Low Volume</v>
      </c>
    </row>
    <row r="1960" spans="1:16" x14ac:dyDescent="0.3">
      <c r="A1960" t="s">
        <v>3923</v>
      </c>
      <c r="B1960" t="s">
        <v>3924</v>
      </c>
      <c r="C1960">
        <v>409</v>
      </c>
      <c r="D1960">
        <v>409.9</v>
      </c>
      <c r="E1960">
        <v>372.9</v>
      </c>
      <c r="F1960">
        <v>384.8</v>
      </c>
      <c r="G1960">
        <v>409.25</v>
      </c>
      <c r="H1960">
        <v>504610</v>
      </c>
      <c r="I1960">
        <v>9635</v>
      </c>
      <c r="J1960">
        <v>32997597017</v>
      </c>
      <c r="K1960">
        <v>85752591</v>
      </c>
      <c r="L1960">
        <f>(Table1[[#This Row],[CLOSE_PRICE]] - Table1[[#This Row],[PREV_CL_PR]]) / Table1[[#This Row],[PREV_CL_PR]] * 100</f>
        <v>-5.9743433109346338</v>
      </c>
      <c r="M1960">
        <f>Table1[[#This Row],[HIGH_PRICE]]-Table1[[#This Row],[LOW_PRICE]]</f>
        <v>37</v>
      </c>
      <c r="N1960" t="str">
        <f>IF(Table1[[#This Row],[CLOSE_PRICE]]&gt;Table1[[#This Row],[OPEN_PRICE]],"Gain","Loss")</f>
        <v>Loss</v>
      </c>
      <c r="O1960" t="str">
        <f>IF(Table1[[#This Row],[MARKET_CAP]]&gt;200000000000,"Large Cap",
IF(Table1[[#This Row],[MARKET_CAP]]&gt;50000000000,"Mid Cap","Small Cap"))</f>
        <v>Small Cap</v>
      </c>
      <c r="P1960" t="str">
        <f>IF(Table1[[#This Row],[NET_TRDQTY]]&gt;1000000,"High Volume","Low Volume")</f>
        <v>Low Volume</v>
      </c>
    </row>
    <row r="1961" spans="1:16" x14ac:dyDescent="0.3">
      <c r="A1961" t="s">
        <v>3925</v>
      </c>
      <c r="B1961" t="s">
        <v>3926</v>
      </c>
      <c r="C1961">
        <v>355.1</v>
      </c>
      <c r="D1961">
        <v>359.65</v>
      </c>
      <c r="E1961">
        <v>339.8</v>
      </c>
      <c r="F1961">
        <v>344.8</v>
      </c>
      <c r="G1961">
        <v>366.6</v>
      </c>
      <c r="H1961">
        <v>170868</v>
      </c>
      <c r="I1961">
        <v>6654</v>
      </c>
      <c r="J1961">
        <v>76581410928</v>
      </c>
      <c r="K1961">
        <v>222103860</v>
      </c>
      <c r="L1961">
        <f>(Table1[[#This Row],[CLOSE_PRICE]] - Table1[[#This Row],[PREV_CL_PR]]) / Table1[[#This Row],[PREV_CL_PR]] * 100</f>
        <v>-5.9465357337697791</v>
      </c>
      <c r="M1961">
        <f>Table1[[#This Row],[HIGH_PRICE]]-Table1[[#This Row],[LOW_PRICE]]</f>
        <v>19.849999999999966</v>
      </c>
      <c r="N1961" t="str">
        <f>IF(Table1[[#This Row],[CLOSE_PRICE]]&gt;Table1[[#This Row],[OPEN_PRICE]],"Gain","Loss")</f>
        <v>Loss</v>
      </c>
      <c r="O1961" t="str">
        <f>IF(Table1[[#This Row],[MARKET_CAP]]&gt;200000000000,"Large Cap",
IF(Table1[[#This Row],[MARKET_CAP]]&gt;50000000000,"Mid Cap","Small Cap"))</f>
        <v>Mid Cap</v>
      </c>
      <c r="P1961" t="str">
        <f>IF(Table1[[#This Row],[NET_TRDQTY]]&gt;1000000,"High Volume","Low Volume")</f>
        <v>Low Volume</v>
      </c>
    </row>
    <row r="1962" spans="1:16" x14ac:dyDescent="0.3">
      <c r="A1962" t="s">
        <v>3927</v>
      </c>
      <c r="B1962" t="s">
        <v>3928</v>
      </c>
      <c r="C1962">
        <v>791.95</v>
      </c>
      <c r="D1962">
        <v>817.6</v>
      </c>
      <c r="E1962">
        <v>791.95</v>
      </c>
      <c r="F1962">
        <v>800</v>
      </c>
      <c r="G1962">
        <v>811.45</v>
      </c>
      <c r="H1962">
        <v>5426</v>
      </c>
      <c r="I1962">
        <v>780</v>
      </c>
      <c r="J1962">
        <v>11304266400</v>
      </c>
      <c r="K1962">
        <v>14130333</v>
      </c>
      <c r="L1962">
        <f>(Table1[[#This Row],[CLOSE_PRICE]] - Table1[[#This Row],[PREV_CL_PR]]) / Table1[[#This Row],[PREV_CL_PR]] * 100</f>
        <v>-1.4110542855382395</v>
      </c>
      <c r="M1962">
        <f>Table1[[#This Row],[HIGH_PRICE]]-Table1[[#This Row],[LOW_PRICE]]</f>
        <v>25.649999999999977</v>
      </c>
      <c r="N1962" t="str">
        <f>IF(Table1[[#This Row],[CLOSE_PRICE]]&gt;Table1[[#This Row],[OPEN_PRICE]],"Gain","Loss")</f>
        <v>Gain</v>
      </c>
      <c r="O1962" t="str">
        <f>IF(Table1[[#This Row],[MARKET_CAP]]&gt;200000000000,"Large Cap",
IF(Table1[[#This Row],[MARKET_CAP]]&gt;50000000000,"Mid Cap","Small Cap"))</f>
        <v>Small Cap</v>
      </c>
      <c r="P1962" t="str">
        <f>IF(Table1[[#This Row],[NET_TRDQTY]]&gt;1000000,"High Volume","Low Volume")</f>
        <v>Low Volume</v>
      </c>
    </row>
    <row r="1963" spans="1:16" x14ac:dyDescent="0.3">
      <c r="A1963" t="s">
        <v>3929</v>
      </c>
      <c r="B1963" t="s">
        <v>3930</v>
      </c>
      <c r="C1963">
        <v>465</v>
      </c>
      <c r="D1963">
        <v>487.1</v>
      </c>
      <c r="E1963">
        <v>449</v>
      </c>
      <c r="F1963">
        <v>456.45</v>
      </c>
      <c r="G1963">
        <v>466.4</v>
      </c>
      <c r="H1963">
        <v>1012940</v>
      </c>
      <c r="I1963">
        <v>45724</v>
      </c>
      <c r="J1963">
        <v>62511276647</v>
      </c>
      <c r="K1963">
        <v>136950984</v>
      </c>
      <c r="L1963">
        <f>(Table1[[#This Row],[CLOSE_PRICE]] - Table1[[#This Row],[PREV_CL_PR]]) / Table1[[#This Row],[PREV_CL_PR]] * 100</f>
        <v>-2.1333619210977677</v>
      </c>
      <c r="M1963">
        <f>Table1[[#This Row],[HIGH_PRICE]]-Table1[[#This Row],[LOW_PRICE]]</f>
        <v>38.100000000000023</v>
      </c>
      <c r="N1963" t="str">
        <f>IF(Table1[[#This Row],[CLOSE_PRICE]]&gt;Table1[[#This Row],[OPEN_PRICE]],"Gain","Loss")</f>
        <v>Loss</v>
      </c>
      <c r="O1963" t="str">
        <f>IF(Table1[[#This Row],[MARKET_CAP]]&gt;200000000000,"Large Cap",
IF(Table1[[#This Row],[MARKET_CAP]]&gt;50000000000,"Mid Cap","Small Cap"))</f>
        <v>Mid Cap</v>
      </c>
      <c r="P1963" t="str">
        <f>IF(Table1[[#This Row],[NET_TRDQTY]]&gt;1000000,"High Volume","Low Volume")</f>
        <v>High Volume</v>
      </c>
    </row>
    <row r="1964" spans="1:16" x14ac:dyDescent="0.3">
      <c r="A1964" t="s">
        <v>3931</v>
      </c>
      <c r="B1964" t="s">
        <v>3932</v>
      </c>
      <c r="C1964">
        <v>36.1</v>
      </c>
      <c r="D1964">
        <v>36.1</v>
      </c>
      <c r="E1964">
        <v>33.42</v>
      </c>
      <c r="F1964">
        <v>33.590000000000003</v>
      </c>
      <c r="G1964">
        <v>36.17</v>
      </c>
      <c r="H1964">
        <v>3894689</v>
      </c>
      <c r="I1964">
        <v>22748</v>
      </c>
      <c r="J1964">
        <v>65666022350</v>
      </c>
      <c r="K1964">
        <v>1954927727</v>
      </c>
      <c r="L1964">
        <f>(Table1[[#This Row],[CLOSE_PRICE]] - Table1[[#This Row],[PREV_CL_PR]]) / Table1[[#This Row],[PREV_CL_PR]] * 100</f>
        <v>-7.132983135194908</v>
      </c>
      <c r="M1964">
        <f>Table1[[#This Row],[HIGH_PRICE]]-Table1[[#This Row],[LOW_PRICE]]</f>
        <v>2.6799999999999997</v>
      </c>
      <c r="N1964" t="str">
        <f>IF(Table1[[#This Row],[CLOSE_PRICE]]&gt;Table1[[#This Row],[OPEN_PRICE]],"Gain","Loss")</f>
        <v>Loss</v>
      </c>
      <c r="O1964" t="str">
        <f>IF(Table1[[#This Row],[MARKET_CAP]]&gt;200000000000,"Large Cap",
IF(Table1[[#This Row],[MARKET_CAP]]&gt;50000000000,"Mid Cap","Small Cap"))</f>
        <v>Mid Cap</v>
      </c>
      <c r="P1964" t="str">
        <f>IF(Table1[[#This Row],[NET_TRDQTY]]&gt;1000000,"High Volume","Low Volume")</f>
        <v>High Volume</v>
      </c>
    </row>
    <row r="1965" spans="1:16" x14ac:dyDescent="0.3">
      <c r="A1965" t="s">
        <v>3933</v>
      </c>
      <c r="B1965" t="s">
        <v>3934</v>
      </c>
      <c r="C1965">
        <v>404.5</v>
      </c>
      <c r="D1965">
        <v>404.5</v>
      </c>
      <c r="E1965">
        <v>373.15</v>
      </c>
      <c r="F1965">
        <v>376.6</v>
      </c>
      <c r="G1965">
        <v>405.15</v>
      </c>
      <c r="H1965">
        <v>58053</v>
      </c>
      <c r="I1965">
        <v>3023</v>
      </c>
      <c r="J1965">
        <v>7023709759</v>
      </c>
      <c r="K1965">
        <v>18650318</v>
      </c>
      <c r="L1965">
        <f>(Table1[[#This Row],[CLOSE_PRICE]] - Table1[[#This Row],[PREV_CL_PR]]) / Table1[[#This Row],[PREV_CL_PR]] * 100</f>
        <v>-7.0467728001974468</v>
      </c>
      <c r="M1965">
        <f>Table1[[#This Row],[HIGH_PRICE]]-Table1[[#This Row],[LOW_PRICE]]</f>
        <v>31.350000000000023</v>
      </c>
      <c r="N1965" t="str">
        <f>IF(Table1[[#This Row],[CLOSE_PRICE]]&gt;Table1[[#This Row],[OPEN_PRICE]],"Gain","Loss")</f>
        <v>Loss</v>
      </c>
      <c r="O1965" t="str">
        <f>IF(Table1[[#This Row],[MARKET_CAP]]&gt;200000000000,"Large Cap",
IF(Table1[[#This Row],[MARKET_CAP]]&gt;50000000000,"Mid Cap","Small Cap"))</f>
        <v>Small Cap</v>
      </c>
      <c r="P1965" t="str">
        <f>IF(Table1[[#This Row],[NET_TRDQTY]]&gt;1000000,"High Volume","Low Volume")</f>
        <v>Low Volume</v>
      </c>
    </row>
    <row r="1966" spans="1:16" x14ac:dyDescent="0.3">
      <c r="A1966" t="s">
        <v>3935</v>
      </c>
      <c r="B1966" t="s">
        <v>3936</v>
      </c>
      <c r="C1966">
        <v>13620</v>
      </c>
      <c r="D1966">
        <v>13759</v>
      </c>
      <c r="E1966">
        <v>13346</v>
      </c>
      <c r="F1966">
        <v>13643</v>
      </c>
      <c r="G1966">
        <v>13846</v>
      </c>
      <c r="H1966">
        <v>10354</v>
      </c>
      <c r="I1966">
        <v>3918</v>
      </c>
      <c r="J1966">
        <v>276000000000</v>
      </c>
      <c r="K1966">
        <v>20232104</v>
      </c>
      <c r="L1966">
        <f>(Table1[[#This Row],[CLOSE_PRICE]] - Table1[[#This Row],[PREV_CL_PR]]) / Table1[[#This Row],[PREV_CL_PR]] * 100</f>
        <v>-1.4661274014155714</v>
      </c>
      <c r="M1966">
        <f>Table1[[#This Row],[HIGH_PRICE]]-Table1[[#This Row],[LOW_PRICE]]</f>
        <v>413</v>
      </c>
      <c r="N1966" t="str">
        <f>IF(Table1[[#This Row],[CLOSE_PRICE]]&gt;Table1[[#This Row],[OPEN_PRICE]],"Gain","Loss")</f>
        <v>Gain</v>
      </c>
      <c r="O1966" t="str">
        <f>IF(Table1[[#This Row],[MARKET_CAP]]&gt;200000000000,"Large Cap",
IF(Table1[[#This Row],[MARKET_CAP]]&gt;50000000000,"Mid Cap","Small Cap"))</f>
        <v>Large Cap</v>
      </c>
      <c r="P1966" t="str">
        <f>IF(Table1[[#This Row],[NET_TRDQTY]]&gt;1000000,"High Volume","Low Volume")</f>
        <v>Low Volume</v>
      </c>
    </row>
    <row r="1967" spans="1:16" x14ac:dyDescent="0.3">
      <c r="A1967" t="s">
        <v>3937</v>
      </c>
      <c r="B1967" t="s">
        <v>3938</v>
      </c>
      <c r="C1967">
        <v>3498.1</v>
      </c>
      <c r="D1967">
        <v>3583.8</v>
      </c>
      <c r="E1967">
        <v>3385</v>
      </c>
      <c r="F1967">
        <v>3414.6</v>
      </c>
      <c r="G1967">
        <v>3560.3</v>
      </c>
      <c r="H1967">
        <v>8886</v>
      </c>
      <c r="I1967">
        <v>1657</v>
      </c>
      <c r="J1967">
        <v>26145762930</v>
      </c>
      <c r="K1967">
        <v>7657050</v>
      </c>
      <c r="L1967">
        <f>(Table1[[#This Row],[CLOSE_PRICE]] - Table1[[#This Row],[PREV_CL_PR]]) / Table1[[#This Row],[PREV_CL_PR]] * 100</f>
        <v>-4.0923517681094363</v>
      </c>
      <c r="M1967">
        <f>Table1[[#This Row],[HIGH_PRICE]]-Table1[[#This Row],[LOW_PRICE]]</f>
        <v>198.80000000000018</v>
      </c>
      <c r="N1967" t="str">
        <f>IF(Table1[[#This Row],[CLOSE_PRICE]]&gt;Table1[[#This Row],[OPEN_PRICE]],"Gain","Loss")</f>
        <v>Loss</v>
      </c>
      <c r="O1967" t="str">
        <f>IF(Table1[[#This Row],[MARKET_CAP]]&gt;200000000000,"Large Cap",
IF(Table1[[#This Row],[MARKET_CAP]]&gt;50000000000,"Mid Cap","Small Cap"))</f>
        <v>Small Cap</v>
      </c>
      <c r="P1967" t="str">
        <f>IF(Table1[[#This Row],[NET_TRDQTY]]&gt;1000000,"High Volume","Low Volume")</f>
        <v>Low Volume</v>
      </c>
    </row>
    <row r="1968" spans="1:16" x14ac:dyDescent="0.3">
      <c r="A1968" t="s">
        <v>3939</v>
      </c>
      <c r="B1968" t="s">
        <v>3940</v>
      </c>
      <c r="C1968">
        <v>99.81</v>
      </c>
      <c r="D1968">
        <v>99.81</v>
      </c>
      <c r="E1968">
        <v>93.5</v>
      </c>
      <c r="F1968">
        <v>95.87</v>
      </c>
      <c r="G1968">
        <v>100.76</v>
      </c>
      <c r="H1968">
        <v>254289</v>
      </c>
      <c r="I1968">
        <v>3098</v>
      </c>
      <c r="J1968">
        <v>5720430120</v>
      </c>
      <c r="K1968">
        <v>59668615</v>
      </c>
      <c r="L1968">
        <f>(Table1[[#This Row],[CLOSE_PRICE]] - Table1[[#This Row],[PREV_CL_PR]]) / Table1[[#This Row],[PREV_CL_PR]] * 100</f>
        <v>-4.8531163159984123</v>
      </c>
      <c r="M1968">
        <f>Table1[[#This Row],[HIGH_PRICE]]-Table1[[#This Row],[LOW_PRICE]]</f>
        <v>6.3100000000000023</v>
      </c>
      <c r="N1968" t="str">
        <f>IF(Table1[[#This Row],[CLOSE_PRICE]]&gt;Table1[[#This Row],[OPEN_PRICE]],"Gain","Loss")</f>
        <v>Loss</v>
      </c>
      <c r="O1968" t="str">
        <f>IF(Table1[[#This Row],[MARKET_CAP]]&gt;200000000000,"Large Cap",
IF(Table1[[#This Row],[MARKET_CAP]]&gt;50000000000,"Mid Cap","Small Cap"))</f>
        <v>Small Cap</v>
      </c>
      <c r="P1968" t="str">
        <f>IF(Table1[[#This Row],[NET_TRDQTY]]&gt;1000000,"High Volume","Low Volume")</f>
        <v>Low Volume</v>
      </c>
    </row>
    <row r="1969" spans="1:16" x14ac:dyDescent="0.3">
      <c r="A1969" t="s">
        <v>3941</v>
      </c>
      <c r="B1969" t="s">
        <v>3942</v>
      </c>
      <c r="C1969">
        <v>5.68</v>
      </c>
      <c r="D1969">
        <v>5.68</v>
      </c>
      <c r="E1969">
        <v>4.83</v>
      </c>
      <c r="F1969">
        <v>4.91</v>
      </c>
      <c r="G1969">
        <v>5.26</v>
      </c>
      <c r="H1969">
        <v>21849</v>
      </c>
      <c r="I1969">
        <v>169</v>
      </c>
      <c r="J1969">
        <v>190235495</v>
      </c>
      <c r="K1969">
        <v>38744500</v>
      </c>
      <c r="L1969">
        <f>(Table1[[#This Row],[CLOSE_PRICE]] - Table1[[#This Row],[PREV_CL_PR]]) / Table1[[#This Row],[PREV_CL_PR]] * 100</f>
        <v>-6.6539923954372551</v>
      </c>
      <c r="M1969">
        <f>Table1[[#This Row],[HIGH_PRICE]]-Table1[[#This Row],[LOW_PRICE]]</f>
        <v>0.84999999999999964</v>
      </c>
      <c r="N1969" t="str">
        <f>IF(Table1[[#This Row],[CLOSE_PRICE]]&gt;Table1[[#This Row],[OPEN_PRICE]],"Gain","Loss")</f>
        <v>Loss</v>
      </c>
      <c r="O1969" t="str">
        <f>IF(Table1[[#This Row],[MARKET_CAP]]&gt;200000000000,"Large Cap",
IF(Table1[[#This Row],[MARKET_CAP]]&gt;50000000000,"Mid Cap","Small Cap"))</f>
        <v>Small Cap</v>
      </c>
      <c r="P1969" t="str">
        <f>IF(Table1[[#This Row],[NET_TRDQTY]]&gt;1000000,"High Volume","Low Volume")</f>
        <v>Low Volume</v>
      </c>
    </row>
    <row r="1970" spans="1:16" x14ac:dyDescent="0.3">
      <c r="A1970" t="s">
        <v>3943</v>
      </c>
      <c r="B1970" t="s">
        <v>3944</v>
      </c>
      <c r="C1970">
        <v>1569.5</v>
      </c>
      <c r="D1970">
        <v>1572.7</v>
      </c>
      <c r="E1970">
        <v>1537</v>
      </c>
      <c r="F1970">
        <v>1557.9</v>
      </c>
      <c r="G1970">
        <v>1568.9</v>
      </c>
      <c r="H1970">
        <v>89814</v>
      </c>
      <c r="I1970">
        <v>10100</v>
      </c>
      <c r="J1970">
        <v>412000000000</v>
      </c>
      <c r="K1970">
        <v>264405149</v>
      </c>
      <c r="L1970">
        <f>(Table1[[#This Row],[CLOSE_PRICE]] - Table1[[#This Row],[PREV_CL_PR]]) / Table1[[#This Row],[PREV_CL_PR]] * 100</f>
        <v>-0.70112817897890234</v>
      </c>
      <c r="M1970">
        <f>Table1[[#This Row],[HIGH_PRICE]]-Table1[[#This Row],[LOW_PRICE]]</f>
        <v>35.700000000000045</v>
      </c>
      <c r="N1970" t="str">
        <f>IF(Table1[[#This Row],[CLOSE_PRICE]]&gt;Table1[[#This Row],[OPEN_PRICE]],"Gain","Loss")</f>
        <v>Loss</v>
      </c>
      <c r="O1970" t="str">
        <f>IF(Table1[[#This Row],[MARKET_CAP]]&gt;200000000000,"Large Cap",
IF(Table1[[#This Row],[MARKET_CAP]]&gt;50000000000,"Mid Cap","Small Cap"))</f>
        <v>Large Cap</v>
      </c>
      <c r="P1970" t="str">
        <f>IF(Table1[[#This Row],[NET_TRDQTY]]&gt;1000000,"High Volume","Low Volume")</f>
        <v>Low Volume</v>
      </c>
    </row>
    <row r="1971" spans="1:16" x14ac:dyDescent="0.3">
      <c r="A1971" t="s">
        <v>3945</v>
      </c>
      <c r="B1971" t="s">
        <v>3946</v>
      </c>
      <c r="C1971">
        <v>96.9</v>
      </c>
      <c r="D1971">
        <v>96.9</v>
      </c>
      <c r="E1971">
        <v>91.6</v>
      </c>
      <c r="F1971">
        <v>92.29</v>
      </c>
      <c r="G1971">
        <v>97.38</v>
      </c>
      <c r="H1971">
        <v>40623</v>
      </c>
      <c r="I1971">
        <v>318</v>
      </c>
      <c r="J1971">
        <v>2040866451</v>
      </c>
      <c r="K1971">
        <v>22113625</v>
      </c>
      <c r="L1971">
        <f>(Table1[[#This Row],[CLOSE_PRICE]] - Table1[[#This Row],[PREV_CL_PR]]) / Table1[[#This Row],[PREV_CL_PR]] * 100</f>
        <v>-5.2269459848017963</v>
      </c>
      <c r="M1971">
        <f>Table1[[#This Row],[HIGH_PRICE]]-Table1[[#This Row],[LOW_PRICE]]</f>
        <v>5.3000000000000114</v>
      </c>
      <c r="N1971" t="str">
        <f>IF(Table1[[#This Row],[CLOSE_PRICE]]&gt;Table1[[#This Row],[OPEN_PRICE]],"Gain","Loss")</f>
        <v>Loss</v>
      </c>
      <c r="O1971" t="str">
        <f>IF(Table1[[#This Row],[MARKET_CAP]]&gt;200000000000,"Large Cap",
IF(Table1[[#This Row],[MARKET_CAP]]&gt;50000000000,"Mid Cap","Small Cap"))</f>
        <v>Small Cap</v>
      </c>
      <c r="P1971" t="str">
        <f>IF(Table1[[#This Row],[NET_TRDQTY]]&gt;1000000,"High Volume","Low Volume")</f>
        <v>Low Volume</v>
      </c>
    </row>
    <row r="1972" spans="1:16" x14ac:dyDescent="0.3">
      <c r="A1972" t="s">
        <v>3947</v>
      </c>
      <c r="B1972" t="s">
        <v>3948</v>
      </c>
      <c r="C1972">
        <v>24.64</v>
      </c>
      <c r="D1972">
        <v>24.64</v>
      </c>
      <c r="E1972">
        <v>23.3</v>
      </c>
      <c r="F1972">
        <v>23.4</v>
      </c>
      <c r="G1972">
        <v>24.86</v>
      </c>
      <c r="H1972">
        <v>10622193</v>
      </c>
      <c r="I1972">
        <v>29682</v>
      </c>
      <c r="J1972">
        <v>293000000000</v>
      </c>
      <c r="K1972">
        <v>12539558979</v>
      </c>
      <c r="L1972">
        <f>(Table1[[#This Row],[CLOSE_PRICE]] - Table1[[#This Row],[PREV_CL_PR]]) / Table1[[#This Row],[PREV_CL_PR]] * 100</f>
        <v>-5.8728881737731333</v>
      </c>
      <c r="M1972">
        <f>Table1[[#This Row],[HIGH_PRICE]]-Table1[[#This Row],[LOW_PRICE]]</f>
        <v>1.3399999999999999</v>
      </c>
      <c r="N1972" t="str">
        <f>IF(Table1[[#This Row],[CLOSE_PRICE]]&gt;Table1[[#This Row],[OPEN_PRICE]],"Gain","Loss")</f>
        <v>Loss</v>
      </c>
      <c r="O1972" t="str">
        <f>IF(Table1[[#This Row],[MARKET_CAP]]&gt;200000000000,"Large Cap",
IF(Table1[[#This Row],[MARKET_CAP]]&gt;50000000000,"Mid Cap","Small Cap"))</f>
        <v>Large Cap</v>
      </c>
      <c r="P1972" t="str">
        <f>IF(Table1[[#This Row],[NET_TRDQTY]]&gt;1000000,"High Volume","Low Volume")</f>
        <v>High Volume</v>
      </c>
    </row>
    <row r="1973" spans="1:16" x14ac:dyDescent="0.3">
      <c r="A1973" t="s">
        <v>3949</v>
      </c>
      <c r="B1973" t="s">
        <v>3950</v>
      </c>
      <c r="C1973">
        <v>135</v>
      </c>
      <c r="D1973">
        <v>136.49</v>
      </c>
      <c r="E1973">
        <v>128.01</v>
      </c>
      <c r="F1973">
        <v>130.84</v>
      </c>
      <c r="G1973">
        <v>138.13999999999999</v>
      </c>
      <c r="H1973">
        <v>217520</v>
      </c>
      <c r="I1973">
        <v>3774</v>
      </c>
      <c r="J1973">
        <v>8760162052</v>
      </c>
      <c r="K1973">
        <v>66953241</v>
      </c>
      <c r="L1973">
        <f>(Table1[[#This Row],[CLOSE_PRICE]] - Table1[[#This Row],[PREV_CL_PR]]) / Table1[[#This Row],[PREV_CL_PR]] * 100</f>
        <v>-5.2844939916027105</v>
      </c>
      <c r="M1973">
        <f>Table1[[#This Row],[HIGH_PRICE]]-Table1[[#This Row],[LOW_PRICE]]</f>
        <v>8.4800000000000182</v>
      </c>
      <c r="N1973" t="str">
        <f>IF(Table1[[#This Row],[CLOSE_PRICE]]&gt;Table1[[#This Row],[OPEN_PRICE]],"Gain","Loss")</f>
        <v>Loss</v>
      </c>
      <c r="O1973" t="str">
        <f>IF(Table1[[#This Row],[MARKET_CAP]]&gt;200000000000,"Large Cap",
IF(Table1[[#This Row],[MARKET_CAP]]&gt;50000000000,"Mid Cap","Small Cap"))</f>
        <v>Small Cap</v>
      </c>
      <c r="P1973" t="str">
        <f>IF(Table1[[#This Row],[NET_TRDQTY]]&gt;1000000,"High Volume","Low Volume")</f>
        <v>Low Volume</v>
      </c>
    </row>
    <row r="1974" spans="1:16" x14ac:dyDescent="0.3">
      <c r="A1974" t="s">
        <v>3951</v>
      </c>
      <c r="B1974" t="s">
        <v>3952</v>
      </c>
      <c r="C1974">
        <v>141.51</v>
      </c>
      <c r="D1974">
        <v>145.84</v>
      </c>
      <c r="E1974">
        <v>140.32</v>
      </c>
      <c r="F1974">
        <v>140.32</v>
      </c>
      <c r="G1974">
        <v>147.69999999999999</v>
      </c>
      <c r="H1974">
        <v>4551</v>
      </c>
      <c r="I1974">
        <v>223</v>
      </c>
      <c r="J1974">
        <v>46782391925</v>
      </c>
      <c r="K1974">
        <v>333397890</v>
      </c>
      <c r="L1974">
        <f>(Table1[[#This Row],[CLOSE_PRICE]] - Table1[[#This Row],[PREV_CL_PR]]) / Table1[[#This Row],[PREV_CL_PR]] * 100</f>
        <v>-4.9966147596479322</v>
      </c>
      <c r="M1974">
        <f>Table1[[#This Row],[HIGH_PRICE]]-Table1[[#This Row],[LOW_PRICE]]</f>
        <v>5.5200000000000102</v>
      </c>
      <c r="N1974" t="str">
        <f>IF(Table1[[#This Row],[CLOSE_PRICE]]&gt;Table1[[#This Row],[OPEN_PRICE]],"Gain","Loss")</f>
        <v>Loss</v>
      </c>
      <c r="O1974" t="str">
        <f>IF(Table1[[#This Row],[MARKET_CAP]]&gt;200000000000,"Large Cap",
IF(Table1[[#This Row],[MARKET_CAP]]&gt;50000000000,"Mid Cap","Small Cap"))</f>
        <v>Small Cap</v>
      </c>
      <c r="P1974" t="str">
        <f>IF(Table1[[#This Row],[NET_TRDQTY]]&gt;1000000,"High Volume","Low Volume")</f>
        <v>Low Volume</v>
      </c>
    </row>
    <row r="1975" spans="1:16" x14ac:dyDescent="0.3">
      <c r="A1975" t="s">
        <v>3953</v>
      </c>
      <c r="B1975" t="s">
        <v>3954</v>
      </c>
      <c r="C1975">
        <v>226.55</v>
      </c>
      <c r="D1975">
        <v>235</v>
      </c>
      <c r="E1975">
        <v>220</v>
      </c>
      <c r="F1975">
        <v>220.79</v>
      </c>
      <c r="G1975">
        <v>235.38</v>
      </c>
      <c r="H1975">
        <v>154076</v>
      </c>
      <c r="I1975">
        <v>1749</v>
      </c>
      <c r="J1975">
        <v>8629883386</v>
      </c>
      <c r="K1975">
        <v>39086387</v>
      </c>
      <c r="L1975">
        <f>(Table1[[#This Row],[CLOSE_PRICE]] - Table1[[#This Row],[PREV_CL_PR]]) / Table1[[#This Row],[PREV_CL_PR]] * 100</f>
        <v>-6.1984875520435061</v>
      </c>
      <c r="M1975">
        <f>Table1[[#This Row],[HIGH_PRICE]]-Table1[[#This Row],[LOW_PRICE]]</f>
        <v>15</v>
      </c>
      <c r="N1975" t="str">
        <f>IF(Table1[[#This Row],[CLOSE_PRICE]]&gt;Table1[[#This Row],[OPEN_PRICE]],"Gain","Loss")</f>
        <v>Loss</v>
      </c>
      <c r="O1975" t="str">
        <f>IF(Table1[[#This Row],[MARKET_CAP]]&gt;200000000000,"Large Cap",
IF(Table1[[#This Row],[MARKET_CAP]]&gt;50000000000,"Mid Cap","Small Cap"))</f>
        <v>Small Cap</v>
      </c>
      <c r="P1975" t="str">
        <f>IF(Table1[[#This Row],[NET_TRDQTY]]&gt;1000000,"High Volume","Low Volume")</f>
        <v>Low Volume</v>
      </c>
    </row>
    <row r="1976" spans="1:16" x14ac:dyDescent="0.3">
      <c r="A1976" t="s">
        <v>3955</v>
      </c>
      <c r="B1976" t="s">
        <v>3956</v>
      </c>
      <c r="C1976">
        <v>428</v>
      </c>
      <c r="D1976">
        <v>433.45</v>
      </c>
      <c r="E1976">
        <v>395</v>
      </c>
      <c r="F1976">
        <v>398.85</v>
      </c>
      <c r="G1976">
        <v>434.7</v>
      </c>
      <c r="H1976">
        <v>118660</v>
      </c>
      <c r="I1976">
        <v>3207</v>
      </c>
      <c r="J1976">
        <v>28801551191</v>
      </c>
      <c r="K1976">
        <v>72211486</v>
      </c>
      <c r="L1976">
        <f>(Table1[[#This Row],[CLOSE_PRICE]] - Table1[[#This Row],[PREV_CL_PR]]) / Table1[[#This Row],[PREV_CL_PR]] * 100</f>
        <v>-8.2470669427191083</v>
      </c>
      <c r="M1976">
        <f>Table1[[#This Row],[HIGH_PRICE]]-Table1[[#This Row],[LOW_PRICE]]</f>
        <v>38.449999999999989</v>
      </c>
      <c r="N1976" t="str">
        <f>IF(Table1[[#This Row],[CLOSE_PRICE]]&gt;Table1[[#This Row],[OPEN_PRICE]],"Gain","Loss")</f>
        <v>Loss</v>
      </c>
      <c r="O1976" t="str">
        <f>IF(Table1[[#This Row],[MARKET_CAP]]&gt;200000000000,"Large Cap",
IF(Table1[[#This Row],[MARKET_CAP]]&gt;50000000000,"Mid Cap","Small Cap"))</f>
        <v>Small Cap</v>
      </c>
      <c r="P1976" t="str">
        <f>IF(Table1[[#This Row],[NET_TRDQTY]]&gt;1000000,"High Volume","Low Volume")</f>
        <v>Low Volume</v>
      </c>
    </row>
    <row r="1977" spans="1:16" x14ac:dyDescent="0.3">
      <c r="A1977" t="s">
        <v>3957</v>
      </c>
      <c r="B1977" t="s">
        <v>3958</v>
      </c>
      <c r="C1977">
        <v>62</v>
      </c>
      <c r="D1977">
        <v>63.04</v>
      </c>
      <c r="E1977">
        <v>59.11</v>
      </c>
      <c r="F1977">
        <v>60.02</v>
      </c>
      <c r="G1977">
        <v>63.58</v>
      </c>
      <c r="H1977">
        <v>143744</v>
      </c>
      <c r="I1977">
        <v>2110</v>
      </c>
      <c r="J1977">
        <v>2329661715</v>
      </c>
      <c r="K1977">
        <v>38814757</v>
      </c>
      <c r="L1977">
        <f>(Table1[[#This Row],[CLOSE_PRICE]] - Table1[[#This Row],[PREV_CL_PR]]) / Table1[[#This Row],[PREV_CL_PR]] * 100</f>
        <v>-5.5992450456118208</v>
      </c>
      <c r="M1977">
        <f>Table1[[#This Row],[HIGH_PRICE]]-Table1[[#This Row],[LOW_PRICE]]</f>
        <v>3.9299999999999997</v>
      </c>
      <c r="N1977" t="str">
        <f>IF(Table1[[#This Row],[CLOSE_PRICE]]&gt;Table1[[#This Row],[OPEN_PRICE]],"Gain","Loss")</f>
        <v>Loss</v>
      </c>
      <c r="O1977" t="str">
        <f>IF(Table1[[#This Row],[MARKET_CAP]]&gt;200000000000,"Large Cap",
IF(Table1[[#This Row],[MARKET_CAP]]&gt;50000000000,"Mid Cap","Small Cap"))</f>
        <v>Small Cap</v>
      </c>
      <c r="P1977" t="str">
        <f>IF(Table1[[#This Row],[NET_TRDQTY]]&gt;1000000,"High Volume","Low Volume")</f>
        <v>Low Volume</v>
      </c>
    </row>
    <row r="1978" spans="1:16" x14ac:dyDescent="0.3">
      <c r="A1978" t="s">
        <v>3959</v>
      </c>
      <c r="B1978" t="s">
        <v>3960</v>
      </c>
      <c r="C1978">
        <v>38.97</v>
      </c>
      <c r="D1978">
        <v>38.97</v>
      </c>
      <c r="E1978">
        <v>35.1</v>
      </c>
      <c r="F1978">
        <v>36.5</v>
      </c>
      <c r="G1978">
        <v>38.35</v>
      </c>
      <c r="H1978">
        <v>699520</v>
      </c>
      <c r="I1978">
        <v>5644</v>
      </c>
      <c r="J1978">
        <v>4106250000</v>
      </c>
      <c r="K1978">
        <v>112500000</v>
      </c>
      <c r="L1978">
        <f>(Table1[[#This Row],[CLOSE_PRICE]] - Table1[[#This Row],[PREV_CL_PR]]) / Table1[[#This Row],[PREV_CL_PR]] * 100</f>
        <v>-4.8239895697522854</v>
      </c>
      <c r="M1978">
        <f>Table1[[#This Row],[HIGH_PRICE]]-Table1[[#This Row],[LOW_PRICE]]</f>
        <v>3.8699999999999974</v>
      </c>
      <c r="N1978" t="str">
        <f>IF(Table1[[#This Row],[CLOSE_PRICE]]&gt;Table1[[#This Row],[OPEN_PRICE]],"Gain","Loss")</f>
        <v>Loss</v>
      </c>
      <c r="O1978" t="str">
        <f>IF(Table1[[#This Row],[MARKET_CAP]]&gt;200000000000,"Large Cap",
IF(Table1[[#This Row],[MARKET_CAP]]&gt;50000000000,"Mid Cap","Small Cap"))</f>
        <v>Small Cap</v>
      </c>
      <c r="P1978" t="str">
        <f>IF(Table1[[#This Row],[NET_TRDQTY]]&gt;1000000,"High Volume","Low Volume")</f>
        <v>Low Volume</v>
      </c>
    </row>
    <row r="1979" spans="1:16" x14ac:dyDescent="0.3">
      <c r="A1979" t="s">
        <v>3961</v>
      </c>
      <c r="B1979" t="s">
        <v>3962</v>
      </c>
      <c r="C1979">
        <v>93.65</v>
      </c>
      <c r="D1979">
        <v>93.75</v>
      </c>
      <c r="E1979">
        <v>86</v>
      </c>
      <c r="F1979">
        <v>86.85</v>
      </c>
      <c r="G1979">
        <v>94.3</v>
      </c>
      <c r="H1979">
        <v>1395778</v>
      </c>
      <c r="I1979">
        <v>9756</v>
      </c>
      <c r="J1979">
        <v>12146652362</v>
      </c>
      <c r="K1979">
        <v>139857828</v>
      </c>
      <c r="L1979">
        <f>(Table1[[#This Row],[CLOSE_PRICE]] - Table1[[#This Row],[PREV_CL_PR]]) / Table1[[#This Row],[PREV_CL_PR]] * 100</f>
        <v>-7.9003181336161212</v>
      </c>
      <c r="M1979">
        <f>Table1[[#This Row],[HIGH_PRICE]]-Table1[[#This Row],[LOW_PRICE]]</f>
        <v>7.75</v>
      </c>
      <c r="N1979" t="str">
        <f>IF(Table1[[#This Row],[CLOSE_PRICE]]&gt;Table1[[#This Row],[OPEN_PRICE]],"Gain","Loss")</f>
        <v>Loss</v>
      </c>
      <c r="O1979" t="str">
        <f>IF(Table1[[#This Row],[MARKET_CAP]]&gt;200000000000,"Large Cap",
IF(Table1[[#This Row],[MARKET_CAP]]&gt;50000000000,"Mid Cap","Small Cap"))</f>
        <v>Small Cap</v>
      </c>
      <c r="P1979" t="str">
        <f>IF(Table1[[#This Row],[NET_TRDQTY]]&gt;1000000,"High Volume","Low Volume")</f>
        <v>High Volume</v>
      </c>
    </row>
    <row r="1980" spans="1:16" x14ac:dyDescent="0.3">
      <c r="A1980" t="s">
        <v>3963</v>
      </c>
      <c r="B1980" t="s">
        <v>3964</v>
      </c>
      <c r="C1980">
        <v>52.5</v>
      </c>
      <c r="D1980">
        <v>52.5</v>
      </c>
      <c r="E1980">
        <v>50.26</v>
      </c>
      <c r="F1980">
        <v>50.91</v>
      </c>
      <c r="G1980">
        <v>53.36</v>
      </c>
      <c r="H1980">
        <v>15541450</v>
      </c>
      <c r="I1980">
        <v>49552</v>
      </c>
      <c r="J1980">
        <v>98687157286</v>
      </c>
      <c r="K1980">
        <v>1938463117</v>
      </c>
      <c r="L1980">
        <f>(Table1[[#This Row],[CLOSE_PRICE]] - Table1[[#This Row],[PREV_CL_PR]]) / Table1[[#This Row],[PREV_CL_PR]] * 100</f>
        <v>-4.5914542728635741</v>
      </c>
      <c r="M1980">
        <f>Table1[[#This Row],[HIGH_PRICE]]-Table1[[#This Row],[LOW_PRICE]]</f>
        <v>2.240000000000002</v>
      </c>
      <c r="N1980" t="str">
        <f>IF(Table1[[#This Row],[CLOSE_PRICE]]&gt;Table1[[#This Row],[OPEN_PRICE]],"Gain","Loss")</f>
        <v>Loss</v>
      </c>
      <c r="O1980" t="str">
        <f>IF(Table1[[#This Row],[MARKET_CAP]]&gt;200000000000,"Large Cap",
IF(Table1[[#This Row],[MARKET_CAP]]&gt;50000000000,"Mid Cap","Small Cap"))</f>
        <v>Mid Cap</v>
      </c>
      <c r="P1980" t="str">
        <f>IF(Table1[[#This Row],[NET_TRDQTY]]&gt;1000000,"High Volume","Low Volume")</f>
        <v>High Volume</v>
      </c>
    </row>
    <row r="1981" spans="1:16" x14ac:dyDescent="0.3">
      <c r="A1981" t="s">
        <v>3965</v>
      </c>
      <c r="B1981" t="s">
        <v>3966</v>
      </c>
      <c r="C1981">
        <v>21.09</v>
      </c>
      <c r="D1981">
        <v>21.69</v>
      </c>
      <c r="E1981">
        <v>19.48</v>
      </c>
      <c r="F1981">
        <v>19.63</v>
      </c>
      <c r="G1981">
        <v>20.99</v>
      </c>
      <c r="H1981">
        <v>92198</v>
      </c>
      <c r="I1981">
        <v>691</v>
      </c>
      <c r="J1981">
        <v>663686962.89999998</v>
      </c>
      <c r="K1981">
        <v>33809830</v>
      </c>
      <c r="L1981">
        <f>(Table1[[#This Row],[CLOSE_PRICE]] - Table1[[#This Row],[PREV_CL_PR]]) / Table1[[#This Row],[PREV_CL_PR]] * 100</f>
        <v>-6.4792758456407791</v>
      </c>
      <c r="M1981">
        <f>Table1[[#This Row],[HIGH_PRICE]]-Table1[[#This Row],[LOW_PRICE]]</f>
        <v>2.2100000000000009</v>
      </c>
      <c r="N1981" t="str">
        <f>IF(Table1[[#This Row],[CLOSE_PRICE]]&gt;Table1[[#This Row],[OPEN_PRICE]],"Gain","Loss")</f>
        <v>Loss</v>
      </c>
      <c r="O1981" t="str">
        <f>IF(Table1[[#This Row],[MARKET_CAP]]&gt;200000000000,"Large Cap",
IF(Table1[[#This Row],[MARKET_CAP]]&gt;50000000000,"Mid Cap","Small Cap"))</f>
        <v>Small Cap</v>
      </c>
      <c r="P1981" t="str">
        <f>IF(Table1[[#This Row],[NET_TRDQTY]]&gt;1000000,"High Volume","Low Volume")</f>
        <v>Low Volume</v>
      </c>
    </row>
    <row r="1982" spans="1:16" x14ac:dyDescent="0.3">
      <c r="A1982" t="s">
        <v>3967</v>
      </c>
      <c r="B1982" t="s">
        <v>3968</v>
      </c>
      <c r="C1982">
        <v>82.39</v>
      </c>
      <c r="D1982">
        <v>82.39</v>
      </c>
      <c r="E1982">
        <v>73.209999999999994</v>
      </c>
      <c r="F1982">
        <v>74.98</v>
      </c>
      <c r="G1982">
        <v>80.94</v>
      </c>
      <c r="H1982">
        <v>23152</v>
      </c>
      <c r="I1982">
        <v>543</v>
      </c>
      <c r="J1982">
        <v>1400971458</v>
      </c>
      <c r="K1982">
        <v>18684602</v>
      </c>
      <c r="L1982">
        <f>(Table1[[#This Row],[CLOSE_PRICE]] - Table1[[#This Row],[PREV_CL_PR]]) / Table1[[#This Row],[PREV_CL_PR]] * 100</f>
        <v>-7.3634791203360441</v>
      </c>
      <c r="M1982">
        <f>Table1[[#This Row],[HIGH_PRICE]]-Table1[[#This Row],[LOW_PRICE]]</f>
        <v>9.1800000000000068</v>
      </c>
      <c r="N1982" t="str">
        <f>IF(Table1[[#This Row],[CLOSE_PRICE]]&gt;Table1[[#This Row],[OPEN_PRICE]],"Gain","Loss")</f>
        <v>Loss</v>
      </c>
      <c r="O1982" t="str">
        <f>IF(Table1[[#This Row],[MARKET_CAP]]&gt;200000000000,"Large Cap",
IF(Table1[[#This Row],[MARKET_CAP]]&gt;50000000000,"Mid Cap","Small Cap"))</f>
        <v>Small Cap</v>
      </c>
      <c r="P1982" t="str">
        <f>IF(Table1[[#This Row],[NET_TRDQTY]]&gt;1000000,"High Volume","Low Volume")</f>
        <v>Low Volume</v>
      </c>
    </row>
    <row r="1983" spans="1:16" x14ac:dyDescent="0.3">
      <c r="A1983" t="s">
        <v>3969</v>
      </c>
      <c r="B1983" t="s">
        <v>3970</v>
      </c>
      <c r="C1983">
        <v>313.35000000000002</v>
      </c>
      <c r="D1983">
        <v>313.35000000000002</v>
      </c>
      <c r="E1983">
        <v>299</v>
      </c>
      <c r="F1983">
        <v>300.64999999999998</v>
      </c>
      <c r="G1983">
        <v>313.35000000000002</v>
      </c>
      <c r="H1983">
        <v>24958</v>
      </c>
      <c r="I1983">
        <v>1185</v>
      </c>
      <c r="J1983">
        <v>21167488738</v>
      </c>
      <c r="K1983">
        <v>70405750</v>
      </c>
      <c r="L1983">
        <f>(Table1[[#This Row],[CLOSE_PRICE]] - Table1[[#This Row],[PREV_CL_PR]]) / Table1[[#This Row],[PREV_CL_PR]] * 100</f>
        <v>-4.0529759055369539</v>
      </c>
      <c r="M1983">
        <f>Table1[[#This Row],[HIGH_PRICE]]-Table1[[#This Row],[LOW_PRICE]]</f>
        <v>14.350000000000023</v>
      </c>
      <c r="N1983" t="str">
        <f>IF(Table1[[#This Row],[CLOSE_PRICE]]&gt;Table1[[#This Row],[OPEN_PRICE]],"Gain","Loss")</f>
        <v>Loss</v>
      </c>
      <c r="O1983" t="str">
        <f>IF(Table1[[#This Row],[MARKET_CAP]]&gt;200000000000,"Large Cap",
IF(Table1[[#This Row],[MARKET_CAP]]&gt;50000000000,"Mid Cap","Small Cap"))</f>
        <v>Small Cap</v>
      </c>
      <c r="P1983" t="str">
        <f>IF(Table1[[#This Row],[NET_TRDQTY]]&gt;1000000,"High Volume","Low Volume")</f>
        <v>Low Volume</v>
      </c>
    </row>
    <row r="1984" spans="1:16" x14ac:dyDescent="0.3">
      <c r="A1984" t="s">
        <v>3971</v>
      </c>
      <c r="B1984" t="s">
        <v>3972</v>
      </c>
      <c r="C1984">
        <v>157.59</v>
      </c>
      <c r="D1984">
        <v>167.9</v>
      </c>
      <c r="E1984">
        <v>151.05000000000001</v>
      </c>
      <c r="F1984">
        <v>160.97999999999999</v>
      </c>
      <c r="G1984">
        <v>157.58000000000001</v>
      </c>
      <c r="H1984">
        <v>31968</v>
      </c>
      <c r="I1984">
        <v>1279</v>
      </c>
      <c r="J1984">
        <v>3268397224</v>
      </c>
      <c r="K1984">
        <v>20303126</v>
      </c>
      <c r="L1984">
        <f>(Table1[[#This Row],[CLOSE_PRICE]] - Table1[[#This Row],[PREV_CL_PR]]) / Table1[[#This Row],[PREV_CL_PR]] * 100</f>
        <v>2.1576342175402821</v>
      </c>
      <c r="M1984">
        <f>Table1[[#This Row],[HIGH_PRICE]]-Table1[[#This Row],[LOW_PRICE]]</f>
        <v>16.849999999999994</v>
      </c>
      <c r="N1984" t="str">
        <f>IF(Table1[[#This Row],[CLOSE_PRICE]]&gt;Table1[[#This Row],[OPEN_PRICE]],"Gain","Loss")</f>
        <v>Gain</v>
      </c>
      <c r="O1984" t="str">
        <f>IF(Table1[[#This Row],[MARKET_CAP]]&gt;200000000000,"Large Cap",
IF(Table1[[#This Row],[MARKET_CAP]]&gt;50000000000,"Mid Cap","Small Cap"))</f>
        <v>Small Cap</v>
      </c>
      <c r="P1984" t="str">
        <f>IF(Table1[[#This Row],[NET_TRDQTY]]&gt;1000000,"High Volume","Low Volume")</f>
        <v>Low Volume</v>
      </c>
    </row>
    <row r="1985" spans="1:16" x14ac:dyDescent="0.3">
      <c r="A1985" t="s">
        <v>3973</v>
      </c>
      <c r="B1985" t="s">
        <v>3974</v>
      </c>
      <c r="C1985">
        <v>89</v>
      </c>
      <c r="D1985">
        <v>90.61</v>
      </c>
      <c r="E1985">
        <v>86.49</v>
      </c>
      <c r="F1985">
        <v>87.96</v>
      </c>
      <c r="G1985">
        <v>91.64</v>
      </c>
      <c r="H1985">
        <v>551265</v>
      </c>
      <c r="I1985">
        <v>5880</v>
      </c>
      <c r="J1985">
        <v>9795408997</v>
      </c>
      <c r="K1985">
        <v>111362085</v>
      </c>
      <c r="L1985">
        <f>(Table1[[#This Row],[CLOSE_PRICE]] - Table1[[#This Row],[PREV_CL_PR]]) / Table1[[#This Row],[PREV_CL_PR]] * 100</f>
        <v>-4.015713662156271</v>
      </c>
      <c r="M1985">
        <f>Table1[[#This Row],[HIGH_PRICE]]-Table1[[#This Row],[LOW_PRICE]]</f>
        <v>4.1200000000000045</v>
      </c>
      <c r="N1985" t="str">
        <f>IF(Table1[[#This Row],[CLOSE_PRICE]]&gt;Table1[[#This Row],[OPEN_PRICE]],"Gain","Loss")</f>
        <v>Loss</v>
      </c>
      <c r="O1985" t="str">
        <f>IF(Table1[[#This Row],[MARKET_CAP]]&gt;200000000000,"Large Cap",
IF(Table1[[#This Row],[MARKET_CAP]]&gt;50000000000,"Mid Cap","Small Cap"))</f>
        <v>Small Cap</v>
      </c>
      <c r="P1985" t="str">
        <f>IF(Table1[[#This Row],[NET_TRDQTY]]&gt;1000000,"High Volume","Low Volume")</f>
        <v>Low Volume</v>
      </c>
    </row>
    <row r="1986" spans="1:16" x14ac:dyDescent="0.3">
      <c r="A1986" t="s">
        <v>3975</v>
      </c>
      <c r="B1986" t="s">
        <v>3976</v>
      </c>
      <c r="C1986">
        <v>96.55</v>
      </c>
      <c r="D1986">
        <v>96.56</v>
      </c>
      <c r="E1986">
        <v>87.81</v>
      </c>
      <c r="F1986">
        <v>89.84</v>
      </c>
      <c r="G1986">
        <v>96.39</v>
      </c>
      <c r="H1986">
        <v>86924</v>
      </c>
      <c r="I1986">
        <v>204</v>
      </c>
      <c r="J1986">
        <v>6247999074</v>
      </c>
      <c r="K1986">
        <v>69545849</v>
      </c>
      <c r="L1986">
        <f>(Table1[[#This Row],[CLOSE_PRICE]] - Table1[[#This Row],[PREV_CL_PR]]) / Table1[[#This Row],[PREV_CL_PR]] * 100</f>
        <v>-6.7953107168793405</v>
      </c>
      <c r="M1986">
        <f>Table1[[#This Row],[HIGH_PRICE]]-Table1[[#This Row],[LOW_PRICE]]</f>
        <v>8.75</v>
      </c>
      <c r="N1986" t="str">
        <f>IF(Table1[[#This Row],[CLOSE_PRICE]]&gt;Table1[[#This Row],[OPEN_PRICE]],"Gain","Loss")</f>
        <v>Loss</v>
      </c>
      <c r="O1986" t="str">
        <f>IF(Table1[[#This Row],[MARKET_CAP]]&gt;200000000000,"Large Cap",
IF(Table1[[#This Row],[MARKET_CAP]]&gt;50000000000,"Mid Cap","Small Cap"))</f>
        <v>Small Cap</v>
      </c>
      <c r="P1986" t="str">
        <f>IF(Table1[[#This Row],[NET_TRDQTY]]&gt;1000000,"High Volume","Low Volume")</f>
        <v>Low Volume</v>
      </c>
    </row>
    <row r="1987" spans="1:16" x14ac:dyDescent="0.3">
      <c r="A1987" t="s">
        <v>3977</v>
      </c>
      <c r="B1987" t="s">
        <v>3978</v>
      </c>
      <c r="C1987">
        <v>12.5</v>
      </c>
      <c r="D1987">
        <v>12.5</v>
      </c>
      <c r="E1987">
        <v>10.75</v>
      </c>
      <c r="F1987">
        <v>12.07</v>
      </c>
      <c r="G1987">
        <v>12.63</v>
      </c>
      <c r="H1987">
        <v>6296</v>
      </c>
      <c r="I1987">
        <v>136</v>
      </c>
      <c r="J1987">
        <v>129065958.40000001</v>
      </c>
      <c r="K1987">
        <v>10693120</v>
      </c>
      <c r="L1987">
        <f>(Table1[[#This Row],[CLOSE_PRICE]] - Table1[[#This Row],[PREV_CL_PR]]) / Table1[[#This Row],[PREV_CL_PR]] * 100</f>
        <v>-4.4338875692794968</v>
      </c>
      <c r="M1987">
        <f>Table1[[#This Row],[HIGH_PRICE]]-Table1[[#This Row],[LOW_PRICE]]</f>
        <v>1.75</v>
      </c>
      <c r="N1987" t="str">
        <f>IF(Table1[[#This Row],[CLOSE_PRICE]]&gt;Table1[[#This Row],[OPEN_PRICE]],"Gain","Loss")</f>
        <v>Loss</v>
      </c>
      <c r="O1987" t="str">
        <f>IF(Table1[[#This Row],[MARKET_CAP]]&gt;200000000000,"Large Cap",
IF(Table1[[#This Row],[MARKET_CAP]]&gt;50000000000,"Mid Cap","Small Cap"))</f>
        <v>Small Cap</v>
      </c>
      <c r="P1987" t="str">
        <f>IF(Table1[[#This Row],[NET_TRDQTY]]&gt;1000000,"High Volume","Low Volume")</f>
        <v>Low Volume</v>
      </c>
    </row>
    <row r="1988" spans="1:16" x14ac:dyDescent="0.3">
      <c r="A1988" t="s">
        <v>3979</v>
      </c>
      <c r="B1988" t="s">
        <v>3980</v>
      </c>
      <c r="C1988">
        <v>775.15</v>
      </c>
      <c r="D1988">
        <v>789.85</v>
      </c>
      <c r="E1988">
        <v>760</v>
      </c>
      <c r="F1988">
        <v>765.6</v>
      </c>
      <c r="G1988">
        <v>795.85</v>
      </c>
      <c r="H1988">
        <v>66616</v>
      </c>
      <c r="I1988">
        <v>4820</v>
      </c>
      <c r="J1988">
        <v>38936029625</v>
      </c>
      <c r="K1988">
        <v>50856883</v>
      </c>
      <c r="L1988">
        <f>(Table1[[#This Row],[CLOSE_PRICE]] - Table1[[#This Row],[PREV_CL_PR]]) / Table1[[#This Row],[PREV_CL_PR]] * 100</f>
        <v>-3.8009675190048373</v>
      </c>
      <c r="M1988">
        <f>Table1[[#This Row],[HIGH_PRICE]]-Table1[[#This Row],[LOW_PRICE]]</f>
        <v>29.850000000000023</v>
      </c>
      <c r="N1988" t="str">
        <f>IF(Table1[[#This Row],[CLOSE_PRICE]]&gt;Table1[[#This Row],[OPEN_PRICE]],"Gain","Loss")</f>
        <v>Loss</v>
      </c>
      <c r="O1988" t="str">
        <f>IF(Table1[[#This Row],[MARKET_CAP]]&gt;200000000000,"Large Cap",
IF(Table1[[#This Row],[MARKET_CAP]]&gt;50000000000,"Mid Cap","Small Cap"))</f>
        <v>Small Cap</v>
      </c>
      <c r="P1988" t="str">
        <f>IF(Table1[[#This Row],[NET_TRDQTY]]&gt;1000000,"High Volume","Low Volume")</f>
        <v>Low Volume</v>
      </c>
    </row>
    <row r="1989" spans="1:16" x14ac:dyDescent="0.3">
      <c r="A1989" t="s">
        <v>3981</v>
      </c>
      <c r="B1989" t="s">
        <v>3982</v>
      </c>
      <c r="C1989">
        <v>174.5</v>
      </c>
      <c r="D1989">
        <v>174.5</v>
      </c>
      <c r="E1989">
        <v>168</v>
      </c>
      <c r="F1989">
        <v>168.58</v>
      </c>
      <c r="G1989">
        <v>177.63</v>
      </c>
      <c r="H1989">
        <v>11258618</v>
      </c>
      <c r="I1989">
        <v>77253</v>
      </c>
      <c r="J1989">
        <v>1290000000000</v>
      </c>
      <c r="K1989">
        <v>7633605607</v>
      </c>
      <c r="L1989">
        <f>(Table1[[#This Row],[CLOSE_PRICE]] - Table1[[#This Row],[PREV_CL_PR]]) / Table1[[#This Row],[PREV_CL_PR]] * 100</f>
        <v>-5.094860102460161</v>
      </c>
      <c r="M1989">
        <f>Table1[[#This Row],[HIGH_PRICE]]-Table1[[#This Row],[LOW_PRICE]]</f>
        <v>6.5</v>
      </c>
      <c r="N1989" t="str">
        <f>IF(Table1[[#This Row],[CLOSE_PRICE]]&gt;Table1[[#This Row],[OPEN_PRICE]],"Gain","Loss")</f>
        <v>Loss</v>
      </c>
      <c r="O1989" t="str">
        <f>IF(Table1[[#This Row],[MARKET_CAP]]&gt;200000000000,"Large Cap",
IF(Table1[[#This Row],[MARKET_CAP]]&gt;50000000000,"Mid Cap","Small Cap"))</f>
        <v>Large Cap</v>
      </c>
      <c r="P1989" t="str">
        <f>IF(Table1[[#This Row],[NET_TRDQTY]]&gt;1000000,"High Volume","Low Volume")</f>
        <v>High Volume</v>
      </c>
    </row>
    <row r="1990" spans="1:16" x14ac:dyDescent="0.3">
      <c r="A1990" t="s">
        <v>3983</v>
      </c>
      <c r="B1990" t="s">
        <v>3984</v>
      </c>
      <c r="C1990">
        <v>445</v>
      </c>
      <c r="D1990">
        <v>452</v>
      </c>
      <c r="E1990">
        <v>440.5</v>
      </c>
      <c r="F1990">
        <v>450.2</v>
      </c>
      <c r="G1990">
        <v>456</v>
      </c>
      <c r="H1990">
        <v>76226</v>
      </c>
      <c r="I1990">
        <v>3391</v>
      </c>
      <c r="J1990">
        <v>20319688311</v>
      </c>
      <c r="K1990">
        <v>45134803</v>
      </c>
      <c r="L1990">
        <f>(Table1[[#This Row],[CLOSE_PRICE]] - Table1[[#This Row],[PREV_CL_PR]]) / Table1[[#This Row],[PREV_CL_PR]] * 100</f>
        <v>-1.2719298245614061</v>
      </c>
      <c r="M1990">
        <f>Table1[[#This Row],[HIGH_PRICE]]-Table1[[#This Row],[LOW_PRICE]]</f>
        <v>11.5</v>
      </c>
      <c r="N1990" t="str">
        <f>IF(Table1[[#This Row],[CLOSE_PRICE]]&gt;Table1[[#This Row],[OPEN_PRICE]],"Gain","Loss")</f>
        <v>Gain</v>
      </c>
      <c r="O1990" t="str">
        <f>IF(Table1[[#This Row],[MARKET_CAP]]&gt;200000000000,"Large Cap",
IF(Table1[[#This Row],[MARKET_CAP]]&gt;50000000000,"Mid Cap","Small Cap"))</f>
        <v>Small Cap</v>
      </c>
      <c r="P1990" t="str">
        <f>IF(Table1[[#This Row],[NET_TRDQTY]]&gt;1000000,"High Volume","Low Volume")</f>
        <v>Low Volume</v>
      </c>
    </row>
    <row r="1991" spans="1:16" x14ac:dyDescent="0.3">
      <c r="A1991" t="s">
        <v>3985</v>
      </c>
      <c r="B1991" t="s">
        <v>3986</v>
      </c>
      <c r="C1991">
        <v>4.22</v>
      </c>
      <c r="D1991">
        <v>4.22</v>
      </c>
      <c r="E1991">
        <v>3.9</v>
      </c>
      <c r="F1991">
        <v>3.95</v>
      </c>
      <c r="G1991">
        <v>4.22</v>
      </c>
      <c r="H1991">
        <v>9748481</v>
      </c>
      <c r="I1991">
        <v>5350</v>
      </c>
      <c r="J1991">
        <v>10334389136</v>
      </c>
      <c r="K1991">
        <v>2616301047</v>
      </c>
      <c r="L1991">
        <f>(Table1[[#This Row],[CLOSE_PRICE]] - Table1[[#This Row],[PREV_CL_PR]]) / Table1[[#This Row],[PREV_CL_PR]] * 100</f>
        <v>-6.3981042654028331</v>
      </c>
      <c r="M1991">
        <f>Table1[[#This Row],[HIGH_PRICE]]-Table1[[#This Row],[LOW_PRICE]]</f>
        <v>0.31999999999999984</v>
      </c>
      <c r="N1991" t="str">
        <f>IF(Table1[[#This Row],[CLOSE_PRICE]]&gt;Table1[[#This Row],[OPEN_PRICE]],"Gain","Loss")</f>
        <v>Loss</v>
      </c>
      <c r="O1991" t="str">
        <f>IF(Table1[[#This Row],[MARKET_CAP]]&gt;200000000000,"Large Cap",
IF(Table1[[#This Row],[MARKET_CAP]]&gt;50000000000,"Mid Cap","Small Cap"))</f>
        <v>Small Cap</v>
      </c>
      <c r="P1991" t="str">
        <f>IF(Table1[[#This Row],[NET_TRDQTY]]&gt;1000000,"High Volume","Low Volume")</f>
        <v>High Volume</v>
      </c>
    </row>
    <row r="1992" spans="1:16" x14ac:dyDescent="0.3">
      <c r="A1992" t="s">
        <v>3987</v>
      </c>
      <c r="B1992" t="s">
        <v>3988</v>
      </c>
      <c r="C1992">
        <v>27.8</v>
      </c>
      <c r="D1992">
        <v>27.8</v>
      </c>
      <c r="E1992">
        <v>26.64</v>
      </c>
      <c r="F1992">
        <v>26.99</v>
      </c>
      <c r="G1992">
        <v>28.04</v>
      </c>
      <c r="H1992">
        <v>169676</v>
      </c>
      <c r="I1992">
        <v>434</v>
      </c>
      <c r="J1992">
        <v>6194623345</v>
      </c>
      <c r="K1992">
        <v>229515500</v>
      </c>
      <c r="L1992">
        <f>(Table1[[#This Row],[CLOSE_PRICE]] - Table1[[#This Row],[PREV_CL_PR]]) / Table1[[#This Row],[PREV_CL_PR]] * 100</f>
        <v>-3.7446504992867355</v>
      </c>
      <c r="M1992">
        <f>Table1[[#This Row],[HIGH_PRICE]]-Table1[[#This Row],[LOW_PRICE]]</f>
        <v>1.1600000000000001</v>
      </c>
      <c r="N1992" t="str">
        <f>IF(Table1[[#This Row],[CLOSE_PRICE]]&gt;Table1[[#This Row],[OPEN_PRICE]],"Gain","Loss")</f>
        <v>Loss</v>
      </c>
      <c r="O1992" t="str">
        <f>IF(Table1[[#This Row],[MARKET_CAP]]&gt;200000000000,"Large Cap",
IF(Table1[[#This Row],[MARKET_CAP]]&gt;50000000000,"Mid Cap","Small Cap"))</f>
        <v>Small Cap</v>
      </c>
      <c r="P1992" t="str">
        <f>IF(Table1[[#This Row],[NET_TRDQTY]]&gt;1000000,"High Volume","Low Volume")</f>
        <v>Low Volume</v>
      </c>
    </row>
    <row r="1993" spans="1:16" x14ac:dyDescent="0.3">
      <c r="A1993" t="s">
        <v>3989</v>
      </c>
      <c r="B1993" t="s">
        <v>3990</v>
      </c>
      <c r="C1993">
        <v>510.05</v>
      </c>
      <c r="D1993">
        <v>516.65</v>
      </c>
      <c r="E1993">
        <v>500</v>
      </c>
      <c r="F1993">
        <v>510.45</v>
      </c>
      <c r="G1993">
        <v>511</v>
      </c>
      <c r="H1993">
        <v>11851</v>
      </c>
      <c r="I1993">
        <v>462</v>
      </c>
      <c r="J1993">
        <v>2550497115</v>
      </c>
      <c r="K1993">
        <v>4996566</v>
      </c>
      <c r="L1993">
        <f>(Table1[[#This Row],[CLOSE_PRICE]] - Table1[[#This Row],[PREV_CL_PR]]) / Table1[[#This Row],[PREV_CL_PR]] * 100</f>
        <v>-0.10763209393346601</v>
      </c>
      <c r="M1993">
        <f>Table1[[#This Row],[HIGH_PRICE]]-Table1[[#This Row],[LOW_PRICE]]</f>
        <v>16.649999999999977</v>
      </c>
      <c r="N1993" t="str">
        <f>IF(Table1[[#This Row],[CLOSE_PRICE]]&gt;Table1[[#This Row],[OPEN_PRICE]],"Gain","Loss")</f>
        <v>Gain</v>
      </c>
      <c r="O1993" t="str">
        <f>IF(Table1[[#This Row],[MARKET_CAP]]&gt;200000000000,"Large Cap",
IF(Table1[[#This Row],[MARKET_CAP]]&gt;50000000000,"Mid Cap","Small Cap"))</f>
        <v>Small Cap</v>
      </c>
      <c r="P1993" t="str">
        <f>IF(Table1[[#This Row],[NET_TRDQTY]]&gt;1000000,"High Volume","Low Volume")</f>
        <v>Low Volume</v>
      </c>
    </row>
    <row r="1994" spans="1:16" x14ac:dyDescent="0.3">
      <c r="A1994" t="s">
        <v>3991</v>
      </c>
      <c r="B1994" t="s">
        <v>3992</v>
      </c>
      <c r="C1994">
        <v>62.04</v>
      </c>
      <c r="D1994">
        <v>64</v>
      </c>
      <c r="E1994">
        <v>61</v>
      </c>
      <c r="F1994">
        <v>62.21</v>
      </c>
      <c r="G1994">
        <v>62.92</v>
      </c>
      <c r="H1994">
        <v>75578</v>
      </c>
      <c r="I1994">
        <v>694</v>
      </c>
      <c r="J1994">
        <v>2238736962</v>
      </c>
      <c r="K1994">
        <v>35986770</v>
      </c>
      <c r="L1994">
        <f>(Table1[[#This Row],[CLOSE_PRICE]] - Table1[[#This Row],[PREV_CL_PR]]) / Table1[[#This Row],[PREV_CL_PR]] * 100</f>
        <v>-1.1284170375079479</v>
      </c>
      <c r="M1994">
        <f>Table1[[#This Row],[HIGH_PRICE]]-Table1[[#This Row],[LOW_PRICE]]</f>
        <v>3</v>
      </c>
      <c r="N1994" t="str">
        <f>IF(Table1[[#This Row],[CLOSE_PRICE]]&gt;Table1[[#This Row],[OPEN_PRICE]],"Gain","Loss")</f>
        <v>Gain</v>
      </c>
      <c r="O1994" t="str">
        <f>IF(Table1[[#This Row],[MARKET_CAP]]&gt;200000000000,"Large Cap",
IF(Table1[[#This Row],[MARKET_CAP]]&gt;50000000000,"Mid Cap","Small Cap"))</f>
        <v>Small Cap</v>
      </c>
      <c r="P1994" t="str">
        <f>IF(Table1[[#This Row],[NET_TRDQTY]]&gt;1000000,"High Volume","Low Volume")</f>
        <v>Low Volume</v>
      </c>
    </row>
    <row r="1995" spans="1:16" x14ac:dyDescent="0.3">
      <c r="A1995" t="s">
        <v>3993</v>
      </c>
      <c r="B1995" t="s">
        <v>3994</v>
      </c>
      <c r="C1995">
        <v>665.55</v>
      </c>
      <c r="D1995">
        <v>699.4</v>
      </c>
      <c r="E1995">
        <v>615</v>
      </c>
      <c r="F1995">
        <v>624.35</v>
      </c>
      <c r="G1995">
        <v>675.95</v>
      </c>
      <c r="H1995">
        <v>190608</v>
      </c>
      <c r="I1995">
        <v>7534</v>
      </c>
      <c r="J1995">
        <v>19972849112</v>
      </c>
      <c r="K1995">
        <v>31989828</v>
      </c>
      <c r="L1995">
        <f>(Table1[[#This Row],[CLOSE_PRICE]] - Table1[[#This Row],[PREV_CL_PR]]) / Table1[[#This Row],[PREV_CL_PR]] * 100</f>
        <v>-7.6337007175086944</v>
      </c>
      <c r="M1995">
        <f>Table1[[#This Row],[HIGH_PRICE]]-Table1[[#This Row],[LOW_PRICE]]</f>
        <v>84.399999999999977</v>
      </c>
      <c r="N1995" t="str">
        <f>IF(Table1[[#This Row],[CLOSE_PRICE]]&gt;Table1[[#This Row],[OPEN_PRICE]],"Gain","Loss")</f>
        <v>Loss</v>
      </c>
      <c r="O1995" t="str">
        <f>IF(Table1[[#This Row],[MARKET_CAP]]&gt;200000000000,"Large Cap",
IF(Table1[[#This Row],[MARKET_CAP]]&gt;50000000000,"Mid Cap","Small Cap"))</f>
        <v>Small Cap</v>
      </c>
      <c r="P1995" t="str">
        <f>IF(Table1[[#This Row],[NET_TRDQTY]]&gt;1000000,"High Volume","Low Volume")</f>
        <v>Low Volume</v>
      </c>
    </row>
    <row r="1996" spans="1:16" x14ac:dyDescent="0.3">
      <c r="A1996" t="s">
        <v>3995</v>
      </c>
      <c r="B1996" t="s">
        <v>3996</v>
      </c>
      <c r="C1996">
        <v>1053.0999999999999</v>
      </c>
      <c r="D1996">
        <v>1053.0999999999999</v>
      </c>
      <c r="E1996">
        <v>1010</v>
      </c>
      <c r="F1996">
        <v>1029.5</v>
      </c>
      <c r="G1996">
        <v>1067</v>
      </c>
      <c r="H1996">
        <v>531522</v>
      </c>
      <c r="I1996">
        <v>27949</v>
      </c>
      <c r="J1996">
        <v>594000000000</v>
      </c>
      <c r="K1996">
        <v>577143260</v>
      </c>
      <c r="L1996">
        <f>(Table1[[#This Row],[CLOSE_PRICE]] - Table1[[#This Row],[PREV_CL_PR]]) / Table1[[#This Row],[PREV_CL_PR]] * 100</f>
        <v>-3.5145267104029996</v>
      </c>
      <c r="M1996">
        <f>Table1[[#This Row],[HIGH_PRICE]]-Table1[[#This Row],[LOW_PRICE]]</f>
        <v>43.099999999999909</v>
      </c>
      <c r="N1996" t="str">
        <f>IF(Table1[[#This Row],[CLOSE_PRICE]]&gt;Table1[[#This Row],[OPEN_PRICE]],"Gain","Loss")</f>
        <v>Loss</v>
      </c>
      <c r="O1996" t="str">
        <f>IF(Table1[[#This Row],[MARKET_CAP]]&gt;200000000000,"Large Cap",
IF(Table1[[#This Row],[MARKET_CAP]]&gt;50000000000,"Mid Cap","Small Cap"))</f>
        <v>Large Cap</v>
      </c>
      <c r="P1996" t="str">
        <f>IF(Table1[[#This Row],[NET_TRDQTY]]&gt;1000000,"High Volume","Low Volume")</f>
        <v>Low Volume</v>
      </c>
    </row>
    <row r="1997" spans="1:16" x14ac:dyDescent="0.3">
      <c r="A1997" t="s">
        <v>3997</v>
      </c>
      <c r="B1997" t="s">
        <v>3998</v>
      </c>
      <c r="C1997">
        <v>615</v>
      </c>
      <c r="D1997">
        <v>618</v>
      </c>
      <c r="E1997">
        <v>599.25</v>
      </c>
      <c r="F1997">
        <v>602.4</v>
      </c>
      <c r="G1997">
        <v>625.54999999999995</v>
      </c>
      <c r="H1997">
        <v>1690435</v>
      </c>
      <c r="I1997">
        <v>51380</v>
      </c>
      <c r="J1997">
        <v>508000000000</v>
      </c>
      <c r="K1997">
        <v>843318751</v>
      </c>
      <c r="L1997">
        <f>(Table1[[#This Row],[CLOSE_PRICE]] - Table1[[#This Row],[PREV_CL_PR]]) / Table1[[#This Row],[PREV_CL_PR]] * 100</f>
        <v>-3.7007433458556434</v>
      </c>
      <c r="M1997">
        <f>Table1[[#This Row],[HIGH_PRICE]]-Table1[[#This Row],[LOW_PRICE]]</f>
        <v>18.75</v>
      </c>
      <c r="N1997" t="str">
        <f>IF(Table1[[#This Row],[CLOSE_PRICE]]&gt;Table1[[#This Row],[OPEN_PRICE]],"Gain","Loss")</f>
        <v>Loss</v>
      </c>
      <c r="O1997" t="str">
        <f>IF(Table1[[#This Row],[MARKET_CAP]]&gt;200000000000,"Large Cap",
IF(Table1[[#This Row],[MARKET_CAP]]&gt;50000000000,"Mid Cap","Small Cap"))</f>
        <v>Large Cap</v>
      </c>
      <c r="P1997" t="str">
        <f>IF(Table1[[#This Row],[NET_TRDQTY]]&gt;1000000,"High Volume","Low Volume")</f>
        <v>High Volume</v>
      </c>
    </row>
    <row r="1998" spans="1:16" x14ac:dyDescent="0.3">
      <c r="A1998" t="s">
        <v>3999</v>
      </c>
      <c r="B1998" t="s">
        <v>4000</v>
      </c>
      <c r="C1998">
        <v>129.65</v>
      </c>
      <c r="D1998">
        <v>129.66</v>
      </c>
      <c r="E1998">
        <v>121.35</v>
      </c>
      <c r="F1998">
        <v>122.76</v>
      </c>
      <c r="G1998">
        <v>126.49</v>
      </c>
      <c r="H1998">
        <v>3378</v>
      </c>
      <c r="I1998">
        <v>316</v>
      </c>
      <c r="J1998">
        <v>1399464000</v>
      </c>
      <c r="K1998">
        <v>11400000</v>
      </c>
      <c r="L1998">
        <f>(Table1[[#This Row],[CLOSE_PRICE]] - Table1[[#This Row],[PREV_CL_PR]]) / Table1[[#This Row],[PREV_CL_PR]] * 100</f>
        <v>-2.9488497114396313</v>
      </c>
      <c r="M1998">
        <f>Table1[[#This Row],[HIGH_PRICE]]-Table1[[#This Row],[LOW_PRICE]]</f>
        <v>8.3100000000000023</v>
      </c>
      <c r="N1998" t="str">
        <f>IF(Table1[[#This Row],[CLOSE_PRICE]]&gt;Table1[[#This Row],[OPEN_PRICE]],"Gain","Loss")</f>
        <v>Loss</v>
      </c>
      <c r="O1998" t="str">
        <f>IF(Table1[[#This Row],[MARKET_CAP]]&gt;200000000000,"Large Cap",
IF(Table1[[#This Row],[MARKET_CAP]]&gt;50000000000,"Mid Cap","Small Cap"))</f>
        <v>Small Cap</v>
      </c>
      <c r="P1998" t="str">
        <f>IF(Table1[[#This Row],[NET_TRDQTY]]&gt;1000000,"High Volume","Low Volume")</f>
        <v>Low Volume</v>
      </c>
    </row>
    <row r="1999" spans="1:16" x14ac:dyDescent="0.3">
      <c r="A1999" t="s">
        <v>4001</v>
      </c>
      <c r="B1999" t="s">
        <v>4002</v>
      </c>
      <c r="C1999">
        <v>111.99</v>
      </c>
      <c r="D1999">
        <v>113.23</v>
      </c>
      <c r="E1999">
        <v>109.23</v>
      </c>
      <c r="F1999">
        <v>110.13</v>
      </c>
      <c r="G1999">
        <v>114.12</v>
      </c>
      <c r="H1999">
        <v>20753224</v>
      </c>
      <c r="I1999">
        <v>47849</v>
      </c>
      <c r="J1999">
        <v>159000000000</v>
      </c>
      <c r="K1999">
        <v>1446109569</v>
      </c>
      <c r="L1999">
        <f>(Table1[[#This Row],[CLOSE_PRICE]] - Table1[[#This Row],[PREV_CL_PR]]) / Table1[[#This Row],[PREV_CL_PR]] * 100</f>
        <v>-3.4963196635121006</v>
      </c>
      <c r="M1999">
        <f>Table1[[#This Row],[HIGH_PRICE]]-Table1[[#This Row],[LOW_PRICE]]</f>
        <v>4</v>
      </c>
      <c r="N1999" t="str">
        <f>IF(Table1[[#This Row],[CLOSE_PRICE]]&gt;Table1[[#This Row],[OPEN_PRICE]],"Gain","Loss")</f>
        <v>Loss</v>
      </c>
      <c r="O1999" t="str">
        <f>IF(Table1[[#This Row],[MARKET_CAP]]&gt;200000000000,"Large Cap",
IF(Table1[[#This Row],[MARKET_CAP]]&gt;50000000000,"Mid Cap","Small Cap"))</f>
        <v>Mid Cap</v>
      </c>
      <c r="P1999" t="str">
        <f>IF(Table1[[#This Row],[NET_TRDQTY]]&gt;1000000,"High Volume","Low Volume")</f>
        <v>High Volume</v>
      </c>
    </row>
    <row r="2000" spans="1:16" x14ac:dyDescent="0.3">
      <c r="A2000" t="s">
        <v>4003</v>
      </c>
      <c r="B2000" t="s">
        <v>4004</v>
      </c>
      <c r="C2000">
        <v>9.0299999999999994</v>
      </c>
      <c r="D2000">
        <v>9.0299999999999994</v>
      </c>
      <c r="E2000">
        <v>8.5500000000000007</v>
      </c>
      <c r="F2000">
        <v>8.61</v>
      </c>
      <c r="G2000">
        <v>9.0399999999999991</v>
      </c>
      <c r="H2000">
        <v>1283496</v>
      </c>
      <c r="I2000">
        <v>4487</v>
      </c>
      <c r="J2000">
        <v>4524153576</v>
      </c>
      <c r="K2000">
        <v>525453377</v>
      </c>
      <c r="L2000">
        <f>(Table1[[#This Row],[CLOSE_PRICE]] - Table1[[#This Row],[PREV_CL_PR]]) / Table1[[#This Row],[PREV_CL_PR]] * 100</f>
        <v>-4.75663716814159</v>
      </c>
      <c r="M2000">
        <f>Table1[[#This Row],[HIGH_PRICE]]-Table1[[#This Row],[LOW_PRICE]]</f>
        <v>0.47999999999999865</v>
      </c>
      <c r="N2000" t="str">
        <f>IF(Table1[[#This Row],[CLOSE_PRICE]]&gt;Table1[[#This Row],[OPEN_PRICE]],"Gain","Loss")</f>
        <v>Loss</v>
      </c>
      <c r="O2000" t="str">
        <f>IF(Table1[[#This Row],[MARKET_CAP]]&gt;200000000000,"Large Cap",
IF(Table1[[#This Row],[MARKET_CAP]]&gt;50000000000,"Mid Cap","Small Cap"))</f>
        <v>Small Cap</v>
      </c>
      <c r="P2000" t="str">
        <f>IF(Table1[[#This Row],[NET_TRDQTY]]&gt;1000000,"High Volume","Low Volume")</f>
        <v>High Volume</v>
      </c>
    </row>
    <row r="2001" spans="1:16" x14ac:dyDescent="0.3">
      <c r="A2001" t="s">
        <v>4005</v>
      </c>
      <c r="B2001" t="s">
        <v>4006</v>
      </c>
      <c r="C2001">
        <v>397.8</v>
      </c>
      <c r="D2001">
        <v>398.05</v>
      </c>
      <c r="E2001">
        <v>380</v>
      </c>
      <c r="F2001">
        <v>387.35</v>
      </c>
      <c r="G2001">
        <v>400.85</v>
      </c>
      <c r="H2001">
        <v>598394</v>
      </c>
      <c r="I2001">
        <v>23528</v>
      </c>
      <c r="J2001">
        <v>118000000000</v>
      </c>
      <c r="K2001">
        <v>304741780</v>
      </c>
      <c r="L2001">
        <f>(Table1[[#This Row],[CLOSE_PRICE]] - Table1[[#This Row],[PREV_CL_PR]]) / Table1[[#This Row],[PREV_CL_PR]] * 100</f>
        <v>-3.3678433329175501</v>
      </c>
      <c r="M2001">
        <f>Table1[[#This Row],[HIGH_PRICE]]-Table1[[#This Row],[LOW_PRICE]]</f>
        <v>18.050000000000011</v>
      </c>
      <c r="N2001" t="str">
        <f>IF(Table1[[#This Row],[CLOSE_PRICE]]&gt;Table1[[#This Row],[OPEN_PRICE]],"Gain","Loss")</f>
        <v>Loss</v>
      </c>
      <c r="O2001" t="str">
        <f>IF(Table1[[#This Row],[MARKET_CAP]]&gt;200000000000,"Large Cap",
IF(Table1[[#This Row],[MARKET_CAP]]&gt;50000000000,"Mid Cap","Small Cap"))</f>
        <v>Mid Cap</v>
      </c>
      <c r="P2001" t="str">
        <f>IF(Table1[[#This Row],[NET_TRDQTY]]&gt;1000000,"High Volume","Low Volume")</f>
        <v>Low Volume</v>
      </c>
    </row>
    <row r="2002" spans="1:16" x14ac:dyDescent="0.3">
      <c r="A2002" t="s">
        <v>4007</v>
      </c>
      <c r="B2002" t="s">
        <v>4008</v>
      </c>
      <c r="C2002">
        <v>932</v>
      </c>
      <c r="D2002">
        <v>933.7</v>
      </c>
      <c r="E2002">
        <v>896.5</v>
      </c>
      <c r="F2002">
        <v>906.65</v>
      </c>
      <c r="G2002">
        <v>939</v>
      </c>
      <c r="H2002">
        <v>92171</v>
      </c>
      <c r="I2002">
        <v>10335</v>
      </c>
      <c r="J2002">
        <v>116000000000</v>
      </c>
      <c r="K2002">
        <v>128456530</v>
      </c>
      <c r="L2002">
        <f>(Table1[[#This Row],[CLOSE_PRICE]] - Table1[[#This Row],[PREV_CL_PR]]) / Table1[[#This Row],[PREV_CL_PR]] * 100</f>
        <v>-3.4451544195953163</v>
      </c>
      <c r="M2002">
        <f>Table1[[#This Row],[HIGH_PRICE]]-Table1[[#This Row],[LOW_PRICE]]</f>
        <v>37.200000000000045</v>
      </c>
      <c r="N2002" t="str">
        <f>IF(Table1[[#This Row],[CLOSE_PRICE]]&gt;Table1[[#This Row],[OPEN_PRICE]],"Gain","Loss")</f>
        <v>Loss</v>
      </c>
      <c r="O2002" t="str">
        <f>IF(Table1[[#This Row],[MARKET_CAP]]&gt;200000000000,"Large Cap",
IF(Table1[[#This Row],[MARKET_CAP]]&gt;50000000000,"Mid Cap","Small Cap"))</f>
        <v>Mid Cap</v>
      </c>
      <c r="P2002" t="str">
        <f>IF(Table1[[#This Row],[NET_TRDQTY]]&gt;1000000,"High Volume","Low Volume")</f>
        <v>Low Volume</v>
      </c>
    </row>
    <row r="2003" spans="1:16" x14ac:dyDescent="0.3">
      <c r="A2003" t="s">
        <v>4009</v>
      </c>
      <c r="B2003" t="s">
        <v>4010</v>
      </c>
      <c r="C2003">
        <v>11.8</v>
      </c>
      <c r="D2003">
        <v>11.8</v>
      </c>
      <c r="E2003">
        <v>11.21</v>
      </c>
      <c r="F2003">
        <v>11.33</v>
      </c>
      <c r="G2003">
        <v>11.88</v>
      </c>
      <c r="H2003">
        <v>6980243</v>
      </c>
      <c r="I2003">
        <v>9193</v>
      </c>
      <c r="J2003">
        <v>20162003340</v>
      </c>
      <c r="K2003">
        <v>1779523684</v>
      </c>
      <c r="L2003">
        <f>(Table1[[#This Row],[CLOSE_PRICE]] - Table1[[#This Row],[PREV_CL_PR]]) / Table1[[#This Row],[PREV_CL_PR]] * 100</f>
        <v>-4.629629629629636</v>
      </c>
      <c r="M2003">
        <f>Table1[[#This Row],[HIGH_PRICE]]-Table1[[#This Row],[LOW_PRICE]]</f>
        <v>0.58999999999999986</v>
      </c>
      <c r="N2003" t="str">
        <f>IF(Table1[[#This Row],[CLOSE_PRICE]]&gt;Table1[[#This Row],[OPEN_PRICE]],"Gain","Loss")</f>
        <v>Loss</v>
      </c>
      <c r="O2003" t="str">
        <f>IF(Table1[[#This Row],[MARKET_CAP]]&gt;200000000000,"Large Cap",
IF(Table1[[#This Row],[MARKET_CAP]]&gt;50000000000,"Mid Cap","Small Cap"))</f>
        <v>Small Cap</v>
      </c>
      <c r="P2003" t="str">
        <f>IF(Table1[[#This Row],[NET_TRDQTY]]&gt;1000000,"High Volume","Low Volume")</f>
        <v>High Volume</v>
      </c>
    </row>
    <row r="2004" spans="1:16" x14ac:dyDescent="0.3">
      <c r="A2004" t="s">
        <v>4011</v>
      </c>
      <c r="B2004" t="s">
        <v>4012</v>
      </c>
      <c r="C2004">
        <v>204.5</v>
      </c>
      <c r="D2004">
        <v>204.5</v>
      </c>
      <c r="E2004">
        <v>190.25</v>
      </c>
      <c r="F2004">
        <v>191.49</v>
      </c>
      <c r="G2004">
        <v>202.01</v>
      </c>
      <c r="H2004">
        <v>184110</v>
      </c>
      <c r="I2004">
        <v>3072</v>
      </c>
      <c r="J2004">
        <v>58674629752</v>
      </c>
      <c r="K2004">
        <v>306410934</v>
      </c>
      <c r="L2004">
        <f>(Table1[[#This Row],[CLOSE_PRICE]] - Table1[[#This Row],[PREV_CL_PR]]) / Table1[[#This Row],[PREV_CL_PR]] * 100</f>
        <v>-5.207662986980834</v>
      </c>
      <c r="M2004">
        <f>Table1[[#This Row],[HIGH_PRICE]]-Table1[[#This Row],[LOW_PRICE]]</f>
        <v>14.25</v>
      </c>
      <c r="N2004" t="str">
        <f>IF(Table1[[#This Row],[CLOSE_PRICE]]&gt;Table1[[#This Row],[OPEN_PRICE]],"Gain","Loss")</f>
        <v>Loss</v>
      </c>
      <c r="O2004" t="str">
        <f>IF(Table1[[#This Row],[MARKET_CAP]]&gt;200000000000,"Large Cap",
IF(Table1[[#This Row],[MARKET_CAP]]&gt;50000000000,"Mid Cap","Small Cap"))</f>
        <v>Mid Cap</v>
      </c>
      <c r="P2004" t="str">
        <f>IF(Table1[[#This Row],[NET_TRDQTY]]&gt;1000000,"High Volume","Low Volume")</f>
        <v>Low Volume</v>
      </c>
    </row>
    <row r="2005" spans="1:16" x14ac:dyDescent="0.3">
      <c r="A2005" t="s">
        <v>4013</v>
      </c>
      <c r="B2005" t="s">
        <v>4014</v>
      </c>
      <c r="C2005">
        <v>226.25</v>
      </c>
      <c r="D2005">
        <v>233.59</v>
      </c>
      <c r="E2005">
        <v>215.8</v>
      </c>
      <c r="F2005">
        <v>216.5</v>
      </c>
      <c r="G2005">
        <v>230.47</v>
      </c>
      <c r="H2005">
        <v>320692</v>
      </c>
      <c r="I2005">
        <v>7346</v>
      </c>
      <c r="J2005">
        <v>8256902980</v>
      </c>
      <c r="K2005">
        <v>38138120</v>
      </c>
      <c r="L2005">
        <f>(Table1[[#This Row],[CLOSE_PRICE]] - Table1[[#This Row],[PREV_CL_PR]]) / Table1[[#This Row],[PREV_CL_PR]] * 100</f>
        <v>-6.0615264459582585</v>
      </c>
      <c r="M2005">
        <f>Table1[[#This Row],[HIGH_PRICE]]-Table1[[#This Row],[LOW_PRICE]]</f>
        <v>17.789999999999992</v>
      </c>
      <c r="N2005" t="str">
        <f>IF(Table1[[#This Row],[CLOSE_PRICE]]&gt;Table1[[#This Row],[OPEN_PRICE]],"Gain","Loss")</f>
        <v>Loss</v>
      </c>
      <c r="O2005" t="str">
        <f>IF(Table1[[#This Row],[MARKET_CAP]]&gt;200000000000,"Large Cap",
IF(Table1[[#This Row],[MARKET_CAP]]&gt;50000000000,"Mid Cap","Small Cap"))</f>
        <v>Small Cap</v>
      </c>
      <c r="P2005" t="str">
        <f>IF(Table1[[#This Row],[NET_TRDQTY]]&gt;1000000,"High Volume","Low Volume")</f>
        <v>Low Volume</v>
      </c>
    </row>
    <row r="2006" spans="1:16" x14ac:dyDescent="0.3">
      <c r="A2006" t="s">
        <v>4015</v>
      </c>
      <c r="B2006" t="s">
        <v>4016</v>
      </c>
      <c r="C2006">
        <v>12.72</v>
      </c>
      <c r="D2006">
        <v>12.9</v>
      </c>
      <c r="E2006">
        <v>12.01</v>
      </c>
      <c r="F2006">
        <v>12.11</v>
      </c>
      <c r="G2006">
        <v>12.87</v>
      </c>
      <c r="H2006">
        <v>81855</v>
      </c>
      <c r="I2006">
        <v>284</v>
      </c>
      <c r="J2006">
        <v>2303786164</v>
      </c>
      <c r="K2006">
        <v>190238329</v>
      </c>
      <c r="L2006">
        <f>(Table1[[#This Row],[CLOSE_PRICE]] - Table1[[#This Row],[PREV_CL_PR]]) / Table1[[#This Row],[PREV_CL_PR]] * 100</f>
        <v>-5.9052059052059045</v>
      </c>
      <c r="M2006">
        <f>Table1[[#This Row],[HIGH_PRICE]]-Table1[[#This Row],[LOW_PRICE]]</f>
        <v>0.89000000000000057</v>
      </c>
      <c r="N2006" t="str">
        <f>IF(Table1[[#This Row],[CLOSE_PRICE]]&gt;Table1[[#This Row],[OPEN_PRICE]],"Gain","Loss")</f>
        <v>Loss</v>
      </c>
      <c r="O2006" t="str">
        <f>IF(Table1[[#This Row],[MARKET_CAP]]&gt;200000000000,"Large Cap",
IF(Table1[[#This Row],[MARKET_CAP]]&gt;50000000000,"Mid Cap","Small Cap"))</f>
        <v>Small Cap</v>
      </c>
      <c r="P2006" t="str">
        <f>IF(Table1[[#This Row],[NET_TRDQTY]]&gt;1000000,"High Volume","Low Volume")</f>
        <v>Low Volume</v>
      </c>
    </row>
    <row r="2007" spans="1:16" x14ac:dyDescent="0.3">
      <c r="A2007" t="s">
        <v>4017</v>
      </c>
      <c r="B2007" t="s">
        <v>4018</v>
      </c>
      <c r="C2007">
        <v>1904.9</v>
      </c>
      <c r="D2007">
        <v>1917.4</v>
      </c>
      <c r="E2007">
        <v>1720.3</v>
      </c>
      <c r="F2007">
        <v>1827.9</v>
      </c>
      <c r="G2007">
        <v>1912.2</v>
      </c>
      <c r="H2007">
        <v>158766</v>
      </c>
      <c r="I2007">
        <v>19890</v>
      </c>
      <c r="J2007">
        <v>66652097765</v>
      </c>
      <c r="K2007">
        <v>36463755</v>
      </c>
      <c r="L2007">
        <f>(Table1[[#This Row],[CLOSE_PRICE]] - Table1[[#This Row],[PREV_CL_PR]]) / Table1[[#This Row],[PREV_CL_PR]] * 100</f>
        <v>-4.4085346721054259</v>
      </c>
      <c r="M2007">
        <f>Table1[[#This Row],[HIGH_PRICE]]-Table1[[#This Row],[LOW_PRICE]]</f>
        <v>197.10000000000014</v>
      </c>
      <c r="N2007" t="str">
        <f>IF(Table1[[#This Row],[CLOSE_PRICE]]&gt;Table1[[#This Row],[OPEN_PRICE]],"Gain","Loss")</f>
        <v>Loss</v>
      </c>
      <c r="O2007" t="str">
        <f>IF(Table1[[#This Row],[MARKET_CAP]]&gt;200000000000,"Large Cap",
IF(Table1[[#This Row],[MARKET_CAP]]&gt;50000000000,"Mid Cap","Small Cap"))</f>
        <v>Mid Cap</v>
      </c>
      <c r="P2007" t="str">
        <f>IF(Table1[[#This Row],[NET_TRDQTY]]&gt;1000000,"High Volume","Low Volume")</f>
        <v>Low Volume</v>
      </c>
    </row>
    <row r="2008" spans="1:16" x14ac:dyDescent="0.3">
      <c r="A2008" t="s">
        <v>4019</v>
      </c>
      <c r="B2008" t="s">
        <v>4020</v>
      </c>
      <c r="C2008">
        <v>4763.3999999999996</v>
      </c>
      <c r="D2008">
        <v>4763.3999999999996</v>
      </c>
      <c r="E2008">
        <v>4208.3999999999996</v>
      </c>
      <c r="F2008">
        <v>4227.8999999999996</v>
      </c>
      <c r="G2008">
        <v>4531.8</v>
      </c>
      <c r="H2008">
        <v>30185</v>
      </c>
      <c r="I2008">
        <v>5770</v>
      </c>
      <c r="J2008">
        <v>30389426457</v>
      </c>
      <c r="K2008">
        <v>7187830</v>
      </c>
      <c r="L2008">
        <f>(Table1[[#This Row],[CLOSE_PRICE]] - Table1[[#This Row],[PREV_CL_PR]]) / Table1[[#This Row],[PREV_CL_PR]] * 100</f>
        <v>-6.7059446577518989</v>
      </c>
      <c r="M2008">
        <f>Table1[[#This Row],[HIGH_PRICE]]-Table1[[#This Row],[LOW_PRICE]]</f>
        <v>555</v>
      </c>
      <c r="N2008" t="str">
        <f>IF(Table1[[#This Row],[CLOSE_PRICE]]&gt;Table1[[#This Row],[OPEN_PRICE]],"Gain","Loss")</f>
        <v>Loss</v>
      </c>
      <c r="O2008" t="str">
        <f>IF(Table1[[#This Row],[MARKET_CAP]]&gt;200000000000,"Large Cap",
IF(Table1[[#This Row],[MARKET_CAP]]&gt;50000000000,"Mid Cap","Small Cap"))</f>
        <v>Small Cap</v>
      </c>
      <c r="P2008" t="str">
        <f>IF(Table1[[#This Row],[NET_TRDQTY]]&gt;1000000,"High Volume","Low Volume")</f>
        <v>Low Volume</v>
      </c>
    </row>
    <row r="2009" spans="1:16" x14ac:dyDescent="0.3">
      <c r="A2009" t="s">
        <v>4021</v>
      </c>
      <c r="B2009" t="s">
        <v>4022</v>
      </c>
      <c r="C2009">
        <v>202.1</v>
      </c>
      <c r="D2009">
        <v>203.56</v>
      </c>
      <c r="E2009">
        <v>191.1</v>
      </c>
      <c r="F2009">
        <v>193.18</v>
      </c>
      <c r="G2009">
        <v>204.73</v>
      </c>
      <c r="H2009">
        <v>651926</v>
      </c>
      <c r="I2009">
        <v>11991</v>
      </c>
      <c r="J2009">
        <v>32267413690</v>
      </c>
      <c r="K2009">
        <v>167032890</v>
      </c>
      <c r="L2009">
        <f>(Table1[[#This Row],[CLOSE_PRICE]] - Table1[[#This Row],[PREV_CL_PR]]) / Table1[[#This Row],[PREV_CL_PR]] * 100</f>
        <v>-5.6415767107898125</v>
      </c>
      <c r="M2009">
        <f>Table1[[#This Row],[HIGH_PRICE]]-Table1[[#This Row],[LOW_PRICE]]</f>
        <v>12.460000000000008</v>
      </c>
      <c r="N2009" t="str">
        <f>IF(Table1[[#This Row],[CLOSE_PRICE]]&gt;Table1[[#This Row],[OPEN_PRICE]],"Gain","Loss")</f>
        <v>Loss</v>
      </c>
      <c r="O2009" t="str">
        <f>IF(Table1[[#This Row],[MARKET_CAP]]&gt;200000000000,"Large Cap",
IF(Table1[[#This Row],[MARKET_CAP]]&gt;50000000000,"Mid Cap","Small Cap"))</f>
        <v>Small Cap</v>
      </c>
      <c r="P2009" t="str">
        <f>IF(Table1[[#This Row],[NET_TRDQTY]]&gt;1000000,"High Volume","Low Volume")</f>
        <v>Low Volume</v>
      </c>
    </row>
    <row r="2010" spans="1:16" x14ac:dyDescent="0.3">
      <c r="A2010" t="s">
        <v>4023</v>
      </c>
      <c r="B2010" t="s">
        <v>4024</v>
      </c>
      <c r="C2010">
        <v>6.11</v>
      </c>
      <c r="D2010">
        <v>6.11</v>
      </c>
      <c r="E2010">
        <v>5.67</v>
      </c>
      <c r="F2010">
        <v>5.82</v>
      </c>
      <c r="G2010">
        <v>5.98</v>
      </c>
      <c r="H2010">
        <v>324254</v>
      </c>
      <c r="I2010">
        <v>539</v>
      </c>
      <c r="J2010">
        <v>759289596.60000002</v>
      </c>
      <c r="K2010">
        <v>130462130</v>
      </c>
      <c r="L2010">
        <f>(Table1[[#This Row],[CLOSE_PRICE]] - Table1[[#This Row],[PREV_CL_PR]]) / Table1[[#This Row],[PREV_CL_PR]] * 100</f>
        <v>-2.6755852842809387</v>
      </c>
      <c r="M2010">
        <f>Table1[[#This Row],[HIGH_PRICE]]-Table1[[#This Row],[LOW_PRICE]]</f>
        <v>0.44000000000000039</v>
      </c>
      <c r="N2010" t="str">
        <f>IF(Table1[[#This Row],[CLOSE_PRICE]]&gt;Table1[[#This Row],[OPEN_PRICE]],"Gain","Loss")</f>
        <v>Loss</v>
      </c>
      <c r="O2010" t="str">
        <f>IF(Table1[[#This Row],[MARKET_CAP]]&gt;200000000000,"Large Cap",
IF(Table1[[#This Row],[MARKET_CAP]]&gt;50000000000,"Mid Cap","Small Cap"))</f>
        <v>Small Cap</v>
      </c>
      <c r="P2010" t="str">
        <f>IF(Table1[[#This Row],[NET_TRDQTY]]&gt;1000000,"High Volume","Low Volume")</f>
        <v>Low Volume</v>
      </c>
    </row>
    <row r="2011" spans="1:16" x14ac:dyDescent="0.3">
      <c r="A2011" t="s">
        <v>4025</v>
      </c>
      <c r="B2011" t="s">
        <v>4026</v>
      </c>
      <c r="C2011">
        <v>5.7</v>
      </c>
      <c r="D2011">
        <v>5.7</v>
      </c>
      <c r="E2011">
        <v>5.05</v>
      </c>
      <c r="F2011">
        <v>5.14</v>
      </c>
      <c r="G2011">
        <v>5.7</v>
      </c>
      <c r="H2011">
        <v>6449435</v>
      </c>
      <c r="I2011">
        <v>6331</v>
      </c>
      <c r="J2011">
        <v>5567605888</v>
      </c>
      <c r="K2011">
        <v>1083191807</v>
      </c>
      <c r="L2011">
        <f>(Table1[[#This Row],[CLOSE_PRICE]] - Table1[[#This Row],[PREV_CL_PR]]) / Table1[[#This Row],[PREV_CL_PR]] * 100</f>
        <v>-9.8245614035087812</v>
      </c>
      <c r="M2011">
        <f>Table1[[#This Row],[HIGH_PRICE]]-Table1[[#This Row],[LOW_PRICE]]</f>
        <v>0.65000000000000036</v>
      </c>
      <c r="N2011" t="str">
        <f>IF(Table1[[#This Row],[CLOSE_PRICE]]&gt;Table1[[#This Row],[OPEN_PRICE]],"Gain","Loss")</f>
        <v>Loss</v>
      </c>
      <c r="O2011" t="str">
        <f>IF(Table1[[#This Row],[MARKET_CAP]]&gt;200000000000,"Large Cap",
IF(Table1[[#This Row],[MARKET_CAP]]&gt;50000000000,"Mid Cap","Small Cap"))</f>
        <v>Small Cap</v>
      </c>
      <c r="P2011" t="str">
        <f>IF(Table1[[#This Row],[NET_TRDQTY]]&gt;1000000,"High Volume","Low Volume")</f>
        <v>High Volume</v>
      </c>
    </row>
    <row r="2012" spans="1:16" x14ac:dyDescent="0.3">
      <c r="A2012" t="s">
        <v>4027</v>
      </c>
      <c r="B2012" t="s">
        <v>4028</v>
      </c>
      <c r="C2012">
        <v>61.39</v>
      </c>
      <c r="D2012">
        <v>61.39</v>
      </c>
      <c r="E2012">
        <v>55.4</v>
      </c>
      <c r="F2012">
        <v>56.41</v>
      </c>
      <c r="G2012">
        <v>61.1</v>
      </c>
      <c r="H2012">
        <v>112758</v>
      </c>
      <c r="I2012">
        <v>1339</v>
      </c>
      <c r="J2012">
        <v>3063768125</v>
      </c>
      <c r="K2012">
        <v>54312500</v>
      </c>
      <c r="L2012">
        <f>(Table1[[#This Row],[CLOSE_PRICE]] - Table1[[#This Row],[PREV_CL_PR]]) / Table1[[#This Row],[PREV_CL_PR]] * 100</f>
        <v>-7.6759410801964068</v>
      </c>
      <c r="M2012">
        <f>Table1[[#This Row],[HIGH_PRICE]]-Table1[[#This Row],[LOW_PRICE]]</f>
        <v>5.990000000000002</v>
      </c>
      <c r="N2012" t="str">
        <f>IF(Table1[[#This Row],[CLOSE_PRICE]]&gt;Table1[[#This Row],[OPEN_PRICE]],"Gain","Loss")</f>
        <v>Loss</v>
      </c>
      <c r="O2012" t="str">
        <f>IF(Table1[[#This Row],[MARKET_CAP]]&gt;200000000000,"Large Cap",
IF(Table1[[#This Row],[MARKET_CAP]]&gt;50000000000,"Mid Cap","Small Cap"))</f>
        <v>Small Cap</v>
      </c>
      <c r="P2012" t="str">
        <f>IF(Table1[[#This Row],[NET_TRDQTY]]&gt;1000000,"High Volume","Low Volume")</f>
        <v>Low Volume</v>
      </c>
    </row>
    <row r="2013" spans="1:16" x14ac:dyDescent="0.3">
      <c r="A2013" t="s">
        <v>4029</v>
      </c>
      <c r="B2013" t="s">
        <v>4030</v>
      </c>
      <c r="C2013">
        <v>264.99</v>
      </c>
      <c r="D2013">
        <v>264.99</v>
      </c>
      <c r="E2013">
        <v>238.94</v>
      </c>
      <c r="F2013">
        <v>241.49</v>
      </c>
      <c r="G2013">
        <v>269.3</v>
      </c>
      <c r="H2013">
        <v>142054</v>
      </c>
      <c r="I2013">
        <v>4940</v>
      </c>
      <c r="J2013">
        <v>6668516693</v>
      </c>
      <c r="K2013">
        <v>27614049</v>
      </c>
      <c r="L2013">
        <f>(Table1[[#This Row],[CLOSE_PRICE]] - Table1[[#This Row],[PREV_CL_PR]]) / Table1[[#This Row],[PREV_CL_PR]] * 100</f>
        <v>-10.32677311548459</v>
      </c>
      <c r="M2013">
        <f>Table1[[#This Row],[HIGH_PRICE]]-Table1[[#This Row],[LOW_PRICE]]</f>
        <v>26.050000000000011</v>
      </c>
      <c r="N2013" t="str">
        <f>IF(Table1[[#This Row],[CLOSE_PRICE]]&gt;Table1[[#This Row],[OPEN_PRICE]],"Gain","Loss")</f>
        <v>Loss</v>
      </c>
      <c r="O2013" t="str">
        <f>IF(Table1[[#This Row],[MARKET_CAP]]&gt;200000000000,"Large Cap",
IF(Table1[[#This Row],[MARKET_CAP]]&gt;50000000000,"Mid Cap","Small Cap"))</f>
        <v>Small Cap</v>
      </c>
      <c r="P2013" t="str">
        <f>IF(Table1[[#This Row],[NET_TRDQTY]]&gt;1000000,"High Volume","Low Volume")</f>
        <v>Low Volume</v>
      </c>
    </row>
    <row r="2014" spans="1:16" x14ac:dyDescent="0.3">
      <c r="A2014" t="s">
        <v>4031</v>
      </c>
      <c r="B2014" t="s">
        <v>4032</v>
      </c>
      <c r="C2014">
        <v>32.4</v>
      </c>
      <c r="D2014">
        <v>32.479999999999997</v>
      </c>
      <c r="E2014">
        <v>30.3</v>
      </c>
      <c r="F2014">
        <v>31.04</v>
      </c>
      <c r="G2014">
        <v>32.43</v>
      </c>
      <c r="H2014">
        <v>26865</v>
      </c>
      <c r="I2014">
        <v>355</v>
      </c>
      <c r="J2014">
        <v>2494490676</v>
      </c>
      <c r="K2014">
        <v>80363746</v>
      </c>
      <c r="L2014">
        <f>(Table1[[#This Row],[CLOSE_PRICE]] - Table1[[#This Row],[PREV_CL_PR]]) / Table1[[#This Row],[PREV_CL_PR]] * 100</f>
        <v>-4.2861547949429557</v>
      </c>
      <c r="M2014">
        <f>Table1[[#This Row],[HIGH_PRICE]]-Table1[[#This Row],[LOW_PRICE]]</f>
        <v>2.1799999999999962</v>
      </c>
      <c r="N2014" t="str">
        <f>IF(Table1[[#This Row],[CLOSE_PRICE]]&gt;Table1[[#This Row],[OPEN_PRICE]],"Gain","Loss")</f>
        <v>Loss</v>
      </c>
      <c r="O2014" t="str">
        <f>IF(Table1[[#This Row],[MARKET_CAP]]&gt;200000000000,"Large Cap",
IF(Table1[[#This Row],[MARKET_CAP]]&gt;50000000000,"Mid Cap","Small Cap"))</f>
        <v>Small Cap</v>
      </c>
      <c r="P2014" t="str">
        <f>IF(Table1[[#This Row],[NET_TRDQTY]]&gt;1000000,"High Volume","Low Volume")</f>
        <v>Low Volume</v>
      </c>
    </row>
    <row r="2015" spans="1:16" x14ac:dyDescent="0.3">
      <c r="A2015" t="s">
        <v>4033</v>
      </c>
      <c r="B2015" t="s">
        <v>4034</v>
      </c>
      <c r="C2015">
        <v>494</v>
      </c>
      <c r="D2015">
        <v>494.3</v>
      </c>
      <c r="E2015">
        <v>472.25</v>
      </c>
      <c r="F2015">
        <v>475.4</v>
      </c>
      <c r="G2015">
        <v>498.2</v>
      </c>
      <c r="H2015">
        <v>205507</v>
      </c>
      <c r="I2015">
        <v>10686</v>
      </c>
      <c r="J2015">
        <v>72634654560</v>
      </c>
      <c r="K2015">
        <v>152786400</v>
      </c>
      <c r="L2015">
        <f>(Table1[[#This Row],[CLOSE_PRICE]] - Table1[[#This Row],[PREV_CL_PR]]) / Table1[[#This Row],[PREV_CL_PR]] * 100</f>
        <v>-4.5764753111200349</v>
      </c>
      <c r="M2015">
        <f>Table1[[#This Row],[HIGH_PRICE]]-Table1[[#This Row],[LOW_PRICE]]</f>
        <v>22.050000000000011</v>
      </c>
      <c r="N2015" t="str">
        <f>IF(Table1[[#This Row],[CLOSE_PRICE]]&gt;Table1[[#This Row],[OPEN_PRICE]],"Gain","Loss")</f>
        <v>Loss</v>
      </c>
      <c r="O2015" t="str">
        <f>IF(Table1[[#This Row],[MARKET_CAP]]&gt;200000000000,"Large Cap",
IF(Table1[[#This Row],[MARKET_CAP]]&gt;50000000000,"Mid Cap","Small Cap"))</f>
        <v>Mid Cap</v>
      </c>
      <c r="P2015" t="str">
        <f>IF(Table1[[#This Row],[NET_TRDQTY]]&gt;1000000,"High Volume","Low Volume")</f>
        <v>Low Volume</v>
      </c>
    </row>
    <row r="2016" spans="1:16" x14ac:dyDescent="0.3">
      <c r="A2016" t="s">
        <v>4035</v>
      </c>
      <c r="B2016" t="s">
        <v>4036</v>
      </c>
      <c r="C2016">
        <v>31.35</v>
      </c>
      <c r="D2016">
        <v>31.35</v>
      </c>
      <c r="E2016">
        <v>29.3</v>
      </c>
      <c r="F2016">
        <v>29.51</v>
      </c>
      <c r="G2016">
        <v>31.64</v>
      </c>
      <c r="H2016">
        <v>1421178</v>
      </c>
      <c r="I2016">
        <v>5545</v>
      </c>
      <c r="J2016">
        <v>6747966446</v>
      </c>
      <c r="K2016">
        <v>228667111</v>
      </c>
      <c r="L2016">
        <f>(Table1[[#This Row],[CLOSE_PRICE]] - Table1[[#This Row],[PREV_CL_PR]]) / Table1[[#This Row],[PREV_CL_PR]] * 100</f>
        <v>-6.7319848293299591</v>
      </c>
      <c r="M2016">
        <f>Table1[[#This Row],[HIGH_PRICE]]-Table1[[#This Row],[LOW_PRICE]]</f>
        <v>2.0500000000000007</v>
      </c>
      <c r="N2016" t="str">
        <f>IF(Table1[[#This Row],[CLOSE_PRICE]]&gt;Table1[[#This Row],[OPEN_PRICE]],"Gain","Loss")</f>
        <v>Loss</v>
      </c>
      <c r="O2016" t="str">
        <f>IF(Table1[[#This Row],[MARKET_CAP]]&gt;200000000000,"Large Cap",
IF(Table1[[#This Row],[MARKET_CAP]]&gt;50000000000,"Mid Cap","Small Cap"))</f>
        <v>Small Cap</v>
      </c>
      <c r="P2016" t="str">
        <f>IF(Table1[[#This Row],[NET_TRDQTY]]&gt;1000000,"High Volume","Low Volume")</f>
        <v>High Volume</v>
      </c>
    </row>
    <row r="2017" spans="1:16" x14ac:dyDescent="0.3">
      <c r="A2017" t="s">
        <v>4037</v>
      </c>
      <c r="B2017" t="s">
        <v>4038</v>
      </c>
      <c r="C2017">
        <v>52.17</v>
      </c>
      <c r="D2017">
        <v>53</v>
      </c>
      <c r="E2017">
        <v>50</v>
      </c>
      <c r="F2017">
        <v>50.55</v>
      </c>
      <c r="G2017">
        <v>52.17</v>
      </c>
      <c r="H2017">
        <v>55316</v>
      </c>
      <c r="I2017">
        <v>1117</v>
      </c>
      <c r="J2017">
        <v>1584548034</v>
      </c>
      <c r="K2017">
        <v>31346153</v>
      </c>
      <c r="L2017">
        <f>(Table1[[#This Row],[CLOSE_PRICE]] - Table1[[#This Row],[PREV_CL_PR]]) / Table1[[#This Row],[PREV_CL_PR]] * 100</f>
        <v>-3.1052328924669435</v>
      </c>
      <c r="M2017">
        <f>Table1[[#This Row],[HIGH_PRICE]]-Table1[[#This Row],[LOW_PRICE]]</f>
        <v>3</v>
      </c>
      <c r="N2017" t="str">
        <f>IF(Table1[[#This Row],[CLOSE_PRICE]]&gt;Table1[[#This Row],[OPEN_PRICE]],"Gain","Loss")</f>
        <v>Loss</v>
      </c>
      <c r="O2017" t="str">
        <f>IF(Table1[[#This Row],[MARKET_CAP]]&gt;200000000000,"Large Cap",
IF(Table1[[#This Row],[MARKET_CAP]]&gt;50000000000,"Mid Cap","Small Cap"))</f>
        <v>Small Cap</v>
      </c>
      <c r="P2017" t="str">
        <f>IF(Table1[[#This Row],[NET_TRDQTY]]&gt;1000000,"High Volume","Low Volume")</f>
        <v>Low Volume</v>
      </c>
    </row>
    <row r="2018" spans="1:16" x14ac:dyDescent="0.3">
      <c r="A2018" t="s">
        <v>4039</v>
      </c>
      <c r="B2018" t="s">
        <v>4040</v>
      </c>
      <c r="C2018">
        <v>1.39</v>
      </c>
      <c r="D2018">
        <v>1.41</v>
      </c>
      <c r="E2018">
        <v>1.33</v>
      </c>
      <c r="F2018">
        <v>1.33</v>
      </c>
      <c r="G2018">
        <v>1.39</v>
      </c>
      <c r="H2018">
        <v>515316</v>
      </c>
      <c r="I2018">
        <v>314</v>
      </c>
      <c r="J2018">
        <v>244390452.59999999</v>
      </c>
      <c r="K2018">
        <v>183752220</v>
      </c>
      <c r="L2018">
        <f>(Table1[[#This Row],[CLOSE_PRICE]] - Table1[[#This Row],[PREV_CL_PR]]) / Table1[[#This Row],[PREV_CL_PR]] * 100</f>
        <v>-4.3165467625899163</v>
      </c>
      <c r="M2018">
        <f>Table1[[#This Row],[HIGH_PRICE]]-Table1[[#This Row],[LOW_PRICE]]</f>
        <v>7.9999999999999849E-2</v>
      </c>
      <c r="N2018" t="str">
        <f>IF(Table1[[#This Row],[CLOSE_PRICE]]&gt;Table1[[#This Row],[OPEN_PRICE]],"Gain","Loss")</f>
        <v>Loss</v>
      </c>
      <c r="O2018" t="str">
        <f>IF(Table1[[#This Row],[MARKET_CAP]]&gt;200000000000,"Large Cap",
IF(Table1[[#This Row],[MARKET_CAP]]&gt;50000000000,"Mid Cap","Small Cap"))</f>
        <v>Small Cap</v>
      </c>
      <c r="P2018" t="str">
        <f>IF(Table1[[#This Row],[NET_TRDQTY]]&gt;1000000,"High Volume","Low Volume")</f>
        <v>Low Volume</v>
      </c>
    </row>
    <row r="2019" spans="1:16" x14ac:dyDescent="0.3">
      <c r="A2019" t="s">
        <v>4041</v>
      </c>
      <c r="B2019" t="s">
        <v>4042</v>
      </c>
      <c r="C2019">
        <v>1311.3</v>
      </c>
      <c r="D2019">
        <v>1327.8</v>
      </c>
      <c r="E2019">
        <v>1282.5999999999999</v>
      </c>
      <c r="F2019">
        <v>1290.9000000000001</v>
      </c>
      <c r="G2019">
        <v>1331.3</v>
      </c>
      <c r="H2019">
        <v>18357</v>
      </c>
      <c r="I2019">
        <v>1599</v>
      </c>
      <c r="J2019">
        <v>22492641600</v>
      </c>
      <c r="K2019">
        <v>17424000</v>
      </c>
      <c r="L2019">
        <f>(Table1[[#This Row],[CLOSE_PRICE]] - Table1[[#This Row],[PREV_CL_PR]]) / Table1[[#This Row],[PREV_CL_PR]] * 100</f>
        <v>-3.0346278074062845</v>
      </c>
      <c r="M2019">
        <f>Table1[[#This Row],[HIGH_PRICE]]-Table1[[#This Row],[LOW_PRICE]]</f>
        <v>45.200000000000045</v>
      </c>
      <c r="N2019" t="str">
        <f>IF(Table1[[#This Row],[CLOSE_PRICE]]&gt;Table1[[#This Row],[OPEN_PRICE]],"Gain","Loss")</f>
        <v>Loss</v>
      </c>
      <c r="O2019" t="str">
        <f>IF(Table1[[#This Row],[MARKET_CAP]]&gt;200000000000,"Large Cap",
IF(Table1[[#This Row],[MARKET_CAP]]&gt;50000000000,"Mid Cap","Small Cap"))</f>
        <v>Small Cap</v>
      </c>
      <c r="P2019" t="str">
        <f>IF(Table1[[#This Row],[NET_TRDQTY]]&gt;1000000,"High Volume","Low Volume")</f>
        <v>Low Volume</v>
      </c>
    </row>
    <row r="2020" spans="1:16" x14ac:dyDescent="0.3">
      <c r="A2020" t="s">
        <v>4043</v>
      </c>
      <c r="B2020" t="s">
        <v>4044</v>
      </c>
      <c r="C2020">
        <v>1298.5</v>
      </c>
      <c r="D2020">
        <v>1298.5</v>
      </c>
      <c r="E2020">
        <v>1209.8</v>
      </c>
      <c r="F2020">
        <v>1223.3</v>
      </c>
      <c r="G2020">
        <v>1305.2</v>
      </c>
      <c r="H2020">
        <v>60020</v>
      </c>
      <c r="I2020">
        <v>4952</v>
      </c>
      <c r="J2020">
        <v>17233036906</v>
      </c>
      <c r="K2020">
        <v>14087335</v>
      </c>
      <c r="L2020">
        <f>(Table1[[#This Row],[CLOSE_PRICE]] - Table1[[#This Row],[PREV_CL_PR]]) / Table1[[#This Row],[PREV_CL_PR]] * 100</f>
        <v>-6.2749003984063814</v>
      </c>
      <c r="M2020">
        <f>Table1[[#This Row],[HIGH_PRICE]]-Table1[[#This Row],[LOW_PRICE]]</f>
        <v>88.700000000000045</v>
      </c>
      <c r="N2020" t="str">
        <f>IF(Table1[[#This Row],[CLOSE_PRICE]]&gt;Table1[[#This Row],[OPEN_PRICE]],"Gain","Loss")</f>
        <v>Loss</v>
      </c>
      <c r="O2020" t="str">
        <f>IF(Table1[[#This Row],[MARKET_CAP]]&gt;200000000000,"Large Cap",
IF(Table1[[#This Row],[MARKET_CAP]]&gt;50000000000,"Mid Cap","Small Cap"))</f>
        <v>Small Cap</v>
      </c>
      <c r="P2020" t="str">
        <f>IF(Table1[[#This Row],[NET_TRDQTY]]&gt;1000000,"High Volume","Low Volume")</f>
        <v>Low Volume</v>
      </c>
    </row>
    <row r="2021" spans="1:16" x14ac:dyDescent="0.3">
      <c r="A2021" t="s">
        <v>4045</v>
      </c>
      <c r="B2021" t="s">
        <v>4046</v>
      </c>
      <c r="C2021">
        <v>632</v>
      </c>
      <c r="D2021">
        <v>638.75</v>
      </c>
      <c r="E2021">
        <v>610.20000000000005</v>
      </c>
      <c r="F2021">
        <v>622.95000000000005</v>
      </c>
      <c r="G2021">
        <v>641.4</v>
      </c>
      <c r="H2021">
        <v>87901</v>
      </c>
      <c r="I2021">
        <v>4850</v>
      </c>
      <c r="J2021">
        <v>145000000000</v>
      </c>
      <c r="K2021">
        <v>233541608</v>
      </c>
      <c r="L2021">
        <f>(Table1[[#This Row],[CLOSE_PRICE]] - Table1[[#This Row],[PREV_CL_PR]]) / Table1[[#This Row],[PREV_CL_PR]] * 100</f>
        <v>-2.876520112254433</v>
      </c>
      <c r="M2021">
        <f>Table1[[#This Row],[HIGH_PRICE]]-Table1[[#This Row],[LOW_PRICE]]</f>
        <v>28.549999999999955</v>
      </c>
      <c r="N2021" t="str">
        <f>IF(Table1[[#This Row],[CLOSE_PRICE]]&gt;Table1[[#This Row],[OPEN_PRICE]],"Gain","Loss")</f>
        <v>Loss</v>
      </c>
      <c r="O2021" t="str">
        <f>IF(Table1[[#This Row],[MARKET_CAP]]&gt;200000000000,"Large Cap",
IF(Table1[[#This Row],[MARKET_CAP]]&gt;50000000000,"Mid Cap","Small Cap"))</f>
        <v>Mid Cap</v>
      </c>
      <c r="P2021" t="str">
        <f>IF(Table1[[#This Row],[NET_TRDQTY]]&gt;1000000,"High Volume","Low Volume")</f>
        <v>Low Volume</v>
      </c>
    </row>
    <row r="2022" spans="1:16" x14ac:dyDescent="0.3">
      <c r="A2022" t="s">
        <v>4047</v>
      </c>
      <c r="B2022" t="s">
        <v>4048</v>
      </c>
      <c r="C2022">
        <v>944.1</v>
      </c>
      <c r="D2022">
        <v>947</v>
      </c>
      <c r="E2022">
        <v>894.6</v>
      </c>
      <c r="F2022">
        <v>917.9</v>
      </c>
      <c r="G2022">
        <v>949.5</v>
      </c>
      <c r="H2022">
        <v>120983</v>
      </c>
      <c r="I2022">
        <v>9019</v>
      </c>
      <c r="J2022">
        <v>19015317369</v>
      </c>
      <c r="K2022">
        <v>20716110</v>
      </c>
      <c r="L2022">
        <f>(Table1[[#This Row],[CLOSE_PRICE]] - Table1[[#This Row],[PREV_CL_PR]]) / Table1[[#This Row],[PREV_CL_PR]] * 100</f>
        <v>-3.3280674038967901</v>
      </c>
      <c r="M2022">
        <f>Table1[[#This Row],[HIGH_PRICE]]-Table1[[#This Row],[LOW_PRICE]]</f>
        <v>52.399999999999977</v>
      </c>
      <c r="N2022" t="str">
        <f>IF(Table1[[#This Row],[CLOSE_PRICE]]&gt;Table1[[#This Row],[OPEN_PRICE]],"Gain","Loss")</f>
        <v>Loss</v>
      </c>
      <c r="O2022" t="str">
        <f>IF(Table1[[#This Row],[MARKET_CAP]]&gt;200000000000,"Large Cap",
IF(Table1[[#This Row],[MARKET_CAP]]&gt;50000000000,"Mid Cap","Small Cap"))</f>
        <v>Small Cap</v>
      </c>
      <c r="P2022" t="str">
        <f>IF(Table1[[#This Row],[NET_TRDQTY]]&gt;1000000,"High Volume","Low Volume")</f>
        <v>Low Volume</v>
      </c>
    </row>
    <row r="2023" spans="1:16" x14ac:dyDescent="0.3">
      <c r="A2023" t="s">
        <v>4049</v>
      </c>
      <c r="B2023" t="s">
        <v>4050</v>
      </c>
      <c r="C2023">
        <v>860</v>
      </c>
      <c r="D2023">
        <v>873</v>
      </c>
      <c r="E2023">
        <v>824.85</v>
      </c>
      <c r="F2023">
        <v>825</v>
      </c>
      <c r="G2023">
        <v>868.25</v>
      </c>
      <c r="H2023">
        <v>45639</v>
      </c>
      <c r="I2023">
        <v>1638</v>
      </c>
      <c r="J2023">
        <v>11027765100</v>
      </c>
      <c r="K2023">
        <v>13366988</v>
      </c>
      <c r="L2023">
        <f>(Table1[[#This Row],[CLOSE_PRICE]] - Table1[[#This Row],[PREV_CL_PR]]) / Table1[[#This Row],[PREV_CL_PR]] * 100</f>
        <v>-4.9812841923409161</v>
      </c>
      <c r="M2023">
        <f>Table1[[#This Row],[HIGH_PRICE]]-Table1[[#This Row],[LOW_PRICE]]</f>
        <v>48.149999999999977</v>
      </c>
      <c r="N2023" t="str">
        <f>IF(Table1[[#This Row],[CLOSE_PRICE]]&gt;Table1[[#This Row],[OPEN_PRICE]],"Gain","Loss")</f>
        <v>Loss</v>
      </c>
      <c r="O2023" t="str">
        <f>IF(Table1[[#This Row],[MARKET_CAP]]&gt;200000000000,"Large Cap",
IF(Table1[[#This Row],[MARKET_CAP]]&gt;50000000000,"Mid Cap","Small Cap"))</f>
        <v>Small Cap</v>
      </c>
      <c r="P2023" t="str">
        <f>IF(Table1[[#This Row],[NET_TRDQTY]]&gt;1000000,"High Volume","Low Volume")</f>
        <v>Low Volume</v>
      </c>
    </row>
    <row r="2024" spans="1:16" x14ac:dyDescent="0.3">
      <c r="A2024" t="s">
        <v>4051</v>
      </c>
      <c r="B2024" t="s">
        <v>4052</v>
      </c>
      <c r="C2024">
        <v>137.53</v>
      </c>
      <c r="D2024">
        <v>139.1</v>
      </c>
      <c r="E2024">
        <v>130.84</v>
      </c>
      <c r="F2024">
        <v>136.07</v>
      </c>
      <c r="G2024">
        <v>137.53</v>
      </c>
      <c r="H2024">
        <v>463988</v>
      </c>
      <c r="I2024">
        <v>5433</v>
      </c>
      <c r="J2024">
        <v>13026209562</v>
      </c>
      <c r="K2024">
        <v>95731679</v>
      </c>
      <c r="L2024">
        <f>(Table1[[#This Row],[CLOSE_PRICE]] - Table1[[#This Row],[PREV_CL_PR]]) / Table1[[#This Row],[PREV_CL_PR]] * 100</f>
        <v>-1.0615865629317298</v>
      </c>
      <c r="M2024">
        <f>Table1[[#This Row],[HIGH_PRICE]]-Table1[[#This Row],[LOW_PRICE]]</f>
        <v>8.2599999999999909</v>
      </c>
      <c r="N2024" t="str">
        <f>IF(Table1[[#This Row],[CLOSE_PRICE]]&gt;Table1[[#This Row],[OPEN_PRICE]],"Gain","Loss")</f>
        <v>Loss</v>
      </c>
      <c r="O2024" t="str">
        <f>IF(Table1[[#This Row],[MARKET_CAP]]&gt;200000000000,"Large Cap",
IF(Table1[[#This Row],[MARKET_CAP]]&gt;50000000000,"Mid Cap","Small Cap"))</f>
        <v>Small Cap</v>
      </c>
      <c r="P2024" t="str">
        <f>IF(Table1[[#This Row],[NET_TRDQTY]]&gt;1000000,"High Volume","Low Volume")</f>
        <v>Low Volume</v>
      </c>
    </row>
    <row r="2025" spans="1:16" x14ac:dyDescent="0.3">
      <c r="A2025" t="s">
        <v>4053</v>
      </c>
      <c r="B2025" t="s">
        <v>4054</v>
      </c>
      <c r="C2025">
        <v>36.200000000000003</v>
      </c>
      <c r="D2025">
        <v>36.880000000000003</v>
      </c>
      <c r="E2025">
        <v>34.67</v>
      </c>
      <c r="F2025">
        <v>35.270000000000003</v>
      </c>
      <c r="G2025">
        <v>37.619999999999997</v>
      </c>
      <c r="H2025">
        <v>98313</v>
      </c>
      <c r="I2025">
        <v>2254</v>
      </c>
      <c r="J2025">
        <v>3006062100</v>
      </c>
      <c r="K2025">
        <v>85230000</v>
      </c>
      <c r="L2025">
        <f>(Table1[[#This Row],[CLOSE_PRICE]] - Table1[[#This Row],[PREV_CL_PR]]) / Table1[[#This Row],[PREV_CL_PR]] * 100</f>
        <v>-6.246677299308864</v>
      </c>
      <c r="M2025">
        <f>Table1[[#This Row],[HIGH_PRICE]]-Table1[[#This Row],[LOW_PRICE]]</f>
        <v>2.2100000000000009</v>
      </c>
      <c r="N2025" t="str">
        <f>IF(Table1[[#This Row],[CLOSE_PRICE]]&gt;Table1[[#This Row],[OPEN_PRICE]],"Gain","Loss")</f>
        <v>Loss</v>
      </c>
      <c r="O2025" t="str">
        <f>IF(Table1[[#This Row],[MARKET_CAP]]&gt;200000000000,"Large Cap",
IF(Table1[[#This Row],[MARKET_CAP]]&gt;50000000000,"Mid Cap","Small Cap"))</f>
        <v>Small Cap</v>
      </c>
      <c r="P2025" t="str">
        <f>IF(Table1[[#This Row],[NET_TRDQTY]]&gt;1000000,"High Volume","Low Volume")</f>
        <v>Low Volume</v>
      </c>
    </row>
    <row r="2026" spans="1:16" x14ac:dyDescent="0.3">
      <c r="A2026" t="s">
        <v>4055</v>
      </c>
      <c r="B2026" t="s">
        <v>4056</v>
      </c>
      <c r="C2026">
        <v>471.2</v>
      </c>
      <c r="D2026">
        <v>474.95</v>
      </c>
      <c r="E2026">
        <v>457.5</v>
      </c>
      <c r="F2026">
        <v>460.75</v>
      </c>
      <c r="G2026">
        <v>478.35</v>
      </c>
      <c r="H2026">
        <v>73001</v>
      </c>
      <c r="I2026">
        <v>4969</v>
      </c>
      <c r="J2026">
        <v>93514188600</v>
      </c>
      <c r="K2026">
        <v>202960800</v>
      </c>
      <c r="L2026">
        <f>(Table1[[#This Row],[CLOSE_PRICE]] - Table1[[#This Row],[PREV_CL_PR]]) / Table1[[#This Row],[PREV_CL_PR]] * 100</f>
        <v>-3.679314309605942</v>
      </c>
      <c r="M2026">
        <f>Table1[[#This Row],[HIGH_PRICE]]-Table1[[#This Row],[LOW_PRICE]]</f>
        <v>17.449999999999989</v>
      </c>
      <c r="N2026" t="str">
        <f>IF(Table1[[#This Row],[CLOSE_PRICE]]&gt;Table1[[#This Row],[OPEN_PRICE]],"Gain","Loss")</f>
        <v>Loss</v>
      </c>
      <c r="O2026" t="str">
        <f>IF(Table1[[#This Row],[MARKET_CAP]]&gt;200000000000,"Large Cap",
IF(Table1[[#This Row],[MARKET_CAP]]&gt;50000000000,"Mid Cap","Small Cap"))</f>
        <v>Mid Cap</v>
      </c>
      <c r="P2026" t="str">
        <f>IF(Table1[[#This Row],[NET_TRDQTY]]&gt;1000000,"High Volume","Low Volume")</f>
        <v>Low Volume</v>
      </c>
    </row>
    <row r="2027" spans="1:16" x14ac:dyDescent="0.3">
      <c r="A2027" t="s">
        <v>4057</v>
      </c>
      <c r="B2027" t="s">
        <v>4058</v>
      </c>
      <c r="C2027">
        <v>93.26</v>
      </c>
      <c r="D2027">
        <v>93.68</v>
      </c>
      <c r="E2027">
        <v>89</v>
      </c>
      <c r="F2027">
        <v>90.6</v>
      </c>
      <c r="G2027">
        <v>93.26</v>
      </c>
      <c r="H2027">
        <v>46950</v>
      </c>
      <c r="I2027">
        <v>1676</v>
      </c>
      <c r="J2027">
        <v>1731814923</v>
      </c>
      <c r="K2027">
        <v>19114955</v>
      </c>
      <c r="L2027">
        <f>(Table1[[#This Row],[CLOSE_PRICE]] - Table1[[#This Row],[PREV_CL_PR]]) / Table1[[#This Row],[PREV_CL_PR]] * 100</f>
        <v>-2.8522410465365757</v>
      </c>
      <c r="M2027">
        <f>Table1[[#This Row],[HIGH_PRICE]]-Table1[[#This Row],[LOW_PRICE]]</f>
        <v>4.6800000000000068</v>
      </c>
      <c r="N2027" t="str">
        <f>IF(Table1[[#This Row],[CLOSE_PRICE]]&gt;Table1[[#This Row],[OPEN_PRICE]],"Gain","Loss")</f>
        <v>Loss</v>
      </c>
      <c r="O2027" t="str">
        <f>IF(Table1[[#This Row],[MARKET_CAP]]&gt;200000000000,"Large Cap",
IF(Table1[[#This Row],[MARKET_CAP]]&gt;50000000000,"Mid Cap","Small Cap"))</f>
        <v>Small Cap</v>
      </c>
      <c r="P2027" t="str">
        <f>IF(Table1[[#This Row],[NET_TRDQTY]]&gt;1000000,"High Volume","Low Volume")</f>
        <v>Low Volume</v>
      </c>
    </row>
    <row r="2028" spans="1:16" x14ac:dyDescent="0.3">
      <c r="A2028" t="s">
        <v>4059</v>
      </c>
      <c r="B2028" t="s">
        <v>4060</v>
      </c>
      <c r="C2028">
        <v>58.38</v>
      </c>
      <c r="D2028">
        <v>58.78</v>
      </c>
      <c r="E2028">
        <v>52.2</v>
      </c>
      <c r="F2028">
        <v>53.53</v>
      </c>
      <c r="G2028">
        <v>57.38</v>
      </c>
      <c r="H2028">
        <v>39750</v>
      </c>
      <c r="I2028">
        <v>1295</v>
      </c>
      <c r="J2028">
        <v>2758330133</v>
      </c>
      <c r="K2028">
        <v>51528678</v>
      </c>
      <c r="L2028">
        <f>(Table1[[#This Row],[CLOSE_PRICE]] - Table1[[#This Row],[PREV_CL_PR]]) / Table1[[#This Row],[PREV_CL_PR]] * 100</f>
        <v>-6.7096549320320689</v>
      </c>
      <c r="M2028">
        <f>Table1[[#This Row],[HIGH_PRICE]]-Table1[[#This Row],[LOW_PRICE]]</f>
        <v>6.5799999999999983</v>
      </c>
      <c r="N2028" t="str">
        <f>IF(Table1[[#This Row],[CLOSE_PRICE]]&gt;Table1[[#This Row],[OPEN_PRICE]],"Gain","Loss")</f>
        <v>Loss</v>
      </c>
      <c r="O2028" t="str">
        <f>IF(Table1[[#This Row],[MARKET_CAP]]&gt;200000000000,"Large Cap",
IF(Table1[[#This Row],[MARKET_CAP]]&gt;50000000000,"Mid Cap","Small Cap"))</f>
        <v>Small Cap</v>
      </c>
      <c r="P2028" t="str">
        <f>IF(Table1[[#This Row],[NET_TRDQTY]]&gt;1000000,"High Volume","Low Volume")</f>
        <v>Low Volume</v>
      </c>
    </row>
    <row r="2029" spans="1:16" x14ac:dyDescent="0.3">
      <c r="A2029" t="s">
        <v>4061</v>
      </c>
      <c r="B2029" t="s">
        <v>4062</v>
      </c>
      <c r="C2029">
        <v>321.14999999999998</v>
      </c>
      <c r="D2029">
        <v>323</v>
      </c>
      <c r="E2029">
        <v>315.35000000000002</v>
      </c>
      <c r="F2029">
        <v>320.5</v>
      </c>
      <c r="G2029">
        <v>324.85000000000002</v>
      </c>
      <c r="H2029">
        <v>164651</v>
      </c>
      <c r="I2029">
        <v>7661</v>
      </c>
      <c r="J2029">
        <v>140000000000</v>
      </c>
      <c r="K2029">
        <v>436344639</v>
      </c>
      <c r="L2029">
        <f>(Table1[[#This Row],[CLOSE_PRICE]] - Table1[[#This Row],[PREV_CL_PR]]) / Table1[[#This Row],[PREV_CL_PR]] * 100</f>
        <v>-1.3390795751885554</v>
      </c>
      <c r="M2029">
        <f>Table1[[#This Row],[HIGH_PRICE]]-Table1[[#This Row],[LOW_PRICE]]</f>
        <v>7.6499999999999773</v>
      </c>
      <c r="N2029" t="str">
        <f>IF(Table1[[#This Row],[CLOSE_PRICE]]&gt;Table1[[#This Row],[OPEN_PRICE]],"Gain","Loss")</f>
        <v>Loss</v>
      </c>
      <c r="O2029" t="str">
        <f>IF(Table1[[#This Row],[MARKET_CAP]]&gt;200000000000,"Large Cap",
IF(Table1[[#This Row],[MARKET_CAP]]&gt;50000000000,"Mid Cap","Small Cap"))</f>
        <v>Mid Cap</v>
      </c>
      <c r="P2029" t="str">
        <f>IF(Table1[[#This Row],[NET_TRDQTY]]&gt;1000000,"High Volume","Low Volume")</f>
        <v>Low Volume</v>
      </c>
    </row>
    <row r="2030" spans="1:16" x14ac:dyDescent="0.3">
      <c r="A2030" t="s">
        <v>4063</v>
      </c>
      <c r="B2030" t="s">
        <v>4064</v>
      </c>
      <c r="C2030">
        <v>3100.1</v>
      </c>
      <c r="D2030">
        <v>3161.9</v>
      </c>
      <c r="E2030">
        <v>3000.3</v>
      </c>
      <c r="F2030">
        <v>3105.5</v>
      </c>
      <c r="G2030">
        <v>3148.2</v>
      </c>
      <c r="H2030">
        <v>1630</v>
      </c>
      <c r="I2030">
        <v>399</v>
      </c>
      <c r="J2030">
        <v>9887315744</v>
      </c>
      <c r="K2030">
        <v>3183808</v>
      </c>
      <c r="L2030">
        <f>(Table1[[#This Row],[CLOSE_PRICE]] - Table1[[#This Row],[PREV_CL_PR]]) / Table1[[#This Row],[PREV_CL_PR]] * 100</f>
        <v>-1.356330601613615</v>
      </c>
      <c r="M2030">
        <f>Table1[[#This Row],[HIGH_PRICE]]-Table1[[#This Row],[LOW_PRICE]]</f>
        <v>161.59999999999991</v>
      </c>
      <c r="N2030" t="str">
        <f>IF(Table1[[#This Row],[CLOSE_PRICE]]&gt;Table1[[#This Row],[OPEN_PRICE]],"Gain","Loss")</f>
        <v>Gain</v>
      </c>
      <c r="O2030" t="str">
        <f>IF(Table1[[#This Row],[MARKET_CAP]]&gt;200000000000,"Large Cap",
IF(Table1[[#This Row],[MARKET_CAP]]&gt;50000000000,"Mid Cap","Small Cap"))</f>
        <v>Small Cap</v>
      </c>
      <c r="P2030" t="str">
        <f>IF(Table1[[#This Row],[NET_TRDQTY]]&gt;1000000,"High Volume","Low Volume")</f>
        <v>Low Volume</v>
      </c>
    </row>
    <row r="2031" spans="1:16" x14ac:dyDescent="0.3">
      <c r="A2031" t="s">
        <v>4065</v>
      </c>
      <c r="B2031" t="s">
        <v>4066</v>
      </c>
      <c r="C2031">
        <v>271</v>
      </c>
      <c r="D2031">
        <v>275</v>
      </c>
      <c r="E2031">
        <v>260.2</v>
      </c>
      <c r="F2031">
        <v>268.25</v>
      </c>
      <c r="G2031">
        <v>279.55</v>
      </c>
      <c r="H2031">
        <v>31953</v>
      </c>
      <c r="I2031">
        <v>1587</v>
      </c>
      <c r="J2031">
        <v>13397746250</v>
      </c>
      <c r="K2031">
        <v>49945000</v>
      </c>
      <c r="L2031">
        <f>(Table1[[#This Row],[CLOSE_PRICE]] - Table1[[#This Row],[PREV_CL_PR]]) / Table1[[#This Row],[PREV_CL_PR]] * 100</f>
        <v>-4.0422106957610486</v>
      </c>
      <c r="M2031">
        <f>Table1[[#This Row],[HIGH_PRICE]]-Table1[[#This Row],[LOW_PRICE]]</f>
        <v>14.800000000000011</v>
      </c>
      <c r="N2031" t="str">
        <f>IF(Table1[[#This Row],[CLOSE_PRICE]]&gt;Table1[[#This Row],[OPEN_PRICE]],"Gain","Loss")</f>
        <v>Loss</v>
      </c>
      <c r="O2031" t="str">
        <f>IF(Table1[[#This Row],[MARKET_CAP]]&gt;200000000000,"Large Cap",
IF(Table1[[#This Row],[MARKET_CAP]]&gt;50000000000,"Mid Cap","Small Cap"))</f>
        <v>Small Cap</v>
      </c>
      <c r="P2031" t="str">
        <f>IF(Table1[[#This Row],[NET_TRDQTY]]&gt;1000000,"High Volume","Low Volume")</f>
        <v>Low Volume</v>
      </c>
    </row>
    <row r="2032" spans="1:16" x14ac:dyDescent="0.3">
      <c r="A2032" t="s">
        <v>4067</v>
      </c>
      <c r="B2032" t="s">
        <v>4068</v>
      </c>
      <c r="C2032">
        <v>53.1</v>
      </c>
      <c r="D2032">
        <v>53.84</v>
      </c>
      <c r="E2032">
        <v>50.15</v>
      </c>
      <c r="F2032">
        <v>51.13</v>
      </c>
      <c r="G2032">
        <v>54.19</v>
      </c>
      <c r="H2032">
        <v>1675609</v>
      </c>
      <c r="I2032">
        <v>8303</v>
      </c>
      <c r="J2032">
        <v>10874957657</v>
      </c>
      <c r="K2032">
        <v>212692307</v>
      </c>
      <c r="L2032">
        <f>(Table1[[#This Row],[CLOSE_PRICE]] - Table1[[#This Row],[PREV_CL_PR]]) / Table1[[#This Row],[PREV_CL_PR]] * 100</f>
        <v>-5.646798302269783</v>
      </c>
      <c r="M2032">
        <f>Table1[[#This Row],[HIGH_PRICE]]-Table1[[#This Row],[LOW_PRICE]]</f>
        <v>3.6900000000000048</v>
      </c>
      <c r="N2032" t="str">
        <f>IF(Table1[[#This Row],[CLOSE_PRICE]]&gt;Table1[[#This Row],[OPEN_PRICE]],"Gain","Loss")</f>
        <v>Loss</v>
      </c>
      <c r="O2032" t="str">
        <f>IF(Table1[[#This Row],[MARKET_CAP]]&gt;200000000000,"Large Cap",
IF(Table1[[#This Row],[MARKET_CAP]]&gt;50000000000,"Mid Cap","Small Cap"))</f>
        <v>Small Cap</v>
      </c>
      <c r="P2032" t="str">
        <f>IF(Table1[[#This Row],[NET_TRDQTY]]&gt;1000000,"High Volume","Low Volume")</f>
        <v>High Volume</v>
      </c>
    </row>
    <row r="2033" spans="1:16" x14ac:dyDescent="0.3">
      <c r="A2033" t="s">
        <v>4069</v>
      </c>
      <c r="B2033" t="s">
        <v>4070</v>
      </c>
      <c r="C2033">
        <v>890</v>
      </c>
      <c r="D2033">
        <v>893.7</v>
      </c>
      <c r="E2033">
        <v>871.6</v>
      </c>
      <c r="F2033">
        <v>883.2</v>
      </c>
      <c r="G2033">
        <v>904.6</v>
      </c>
      <c r="H2033">
        <v>85824</v>
      </c>
      <c r="I2033">
        <v>18873</v>
      </c>
      <c r="J2033">
        <v>90726663475</v>
      </c>
      <c r="K2033">
        <v>102724936</v>
      </c>
      <c r="L2033">
        <f>(Table1[[#This Row],[CLOSE_PRICE]] - Table1[[#This Row],[PREV_CL_PR]]) / Table1[[#This Row],[PREV_CL_PR]] * 100</f>
        <v>-2.3656864912668558</v>
      </c>
      <c r="M2033">
        <f>Table1[[#This Row],[HIGH_PRICE]]-Table1[[#This Row],[LOW_PRICE]]</f>
        <v>22.100000000000023</v>
      </c>
      <c r="N2033" t="str">
        <f>IF(Table1[[#This Row],[CLOSE_PRICE]]&gt;Table1[[#This Row],[OPEN_PRICE]],"Gain","Loss")</f>
        <v>Loss</v>
      </c>
      <c r="O2033" t="str">
        <f>IF(Table1[[#This Row],[MARKET_CAP]]&gt;200000000000,"Large Cap",
IF(Table1[[#This Row],[MARKET_CAP]]&gt;50000000000,"Mid Cap","Small Cap"))</f>
        <v>Mid Cap</v>
      </c>
      <c r="P2033" t="str">
        <f>IF(Table1[[#This Row],[NET_TRDQTY]]&gt;1000000,"High Volume","Low Volume")</f>
        <v>Low Volume</v>
      </c>
    </row>
    <row r="2034" spans="1:16" x14ac:dyDescent="0.3">
      <c r="A2034" t="s">
        <v>4071</v>
      </c>
      <c r="B2034" t="s">
        <v>4072</v>
      </c>
      <c r="C2034">
        <v>1.26</v>
      </c>
      <c r="D2034">
        <v>1.26</v>
      </c>
      <c r="E2034">
        <v>1.17</v>
      </c>
      <c r="F2034">
        <v>1.2</v>
      </c>
      <c r="G2034">
        <v>1.26</v>
      </c>
      <c r="H2034">
        <v>3092194</v>
      </c>
      <c r="I2034">
        <v>7288</v>
      </c>
      <c r="J2034">
        <v>2122447229</v>
      </c>
      <c r="K2034">
        <v>1768706024</v>
      </c>
      <c r="L2034">
        <f>(Table1[[#This Row],[CLOSE_PRICE]] - Table1[[#This Row],[PREV_CL_PR]]) / Table1[[#This Row],[PREV_CL_PR]] * 100</f>
        <v>-4.7619047619047654</v>
      </c>
      <c r="M2034">
        <f>Table1[[#This Row],[HIGH_PRICE]]-Table1[[#This Row],[LOW_PRICE]]</f>
        <v>9.000000000000008E-2</v>
      </c>
      <c r="N2034" t="str">
        <f>IF(Table1[[#This Row],[CLOSE_PRICE]]&gt;Table1[[#This Row],[OPEN_PRICE]],"Gain","Loss")</f>
        <v>Loss</v>
      </c>
      <c r="O2034" t="str">
        <f>IF(Table1[[#This Row],[MARKET_CAP]]&gt;200000000000,"Large Cap",
IF(Table1[[#This Row],[MARKET_CAP]]&gt;50000000000,"Mid Cap","Small Cap"))</f>
        <v>Small Cap</v>
      </c>
      <c r="P2034" t="str">
        <f>IF(Table1[[#This Row],[NET_TRDQTY]]&gt;1000000,"High Volume","Low Volume")</f>
        <v>High Volume</v>
      </c>
    </row>
    <row r="2035" spans="1:16" x14ac:dyDescent="0.3">
      <c r="A2035" t="s">
        <v>4073</v>
      </c>
      <c r="B2035" t="s">
        <v>4074</v>
      </c>
      <c r="C2035">
        <v>1.26</v>
      </c>
      <c r="D2035">
        <v>1.27</v>
      </c>
      <c r="E2035">
        <v>1.22</v>
      </c>
      <c r="F2035">
        <v>1.22</v>
      </c>
      <c r="G2035">
        <v>1.28</v>
      </c>
      <c r="H2035">
        <v>4336511</v>
      </c>
      <c r="I2035">
        <v>2564</v>
      </c>
      <c r="J2035">
        <v>2266355643</v>
      </c>
      <c r="K2035">
        <v>1857668560</v>
      </c>
      <c r="L2035">
        <f>(Table1[[#This Row],[CLOSE_PRICE]] - Table1[[#This Row],[PREV_CL_PR]]) / Table1[[#This Row],[PREV_CL_PR]] * 100</f>
        <v>-4.6875000000000044</v>
      </c>
      <c r="M2035">
        <f>Table1[[#This Row],[HIGH_PRICE]]-Table1[[#This Row],[LOW_PRICE]]</f>
        <v>5.0000000000000044E-2</v>
      </c>
      <c r="N2035" t="str">
        <f>IF(Table1[[#This Row],[CLOSE_PRICE]]&gt;Table1[[#This Row],[OPEN_PRICE]],"Gain","Loss")</f>
        <v>Loss</v>
      </c>
      <c r="O2035" t="str">
        <f>IF(Table1[[#This Row],[MARKET_CAP]]&gt;200000000000,"Large Cap",
IF(Table1[[#This Row],[MARKET_CAP]]&gt;50000000000,"Mid Cap","Small Cap"))</f>
        <v>Small Cap</v>
      </c>
      <c r="P2035" t="str">
        <f>IF(Table1[[#This Row],[NET_TRDQTY]]&gt;1000000,"High Volume","Low Volume")</f>
        <v>High Volume</v>
      </c>
    </row>
    <row r="2036" spans="1:16" x14ac:dyDescent="0.3">
      <c r="A2036" t="s">
        <v>4075</v>
      </c>
      <c r="B2036" t="s">
        <v>4076</v>
      </c>
      <c r="C2036">
        <v>189</v>
      </c>
      <c r="D2036">
        <v>192.9</v>
      </c>
      <c r="E2036">
        <v>186.51</v>
      </c>
      <c r="F2036">
        <v>189.83</v>
      </c>
      <c r="G2036">
        <v>192.58</v>
      </c>
      <c r="H2036">
        <v>2274311</v>
      </c>
      <c r="I2036">
        <v>27847</v>
      </c>
      <c r="J2036">
        <v>68781138259</v>
      </c>
      <c r="K2036">
        <v>362330181</v>
      </c>
      <c r="L2036">
        <f>(Table1[[#This Row],[CLOSE_PRICE]] - Table1[[#This Row],[PREV_CL_PR]]) / Table1[[#This Row],[PREV_CL_PR]] * 100</f>
        <v>-1.427977983175823</v>
      </c>
      <c r="M2036">
        <f>Table1[[#This Row],[HIGH_PRICE]]-Table1[[#This Row],[LOW_PRICE]]</f>
        <v>6.3900000000000148</v>
      </c>
      <c r="N2036" t="str">
        <f>IF(Table1[[#This Row],[CLOSE_PRICE]]&gt;Table1[[#This Row],[OPEN_PRICE]],"Gain","Loss")</f>
        <v>Gain</v>
      </c>
      <c r="O2036" t="str">
        <f>IF(Table1[[#This Row],[MARKET_CAP]]&gt;200000000000,"Large Cap",
IF(Table1[[#This Row],[MARKET_CAP]]&gt;50000000000,"Mid Cap","Small Cap"))</f>
        <v>Mid Cap</v>
      </c>
      <c r="P2036" t="str">
        <f>IF(Table1[[#This Row],[NET_TRDQTY]]&gt;1000000,"High Volume","Low Volume")</f>
        <v>High Volume</v>
      </c>
    </row>
    <row r="2037" spans="1:16" x14ac:dyDescent="0.3">
      <c r="A2037" t="s">
        <v>4077</v>
      </c>
      <c r="B2037" t="s">
        <v>4078</v>
      </c>
      <c r="C2037">
        <v>60</v>
      </c>
      <c r="D2037">
        <v>60.3</v>
      </c>
      <c r="E2037">
        <v>56.52</v>
      </c>
      <c r="F2037">
        <v>57.13</v>
      </c>
      <c r="G2037">
        <v>60.91</v>
      </c>
      <c r="H2037">
        <v>2601955</v>
      </c>
      <c r="I2037">
        <v>13279</v>
      </c>
      <c r="J2037">
        <v>14734456915</v>
      </c>
      <c r="K2037">
        <v>257911026</v>
      </c>
      <c r="L2037">
        <f>(Table1[[#This Row],[CLOSE_PRICE]] - Table1[[#This Row],[PREV_CL_PR]]) / Table1[[#This Row],[PREV_CL_PR]] * 100</f>
        <v>-6.2058775242160467</v>
      </c>
      <c r="M2037">
        <f>Table1[[#This Row],[HIGH_PRICE]]-Table1[[#This Row],[LOW_PRICE]]</f>
        <v>3.779999999999994</v>
      </c>
      <c r="N2037" t="str">
        <f>IF(Table1[[#This Row],[CLOSE_PRICE]]&gt;Table1[[#This Row],[OPEN_PRICE]],"Gain","Loss")</f>
        <v>Loss</v>
      </c>
      <c r="O2037" t="str">
        <f>IF(Table1[[#This Row],[MARKET_CAP]]&gt;200000000000,"Large Cap",
IF(Table1[[#This Row],[MARKET_CAP]]&gt;50000000000,"Mid Cap","Small Cap"))</f>
        <v>Small Cap</v>
      </c>
      <c r="P2037" t="str">
        <f>IF(Table1[[#This Row],[NET_TRDQTY]]&gt;1000000,"High Volume","Low Volume")</f>
        <v>High Volume</v>
      </c>
    </row>
    <row r="2038" spans="1:16" x14ac:dyDescent="0.3">
      <c r="A2038" t="s">
        <v>4079</v>
      </c>
      <c r="B2038" t="s">
        <v>4080</v>
      </c>
      <c r="C2038">
        <v>421</v>
      </c>
      <c r="D2038">
        <v>422.65</v>
      </c>
      <c r="E2038">
        <v>395.8</v>
      </c>
      <c r="F2038">
        <v>398.95</v>
      </c>
      <c r="G2038">
        <v>427.2</v>
      </c>
      <c r="H2038">
        <v>228567</v>
      </c>
      <c r="I2038">
        <v>10319</v>
      </c>
      <c r="J2038">
        <v>17807208652</v>
      </c>
      <c r="K2038">
        <v>44635189</v>
      </c>
      <c r="L2038">
        <f>(Table1[[#This Row],[CLOSE_PRICE]] - Table1[[#This Row],[PREV_CL_PR]]) / Table1[[#This Row],[PREV_CL_PR]] * 100</f>
        <v>-6.612827715355805</v>
      </c>
      <c r="M2038">
        <f>Table1[[#This Row],[HIGH_PRICE]]-Table1[[#This Row],[LOW_PRICE]]</f>
        <v>26.849999999999966</v>
      </c>
      <c r="N2038" t="str">
        <f>IF(Table1[[#This Row],[CLOSE_PRICE]]&gt;Table1[[#This Row],[OPEN_PRICE]],"Gain","Loss")</f>
        <v>Loss</v>
      </c>
      <c r="O2038" t="str">
        <f>IF(Table1[[#This Row],[MARKET_CAP]]&gt;200000000000,"Large Cap",
IF(Table1[[#This Row],[MARKET_CAP]]&gt;50000000000,"Mid Cap","Small Cap"))</f>
        <v>Small Cap</v>
      </c>
      <c r="P2038" t="str">
        <f>IF(Table1[[#This Row],[NET_TRDQTY]]&gt;1000000,"High Volume","Low Volume")</f>
        <v>Low Volume</v>
      </c>
    </row>
    <row r="2039" spans="1:16" x14ac:dyDescent="0.3">
      <c r="A2039" t="s">
        <v>4081</v>
      </c>
      <c r="B2039" t="s">
        <v>4082</v>
      </c>
      <c r="C2039">
        <v>1386.2</v>
      </c>
      <c r="D2039">
        <v>1386.2</v>
      </c>
      <c r="E2039">
        <v>1331.4</v>
      </c>
      <c r="F2039">
        <v>1352.2</v>
      </c>
      <c r="G2039">
        <v>1386.2</v>
      </c>
      <c r="H2039">
        <v>63439</v>
      </c>
      <c r="I2039">
        <v>11127</v>
      </c>
      <c r="J2039">
        <v>140000000000</v>
      </c>
      <c r="K2039">
        <v>103665632</v>
      </c>
      <c r="L2039">
        <f>(Table1[[#This Row],[CLOSE_PRICE]] - Table1[[#This Row],[PREV_CL_PR]]) / Table1[[#This Row],[PREV_CL_PR]] * 100</f>
        <v>-2.4527485211369209</v>
      </c>
      <c r="M2039">
        <f>Table1[[#This Row],[HIGH_PRICE]]-Table1[[#This Row],[LOW_PRICE]]</f>
        <v>54.799999999999955</v>
      </c>
      <c r="N2039" t="str">
        <f>IF(Table1[[#This Row],[CLOSE_PRICE]]&gt;Table1[[#This Row],[OPEN_PRICE]],"Gain","Loss")</f>
        <v>Loss</v>
      </c>
      <c r="O2039" t="str">
        <f>IF(Table1[[#This Row],[MARKET_CAP]]&gt;200000000000,"Large Cap",
IF(Table1[[#This Row],[MARKET_CAP]]&gt;50000000000,"Mid Cap","Small Cap"))</f>
        <v>Mid Cap</v>
      </c>
      <c r="P2039" t="str">
        <f>IF(Table1[[#This Row],[NET_TRDQTY]]&gt;1000000,"High Volume","Low Volume")</f>
        <v>Low Volume</v>
      </c>
    </row>
    <row r="2040" spans="1:16" x14ac:dyDescent="0.3">
      <c r="A2040" t="s">
        <v>4083</v>
      </c>
      <c r="B2040" t="s">
        <v>4084</v>
      </c>
      <c r="C2040">
        <v>130.69999999999999</v>
      </c>
      <c r="D2040">
        <v>133.79</v>
      </c>
      <c r="E2040">
        <v>126.4</v>
      </c>
      <c r="F2040">
        <v>133.19</v>
      </c>
      <c r="G2040">
        <v>131.84</v>
      </c>
      <c r="H2040">
        <v>4051743</v>
      </c>
      <c r="I2040">
        <v>21785</v>
      </c>
      <c r="J2040">
        <v>19237751695</v>
      </c>
      <c r="K2040">
        <v>144438409</v>
      </c>
      <c r="L2040">
        <f>(Table1[[#This Row],[CLOSE_PRICE]] - Table1[[#This Row],[PREV_CL_PR]]) / Table1[[#This Row],[PREV_CL_PR]] * 100</f>
        <v>1.0239684466019374</v>
      </c>
      <c r="M2040">
        <f>Table1[[#This Row],[HIGH_PRICE]]-Table1[[#This Row],[LOW_PRICE]]</f>
        <v>7.3899999999999864</v>
      </c>
      <c r="N2040" t="str">
        <f>IF(Table1[[#This Row],[CLOSE_PRICE]]&gt;Table1[[#This Row],[OPEN_PRICE]],"Gain","Loss")</f>
        <v>Gain</v>
      </c>
      <c r="O2040" t="str">
        <f>IF(Table1[[#This Row],[MARKET_CAP]]&gt;200000000000,"Large Cap",
IF(Table1[[#This Row],[MARKET_CAP]]&gt;50000000000,"Mid Cap","Small Cap"))</f>
        <v>Small Cap</v>
      </c>
      <c r="P2040" t="str">
        <f>IF(Table1[[#This Row],[NET_TRDQTY]]&gt;1000000,"High Volume","Low Volume")</f>
        <v>High Volume</v>
      </c>
    </row>
    <row r="2041" spans="1:16" x14ac:dyDescent="0.3">
      <c r="A2041" t="s">
        <v>4085</v>
      </c>
      <c r="B2041" t="s">
        <v>4086</v>
      </c>
      <c r="C2041">
        <v>1063.5</v>
      </c>
      <c r="D2041">
        <v>1121</v>
      </c>
      <c r="E2041">
        <v>1011</v>
      </c>
      <c r="F2041">
        <v>1019.1</v>
      </c>
      <c r="G2041">
        <v>1058.5999999999999</v>
      </c>
      <c r="H2041">
        <v>27675</v>
      </c>
      <c r="I2041">
        <v>2696</v>
      </c>
      <c r="J2041">
        <v>12077214483</v>
      </c>
      <c r="K2041">
        <v>11850863</v>
      </c>
      <c r="L2041">
        <f>(Table1[[#This Row],[CLOSE_PRICE]] - Table1[[#This Row],[PREV_CL_PR]]) / Table1[[#This Row],[PREV_CL_PR]] * 100</f>
        <v>-3.731343283582079</v>
      </c>
      <c r="M2041">
        <f>Table1[[#This Row],[HIGH_PRICE]]-Table1[[#This Row],[LOW_PRICE]]</f>
        <v>110</v>
      </c>
      <c r="N2041" t="str">
        <f>IF(Table1[[#This Row],[CLOSE_PRICE]]&gt;Table1[[#This Row],[OPEN_PRICE]],"Gain","Loss")</f>
        <v>Loss</v>
      </c>
      <c r="O2041" t="str">
        <f>IF(Table1[[#This Row],[MARKET_CAP]]&gt;200000000000,"Large Cap",
IF(Table1[[#This Row],[MARKET_CAP]]&gt;50000000000,"Mid Cap","Small Cap"))</f>
        <v>Small Cap</v>
      </c>
      <c r="P2041" t="str">
        <f>IF(Table1[[#This Row],[NET_TRDQTY]]&gt;1000000,"High Volume","Low Volume")</f>
        <v>Low Volume</v>
      </c>
    </row>
    <row r="2042" spans="1:16" x14ac:dyDescent="0.3">
      <c r="A2042" t="s">
        <v>4087</v>
      </c>
      <c r="B2042" t="s">
        <v>4088</v>
      </c>
      <c r="C2042">
        <v>29.75</v>
      </c>
      <c r="D2042">
        <v>29.94</v>
      </c>
      <c r="E2042">
        <v>28.53</v>
      </c>
      <c r="F2042">
        <v>29.53</v>
      </c>
      <c r="G2042">
        <v>29.75</v>
      </c>
      <c r="H2042">
        <v>89148</v>
      </c>
      <c r="I2042">
        <v>1194</v>
      </c>
      <c r="J2042">
        <v>567161064.5</v>
      </c>
      <c r="K2042">
        <v>19206267</v>
      </c>
      <c r="L2042">
        <f>(Table1[[#This Row],[CLOSE_PRICE]] - Table1[[#This Row],[PREV_CL_PR]]) / Table1[[#This Row],[PREV_CL_PR]] * 100</f>
        <v>-0.73949579831932388</v>
      </c>
      <c r="M2042">
        <f>Table1[[#This Row],[HIGH_PRICE]]-Table1[[#This Row],[LOW_PRICE]]</f>
        <v>1.4100000000000001</v>
      </c>
      <c r="N2042" t="str">
        <f>IF(Table1[[#This Row],[CLOSE_PRICE]]&gt;Table1[[#This Row],[OPEN_PRICE]],"Gain","Loss")</f>
        <v>Loss</v>
      </c>
      <c r="O2042" t="str">
        <f>IF(Table1[[#This Row],[MARKET_CAP]]&gt;200000000000,"Large Cap",
IF(Table1[[#This Row],[MARKET_CAP]]&gt;50000000000,"Mid Cap","Small Cap"))</f>
        <v>Small Cap</v>
      </c>
      <c r="P2042" t="str">
        <f>IF(Table1[[#This Row],[NET_TRDQTY]]&gt;1000000,"High Volume","Low Volume")</f>
        <v>Low Volume</v>
      </c>
    </row>
    <row r="2043" spans="1:16" x14ac:dyDescent="0.3">
      <c r="A2043" t="s">
        <v>4089</v>
      </c>
      <c r="B2043" t="s">
        <v>4090</v>
      </c>
      <c r="C2043">
        <v>1.07</v>
      </c>
      <c r="D2043">
        <v>1.1000000000000001</v>
      </c>
      <c r="E2043">
        <v>1.06</v>
      </c>
      <c r="F2043">
        <v>1.06</v>
      </c>
      <c r="G2043">
        <v>1.07</v>
      </c>
      <c r="H2043">
        <v>741367</v>
      </c>
      <c r="I2043">
        <v>245</v>
      </c>
      <c r="J2043">
        <v>493161419.30000001</v>
      </c>
      <c r="K2043">
        <v>465246622</v>
      </c>
      <c r="L2043">
        <f>(Table1[[#This Row],[CLOSE_PRICE]] - Table1[[#This Row],[PREV_CL_PR]]) / Table1[[#This Row],[PREV_CL_PR]] * 100</f>
        <v>-0.93457943925233722</v>
      </c>
      <c r="M2043">
        <f>Table1[[#This Row],[HIGH_PRICE]]-Table1[[#This Row],[LOW_PRICE]]</f>
        <v>4.0000000000000036E-2</v>
      </c>
      <c r="N2043" t="str">
        <f>IF(Table1[[#This Row],[CLOSE_PRICE]]&gt;Table1[[#This Row],[OPEN_PRICE]],"Gain","Loss")</f>
        <v>Loss</v>
      </c>
      <c r="O2043" t="str">
        <f>IF(Table1[[#This Row],[MARKET_CAP]]&gt;200000000000,"Large Cap",
IF(Table1[[#This Row],[MARKET_CAP]]&gt;50000000000,"Mid Cap","Small Cap"))</f>
        <v>Small Cap</v>
      </c>
      <c r="P2043" t="str">
        <f>IF(Table1[[#This Row],[NET_TRDQTY]]&gt;1000000,"High Volume","Low Volume")</f>
        <v>Low Volume</v>
      </c>
    </row>
    <row r="2044" spans="1:16" x14ac:dyDescent="0.3">
      <c r="A2044" t="s">
        <v>4091</v>
      </c>
      <c r="B2044" t="s">
        <v>4092</v>
      </c>
      <c r="C2044">
        <v>190</v>
      </c>
      <c r="D2044">
        <v>191</v>
      </c>
      <c r="E2044">
        <v>180.1</v>
      </c>
      <c r="F2044">
        <v>181.67</v>
      </c>
      <c r="G2044">
        <v>193.12</v>
      </c>
      <c r="H2044">
        <v>20916</v>
      </c>
      <c r="I2044">
        <v>908</v>
      </c>
      <c r="J2044">
        <v>3331302955</v>
      </c>
      <c r="K2044">
        <v>18337111</v>
      </c>
      <c r="L2044">
        <f>(Table1[[#This Row],[CLOSE_PRICE]] - Table1[[#This Row],[PREV_CL_PR]]) / Table1[[#This Row],[PREV_CL_PR]] * 100</f>
        <v>-5.9289560894780529</v>
      </c>
      <c r="M2044">
        <f>Table1[[#This Row],[HIGH_PRICE]]-Table1[[#This Row],[LOW_PRICE]]</f>
        <v>10.900000000000006</v>
      </c>
      <c r="N2044" t="str">
        <f>IF(Table1[[#This Row],[CLOSE_PRICE]]&gt;Table1[[#This Row],[OPEN_PRICE]],"Gain","Loss")</f>
        <v>Loss</v>
      </c>
      <c r="O2044" t="str">
        <f>IF(Table1[[#This Row],[MARKET_CAP]]&gt;200000000000,"Large Cap",
IF(Table1[[#This Row],[MARKET_CAP]]&gt;50000000000,"Mid Cap","Small Cap"))</f>
        <v>Small Cap</v>
      </c>
      <c r="P2044" t="str">
        <f>IF(Table1[[#This Row],[NET_TRDQTY]]&gt;1000000,"High Volume","Low Volume")</f>
        <v>Low Volume</v>
      </c>
    </row>
    <row r="2045" spans="1:16" x14ac:dyDescent="0.3">
      <c r="A2045" t="s">
        <v>4093</v>
      </c>
      <c r="B2045" t="s">
        <v>4094</v>
      </c>
      <c r="C2045">
        <v>17.2</v>
      </c>
      <c r="D2045">
        <v>17.899999999999999</v>
      </c>
      <c r="E2045">
        <v>16.350000000000001</v>
      </c>
      <c r="F2045">
        <v>16.57</v>
      </c>
      <c r="G2045">
        <v>17.3</v>
      </c>
      <c r="H2045">
        <v>357342</v>
      </c>
      <c r="I2045">
        <v>1013</v>
      </c>
      <c r="J2045">
        <v>1493446130</v>
      </c>
      <c r="K2045">
        <v>90129519</v>
      </c>
      <c r="L2045">
        <f>(Table1[[#This Row],[CLOSE_PRICE]] - Table1[[#This Row],[PREV_CL_PR]]) / Table1[[#This Row],[PREV_CL_PR]] * 100</f>
        <v>-4.2196531791907539</v>
      </c>
      <c r="M2045">
        <f>Table1[[#This Row],[HIGH_PRICE]]-Table1[[#This Row],[LOW_PRICE]]</f>
        <v>1.5499999999999972</v>
      </c>
      <c r="N2045" t="str">
        <f>IF(Table1[[#This Row],[CLOSE_PRICE]]&gt;Table1[[#This Row],[OPEN_PRICE]],"Gain","Loss")</f>
        <v>Loss</v>
      </c>
      <c r="O2045" t="str">
        <f>IF(Table1[[#This Row],[MARKET_CAP]]&gt;200000000000,"Large Cap",
IF(Table1[[#This Row],[MARKET_CAP]]&gt;50000000000,"Mid Cap","Small Cap"))</f>
        <v>Small Cap</v>
      </c>
      <c r="P2045" t="str">
        <f>IF(Table1[[#This Row],[NET_TRDQTY]]&gt;1000000,"High Volume","Low Volume")</f>
        <v>Low Volume</v>
      </c>
    </row>
    <row r="2046" spans="1:16" x14ac:dyDescent="0.3">
      <c r="A2046" t="s">
        <v>4095</v>
      </c>
      <c r="B2046" t="s">
        <v>4096</v>
      </c>
      <c r="C2046">
        <v>336.65</v>
      </c>
      <c r="D2046">
        <v>336.7</v>
      </c>
      <c r="E2046">
        <v>315.85000000000002</v>
      </c>
      <c r="F2046">
        <v>319.10000000000002</v>
      </c>
      <c r="G2046">
        <v>336.65</v>
      </c>
      <c r="H2046">
        <v>569525</v>
      </c>
      <c r="I2046">
        <v>25962</v>
      </c>
      <c r="J2046">
        <v>45328612589</v>
      </c>
      <c r="K2046">
        <v>142051434</v>
      </c>
      <c r="L2046">
        <f>(Table1[[#This Row],[CLOSE_PRICE]] - Table1[[#This Row],[PREV_CL_PR]]) / Table1[[#This Row],[PREV_CL_PR]] * 100</f>
        <v>-5.2131293628397319</v>
      </c>
      <c r="M2046">
        <f>Table1[[#This Row],[HIGH_PRICE]]-Table1[[#This Row],[LOW_PRICE]]</f>
        <v>20.849999999999966</v>
      </c>
      <c r="N2046" t="str">
        <f>IF(Table1[[#This Row],[CLOSE_PRICE]]&gt;Table1[[#This Row],[OPEN_PRICE]],"Gain","Loss")</f>
        <v>Loss</v>
      </c>
      <c r="O2046" t="str">
        <f>IF(Table1[[#This Row],[MARKET_CAP]]&gt;200000000000,"Large Cap",
IF(Table1[[#This Row],[MARKET_CAP]]&gt;50000000000,"Mid Cap","Small Cap"))</f>
        <v>Small Cap</v>
      </c>
      <c r="P2046" t="str">
        <f>IF(Table1[[#This Row],[NET_TRDQTY]]&gt;1000000,"High Volume","Low Volume")</f>
        <v>Low Volume</v>
      </c>
    </row>
    <row r="2047" spans="1:16" x14ac:dyDescent="0.3">
      <c r="A2047" t="s">
        <v>4097</v>
      </c>
      <c r="B2047" t="s">
        <v>4098</v>
      </c>
      <c r="C2047">
        <v>16.649999999999999</v>
      </c>
      <c r="D2047">
        <v>16.940000000000001</v>
      </c>
      <c r="E2047">
        <v>15.5</v>
      </c>
      <c r="F2047">
        <v>15.9</v>
      </c>
      <c r="G2047">
        <v>16.649999999999999</v>
      </c>
      <c r="H2047">
        <v>310766</v>
      </c>
      <c r="I2047">
        <v>879</v>
      </c>
      <c r="J2047">
        <v>1632085646</v>
      </c>
      <c r="K2047">
        <v>102646896</v>
      </c>
      <c r="L2047">
        <f>(Table1[[#This Row],[CLOSE_PRICE]] - Table1[[#This Row],[PREV_CL_PR]]) / Table1[[#This Row],[PREV_CL_PR]] * 100</f>
        <v>-4.504504504504494</v>
      </c>
      <c r="M2047">
        <f>Table1[[#This Row],[HIGH_PRICE]]-Table1[[#This Row],[LOW_PRICE]]</f>
        <v>1.4400000000000013</v>
      </c>
      <c r="N2047" t="str">
        <f>IF(Table1[[#This Row],[CLOSE_PRICE]]&gt;Table1[[#This Row],[OPEN_PRICE]],"Gain","Loss")</f>
        <v>Loss</v>
      </c>
      <c r="O2047" t="str">
        <f>IF(Table1[[#This Row],[MARKET_CAP]]&gt;200000000000,"Large Cap",
IF(Table1[[#This Row],[MARKET_CAP]]&gt;50000000000,"Mid Cap","Small Cap"))</f>
        <v>Small Cap</v>
      </c>
      <c r="P2047" t="str">
        <f>IF(Table1[[#This Row],[NET_TRDQTY]]&gt;1000000,"High Volume","Low Volume")</f>
        <v>Low Volume</v>
      </c>
    </row>
    <row r="2048" spans="1:16" x14ac:dyDescent="0.3">
      <c r="A2048" t="s">
        <v>4099</v>
      </c>
      <c r="B2048" t="s">
        <v>4100</v>
      </c>
      <c r="C2048">
        <v>56.5</v>
      </c>
      <c r="D2048">
        <v>56.94</v>
      </c>
      <c r="E2048">
        <v>54.56</v>
      </c>
      <c r="F2048">
        <v>55.36</v>
      </c>
      <c r="G2048">
        <v>57.05</v>
      </c>
      <c r="H2048">
        <v>138380</v>
      </c>
      <c r="I2048">
        <v>1067</v>
      </c>
      <c r="J2048">
        <v>4783367514</v>
      </c>
      <c r="K2048">
        <v>86404760</v>
      </c>
      <c r="L2048">
        <f>(Table1[[#This Row],[CLOSE_PRICE]] - Table1[[#This Row],[PREV_CL_PR]]) / Table1[[#This Row],[PREV_CL_PR]] * 100</f>
        <v>-2.9623137598597684</v>
      </c>
      <c r="M2048">
        <f>Table1[[#This Row],[HIGH_PRICE]]-Table1[[#This Row],[LOW_PRICE]]</f>
        <v>2.3799999999999955</v>
      </c>
      <c r="N2048" t="str">
        <f>IF(Table1[[#This Row],[CLOSE_PRICE]]&gt;Table1[[#This Row],[OPEN_PRICE]],"Gain","Loss")</f>
        <v>Loss</v>
      </c>
      <c r="O2048" t="str">
        <f>IF(Table1[[#This Row],[MARKET_CAP]]&gt;200000000000,"Large Cap",
IF(Table1[[#This Row],[MARKET_CAP]]&gt;50000000000,"Mid Cap","Small Cap"))</f>
        <v>Small Cap</v>
      </c>
      <c r="P2048" t="str">
        <f>IF(Table1[[#This Row],[NET_TRDQTY]]&gt;1000000,"High Volume","Low Volume")</f>
        <v>Low Volume</v>
      </c>
    </row>
    <row r="2049" spans="1:16" x14ac:dyDescent="0.3">
      <c r="A2049" t="s">
        <v>4101</v>
      </c>
      <c r="B2049" t="s">
        <v>4102</v>
      </c>
      <c r="C2049">
        <v>31.3</v>
      </c>
      <c r="D2049">
        <v>31.3</v>
      </c>
      <c r="E2049">
        <v>28.56</v>
      </c>
      <c r="F2049">
        <v>28.56</v>
      </c>
      <c r="G2049">
        <v>30.06</v>
      </c>
      <c r="H2049">
        <v>10122</v>
      </c>
      <c r="I2049">
        <v>103</v>
      </c>
      <c r="J2049">
        <v>3306948120</v>
      </c>
      <c r="K2049">
        <v>115789500</v>
      </c>
      <c r="L2049">
        <f>(Table1[[#This Row],[CLOSE_PRICE]] - Table1[[#This Row],[PREV_CL_PR]]) / Table1[[#This Row],[PREV_CL_PR]] * 100</f>
        <v>-4.9900199600798407</v>
      </c>
      <c r="M2049">
        <f>Table1[[#This Row],[HIGH_PRICE]]-Table1[[#This Row],[LOW_PRICE]]</f>
        <v>2.740000000000002</v>
      </c>
      <c r="N2049" t="str">
        <f>IF(Table1[[#This Row],[CLOSE_PRICE]]&gt;Table1[[#This Row],[OPEN_PRICE]],"Gain","Loss")</f>
        <v>Loss</v>
      </c>
      <c r="O2049" t="str">
        <f>IF(Table1[[#This Row],[MARKET_CAP]]&gt;200000000000,"Large Cap",
IF(Table1[[#This Row],[MARKET_CAP]]&gt;50000000000,"Mid Cap","Small Cap"))</f>
        <v>Small Cap</v>
      </c>
      <c r="P2049" t="str">
        <f>IF(Table1[[#This Row],[NET_TRDQTY]]&gt;1000000,"High Volume","Low Volume")</f>
        <v>Low Volume</v>
      </c>
    </row>
    <row r="2050" spans="1:16" x14ac:dyDescent="0.3">
      <c r="A2050" t="s">
        <v>4103</v>
      </c>
      <c r="B2050" t="s">
        <v>4104</v>
      </c>
      <c r="C2050">
        <v>504</v>
      </c>
      <c r="D2050">
        <v>510.4</v>
      </c>
      <c r="E2050">
        <v>483</v>
      </c>
      <c r="F2050">
        <v>489.6</v>
      </c>
      <c r="G2050">
        <v>513.29999999999995</v>
      </c>
      <c r="H2050">
        <v>101262</v>
      </c>
      <c r="I2050">
        <v>3215</v>
      </c>
      <c r="J2050">
        <v>32957563046</v>
      </c>
      <c r="K2050">
        <v>67315284</v>
      </c>
      <c r="L2050">
        <f>(Table1[[#This Row],[CLOSE_PRICE]] - Table1[[#This Row],[PREV_CL_PR]]) / Table1[[#This Row],[PREV_CL_PR]] * 100</f>
        <v>-4.6171829339567383</v>
      </c>
      <c r="M2050">
        <f>Table1[[#This Row],[HIGH_PRICE]]-Table1[[#This Row],[LOW_PRICE]]</f>
        <v>27.399999999999977</v>
      </c>
      <c r="N2050" t="str">
        <f>IF(Table1[[#This Row],[CLOSE_PRICE]]&gt;Table1[[#This Row],[OPEN_PRICE]],"Gain","Loss")</f>
        <v>Loss</v>
      </c>
      <c r="O2050" t="str">
        <f>IF(Table1[[#This Row],[MARKET_CAP]]&gt;200000000000,"Large Cap",
IF(Table1[[#This Row],[MARKET_CAP]]&gt;50000000000,"Mid Cap","Small Cap"))</f>
        <v>Small Cap</v>
      </c>
      <c r="P2050" t="str">
        <f>IF(Table1[[#This Row],[NET_TRDQTY]]&gt;1000000,"High Volume","Low Volume")</f>
        <v>Low Volume</v>
      </c>
    </row>
    <row r="2051" spans="1:16" x14ac:dyDescent="0.3">
      <c r="A2051" t="s">
        <v>4105</v>
      </c>
      <c r="B2051" t="s">
        <v>4106</v>
      </c>
      <c r="C2051">
        <v>4.84</v>
      </c>
      <c r="D2051">
        <v>4.8499999999999996</v>
      </c>
      <c r="E2051">
        <v>4.5199999999999996</v>
      </c>
      <c r="F2051">
        <v>4.5599999999999996</v>
      </c>
      <c r="G2051">
        <v>4.87</v>
      </c>
      <c r="H2051">
        <v>964013</v>
      </c>
      <c r="I2051">
        <v>1741</v>
      </c>
      <c r="J2051">
        <v>993294312</v>
      </c>
      <c r="K2051">
        <v>217827700</v>
      </c>
      <c r="L2051">
        <f>(Table1[[#This Row],[CLOSE_PRICE]] - Table1[[#This Row],[PREV_CL_PR]]) / Table1[[#This Row],[PREV_CL_PR]] * 100</f>
        <v>-6.3655030800821448</v>
      </c>
      <c r="M2051">
        <f>Table1[[#This Row],[HIGH_PRICE]]-Table1[[#This Row],[LOW_PRICE]]</f>
        <v>0.33000000000000007</v>
      </c>
      <c r="N2051" t="str">
        <f>IF(Table1[[#This Row],[CLOSE_PRICE]]&gt;Table1[[#This Row],[OPEN_PRICE]],"Gain","Loss")</f>
        <v>Loss</v>
      </c>
      <c r="O2051" t="str">
        <f>IF(Table1[[#This Row],[MARKET_CAP]]&gt;200000000000,"Large Cap",
IF(Table1[[#This Row],[MARKET_CAP]]&gt;50000000000,"Mid Cap","Small Cap"))</f>
        <v>Small Cap</v>
      </c>
      <c r="P2051" t="str">
        <f>IF(Table1[[#This Row],[NET_TRDQTY]]&gt;1000000,"High Volume","Low Volume")</f>
        <v>Low Volume</v>
      </c>
    </row>
    <row r="2052" spans="1:16" x14ac:dyDescent="0.3">
      <c r="A2052" t="s">
        <v>4107</v>
      </c>
      <c r="B2052" t="s">
        <v>4108</v>
      </c>
      <c r="C2052">
        <v>39</v>
      </c>
      <c r="D2052">
        <v>39</v>
      </c>
      <c r="E2052">
        <v>35.4</v>
      </c>
      <c r="F2052">
        <v>35.4</v>
      </c>
      <c r="G2052">
        <v>37.25</v>
      </c>
      <c r="H2052">
        <v>35912</v>
      </c>
      <c r="I2052">
        <v>56</v>
      </c>
      <c r="J2052">
        <v>847868940</v>
      </c>
      <c r="K2052">
        <v>23951100</v>
      </c>
      <c r="L2052">
        <f>(Table1[[#This Row],[CLOSE_PRICE]] - Table1[[#This Row],[PREV_CL_PR]]) / Table1[[#This Row],[PREV_CL_PR]] * 100</f>
        <v>-4.9664429530201382</v>
      </c>
      <c r="M2052">
        <f>Table1[[#This Row],[HIGH_PRICE]]-Table1[[#This Row],[LOW_PRICE]]</f>
        <v>3.6000000000000014</v>
      </c>
      <c r="N2052" t="str">
        <f>IF(Table1[[#This Row],[CLOSE_PRICE]]&gt;Table1[[#This Row],[OPEN_PRICE]],"Gain","Loss")</f>
        <v>Loss</v>
      </c>
      <c r="O2052" t="str">
        <f>IF(Table1[[#This Row],[MARKET_CAP]]&gt;200000000000,"Large Cap",
IF(Table1[[#This Row],[MARKET_CAP]]&gt;50000000000,"Mid Cap","Small Cap"))</f>
        <v>Small Cap</v>
      </c>
      <c r="P2052" t="str">
        <f>IF(Table1[[#This Row],[NET_TRDQTY]]&gt;1000000,"High Volume","Low Volume")</f>
        <v>Low Volume</v>
      </c>
    </row>
    <row r="2053" spans="1:16" x14ac:dyDescent="0.3">
      <c r="A2053" t="s">
        <v>4109</v>
      </c>
      <c r="B2053" t="s">
        <v>4110</v>
      </c>
      <c r="C2053">
        <v>0.56999999999999995</v>
      </c>
      <c r="D2053">
        <v>0.62</v>
      </c>
      <c r="E2053">
        <v>0.5</v>
      </c>
      <c r="F2053">
        <v>0.53</v>
      </c>
      <c r="G2053">
        <v>0.56000000000000005</v>
      </c>
      <c r="H2053">
        <v>797908</v>
      </c>
      <c r="I2053">
        <v>406</v>
      </c>
      <c r="J2053">
        <v>155131283</v>
      </c>
      <c r="K2053">
        <v>292700534</v>
      </c>
      <c r="L2053">
        <f>(Table1[[#This Row],[CLOSE_PRICE]] - Table1[[#This Row],[PREV_CL_PR]]) / Table1[[#This Row],[PREV_CL_PR]] * 100</f>
        <v>-5.3571428571428621</v>
      </c>
      <c r="M2053">
        <f>Table1[[#This Row],[HIGH_PRICE]]-Table1[[#This Row],[LOW_PRICE]]</f>
        <v>0.12</v>
      </c>
      <c r="N2053" t="str">
        <f>IF(Table1[[#This Row],[CLOSE_PRICE]]&gt;Table1[[#This Row],[OPEN_PRICE]],"Gain","Loss")</f>
        <v>Loss</v>
      </c>
      <c r="O2053" t="str">
        <f>IF(Table1[[#This Row],[MARKET_CAP]]&gt;200000000000,"Large Cap",
IF(Table1[[#This Row],[MARKET_CAP]]&gt;50000000000,"Mid Cap","Small Cap"))</f>
        <v>Small Cap</v>
      </c>
      <c r="P2053" t="str">
        <f>IF(Table1[[#This Row],[NET_TRDQTY]]&gt;1000000,"High Volume","Low Volume")</f>
        <v>Low Volume</v>
      </c>
    </row>
    <row r="2054" spans="1:16" x14ac:dyDescent="0.3">
      <c r="A2054" t="s">
        <v>4111</v>
      </c>
      <c r="B2054" t="s">
        <v>4112</v>
      </c>
      <c r="C2054">
        <v>6.28</v>
      </c>
      <c r="D2054">
        <v>6.28</v>
      </c>
      <c r="E2054">
        <v>5.97</v>
      </c>
      <c r="F2054">
        <v>5.99</v>
      </c>
      <c r="G2054">
        <v>6.28</v>
      </c>
      <c r="H2054">
        <v>173159</v>
      </c>
      <c r="I2054">
        <v>365</v>
      </c>
      <c r="J2054">
        <v>496654350.89999998</v>
      </c>
      <c r="K2054">
        <v>82913915</v>
      </c>
      <c r="L2054">
        <f>(Table1[[#This Row],[CLOSE_PRICE]] - Table1[[#This Row],[PREV_CL_PR]]) / Table1[[#This Row],[PREV_CL_PR]] * 100</f>
        <v>-4.6178343949044587</v>
      </c>
      <c r="M2054">
        <f>Table1[[#This Row],[HIGH_PRICE]]-Table1[[#This Row],[LOW_PRICE]]</f>
        <v>0.3100000000000005</v>
      </c>
      <c r="N2054" t="str">
        <f>IF(Table1[[#This Row],[CLOSE_PRICE]]&gt;Table1[[#This Row],[OPEN_PRICE]],"Gain","Loss")</f>
        <v>Loss</v>
      </c>
      <c r="O2054" t="str">
        <f>IF(Table1[[#This Row],[MARKET_CAP]]&gt;200000000000,"Large Cap",
IF(Table1[[#This Row],[MARKET_CAP]]&gt;50000000000,"Mid Cap","Small Cap"))</f>
        <v>Small Cap</v>
      </c>
      <c r="P2054" t="str">
        <f>IF(Table1[[#This Row],[NET_TRDQTY]]&gt;1000000,"High Volume","Low Volume")</f>
        <v>Low Volume</v>
      </c>
    </row>
    <row r="2055" spans="1:16" x14ac:dyDescent="0.3">
      <c r="A2055" t="s">
        <v>4113</v>
      </c>
      <c r="B2055" t="s">
        <v>4114</v>
      </c>
      <c r="C2055">
        <v>186.54</v>
      </c>
      <c r="D2055">
        <v>187.12</v>
      </c>
      <c r="E2055">
        <v>178.13</v>
      </c>
      <c r="F2055">
        <v>179.89</v>
      </c>
      <c r="G2055">
        <v>188.43</v>
      </c>
      <c r="H2055">
        <v>1040362</v>
      </c>
      <c r="I2055">
        <v>17800</v>
      </c>
      <c r="J2055">
        <v>78543177661</v>
      </c>
      <c r="K2055">
        <v>436617809</v>
      </c>
      <c r="L2055">
        <f>(Table1[[#This Row],[CLOSE_PRICE]] - Table1[[#This Row],[PREV_CL_PR]]) / Table1[[#This Row],[PREV_CL_PR]] * 100</f>
        <v>-4.5321870190521789</v>
      </c>
      <c r="M2055">
        <f>Table1[[#This Row],[HIGH_PRICE]]-Table1[[#This Row],[LOW_PRICE]]</f>
        <v>8.9900000000000091</v>
      </c>
      <c r="N2055" t="str">
        <f>IF(Table1[[#This Row],[CLOSE_PRICE]]&gt;Table1[[#This Row],[OPEN_PRICE]],"Gain","Loss")</f>
        <v>Loss</v>
      </c>
      <c r="O2055" t="str">
        <f>IF(Table1[[#This Row],[MARKET_CAP]]&gt;200000000000,"Large Cap",
IF(Table1[[#This Row],[MARKET_CAP]]&gt;50000000000,"Mid Cap","Small Cap"))</f>
        <v>Mid Cap</v>
      </c>
      <c r="P2055" t="str">
        <f>IF(Table1[[#This Row],[NET_TRDQTY]]&gt;1000000,"High Volume","Low Volume")</f>
        <v>High Volume</v>
      </c>
    </row>
    <row r="2056" spans="1:16" x14ac:dyDescent="0.3">
      <c r="A2056" t="s">
        <v>4115</v>
      </c>
      <c r="B2056" t="s">
        <v>4116</v>
      </c>
      <c r="C2056">
        <v>11</v>
      </c>
      <c r="D2056">
        <v>11.46</v>
      </c>
      <c r="E2056">
        <v>9.6199999999999992</v>
      </c>
      <c r="F2056">
        <v>10.029999999999999</v>
      </c>
      <c r="G2056">
        <v>11.03</v>
      </c>
      <c r="H2056">
        <v>970492</v>
      </c>
      <c r="I2056">
        <v>2999</v>
      </c>
      <c r="J2056">
        <v>1087766830</v>
      </c>
      <c r="K2056">
        <v>108451329</v>
      </c>
      <c r="L2056">
        <f>(Table1[[#This Row],[CLOSE_PRICE]] - Table1[[#This Row],[PREV_CL_PR]]) / Table1[[#This Row],[PREV_CL_PR]] * 100</f>
        <v>-9.0661831368993653</v>
      </c>
      <c r="M2056">
        <f>Table1[[#This Row],[HIGH_PRICE]]-Table1[[#This Row],[LOW_PRICE]]</f>
        <v>1.8400000000000016</v>
      </c>
      <c r="N2056" t="str">
        <f>IF(Table1[[#This Row],[CLOSE_PRICE]]&gt;Table1[[#This Row],[OPEN_PRICE]],"Gain","Loss")</f>
        <v>Loss</v>
      </c>
      <c r="O2056" t="str">
        <f>IF(Table1[[#This Row],[MARKET_CAP]]&gt;200000000000,"Large Cap",
IF(Table1[[#This Row],[MARKET_CAP]]&gt;50000000000,"Mid Cap","Small Cap"))</f>
        <v>Small Cap</v>
      </c>
      <c r="P2056" t="str">
        <f>IF(Table1[[#This Row],[NET_TRDQTY]]&gt;1000000,"High Volume","Low Volume")</f>
        <v>Low Volume</v>
      </c>
    </row>
    <row r="2057" spans="1:16" x14ac:dyDescent="0.3">
      <c r="A2057" t="s">
        <v>4117</v>
      </c>
      <c r="B2057" t="s">
        <v>4118</v>
      </c>
      <c r="C2057">
        <v>220.1</v>
      </c>
      <c r="D2057">
        <v>223.4</v>
      </c>
      <c r="E2057">
        <v>214</v>
      </c>
      <c r="F2057">
        <v>216</v>
      </c>
      <c r="G2057">
        <v>223.85</v>
      </c>
      <c r="H2057">
        <v>20345</v>
      </c>
      <c r="I2057">
        <v>544</v>
      </c>
      <c r="J2057">
        <v>6777791208</v>
      </c>
      <c r="K2057">
        <v>31378663</v>
      </c>
      <c r="L2057">
        <f>(Table1[[#This Row],[CLOSE_PRICE]] - Table1[[#This Row],[PREV_CL_PR]]) / Table1[[#This Row],[PREV_CL_PR]] * 100</f>
        <v>-3.506812597721686</v>
      </c>
      <c r="M2057">
        <f>Table1[[#This Row],[HIGH_PRICE]]-Table1[[#This Row],[LOW_PRICE]]</f>
        <v>9.4000000000000057</v>
      </c>
      <c r="N2057" t="str">
        <f>IF(Table1[[#This Row],[CLOSE_PRICE]]&gt;Table1[[#This Row],[OPEN_PRICE]],"Gain","Loss")</f>
        <v>Loss</v>
      </c>
      <c r="O2057" t="str">
        <f>IF(Table1[[#This Row],[MARKET_CAP]]&gt;200000000000,"Large Cap",
IF(Table1[[#This Row],[MARKET_CAP]]&gt;50000000000,"Mid Cap","Small Cap"))</f>
        <v>Small Cap</v>
      </c>
      <c r="P2057" t="str">
        <f>IF(Table1[[#This Row],[NET_TRDQTY]]&gt;1000000,"High Volume","Low Volume")</f>
        <v>Low Volume</v>
      </c>
    </row>
    <row r="2058" spans="1:16" x14ac:dyDescent="0.3">
      <c r="A2058" t="s">
        <v>4119</v>
      </c>
      <c r="B2058" t="s">
        <v>4120</v>
      </c>
      <c r="C2058">
        <v>510.2</v>
      </c>
      <c r="D2058">
        <v>510.2</v>
      </c>
      <c r="E2058">
        <v>493.3</v>
      </c>
      <c r="F2058">
        <v>499.2</v>
      </c>
      <c r="G2058">
        <v>510.2</v>
      </c>
      <c r="H2058">
        <v>112400</v>
      </c>
      <c r="I2058">
        <v>6035</v>
      </c>
      <c r="J2058">
        <v>39655961280</v>
      </c>
      <c r="K2058">
        <v>79439025</v>
      </c>
      <c r="L2058">
        <f>(Table1[[#This Row],[CLOSE_PRICE]] - Table1[[#This Row],[PREV_CL_PR]]) / Table1[[#This Row],[PREV_CL_PR]] * 100</f>
        <v>-2.1560172481379851</v>
      </c>
      <c r="M2058">
        <f>Table1[[#This Row],[HIGH_PRICE]]-Table1[[#This Row],[LOW_PRICE]]</f>
        <v>16.899999999999977</v>
      </c>
      <c r="N2058" t="str">
        <f>IF(Table1[[#This Row],[CLOSE_PRICE]]&gt;Table1[[#This Row],[OPEN_PRICE]],"Gain","Loss")</f>
        <v>Loss</v>
      </c>
      <c r="O2058" t="str">
        <f>IF(Table1[[#This Row],[MARKET_CAP]]&gt;200000000000,"Large Cap",
IF(Table1[[#This Row],[MARKET_CAP]]&gt;50000000000,"Mid Cap","Small Cap"))</f>
        <v>Small Cap</v>
      </c>
      <c r="P2058" t="str">
        <f>IF(Table1[[#This Row],[NET_TRDQTY]]&gt;1000000,"High Volume","Low Volume")</f>
        <v>Low Volume</v>
      </c>
    </row>
    <row r="2059" spans="1:16" x14ac:dyDescent="0.3">
      <c r="A2059" t="s">
        <v>4121</v>
      </c>
      <c r="B2059" t="s">
        <v>4122</v>
      </c>
      <c r="C2059">
        <v>101.78</v>
      </c>
      <c r="D2059">
        <v>103.4</v>
      </c>
      <c r="E2059">
        <v>98.77</v>
      </c>
      <c r="F2059">
        <v>99.68</v>
      </c>
      <c r="G2059">
        <v>102.3</v>
      </c>
      <c r="H2059">
        <v>17445024</v>
      </c>
      <c r="I2059">
        <v>136882</v>
      </c>
      <c r="J2059">
        <v>466000000000</v>
      </c>
      <c r="K2059">
        <v>4673002806</v>
      </c>
      <c r="L2059">
        <f>(Table1[[#This Row],[CLOSE_PRICE]] - Table1[[#This Row],[PREV_CL_PR]]) / Table1[[#This Row],[PREV_CL_PR]] * 100</f>
        <v>-2.5610948191593259</v>
      </c>
      <c r="M2059">
        <f>Table1[[#This Row],[HIGH_PRICE]]-Table1[[#This Row],[LOW_PRICE]]</f>
        <v>4.6300000000000097</v>
      </c>
      <c r="N2059" t="str">
        <f>IF(Table1[[#This Row],[CLOSE_PRICE]]&gt;Table1[[#This Row],[OPEN_PRICE]],"Gain","Loss")</f>
        <v>Loss</v>
      </c>
      <c r="O2059" t="str">
        <f>IF(Table1[[#This Row],[MARKET_CAP]]&gt;200000000000,"Large Cap",
IF(Table1[[#This Row],[MARKET_CAP]]&gt;50000000000,"Mid Cap","Small Cap"))</f>
        <v>Large Cap</v>
      </c>
      <c r="P2059" t="str">
        <f>IF(Table1[[#This Row],[NET_TRDQTY]]&gt;1000000,"High Volume","Low Volume")</f>
        <v>High Volume</v>
      </c>
    </row>
    <row r="2060" spans="1:16" x14ac:dyDescent="0.3">
      <c r="A2060" t="s">
        <v>4123</v>
      </c>
      <c r="B2060" t="s">
        <v>4124</v>
      </c>
      <c r="C2060">
        <v>41.32</v>
      </c>
      <c r="D2060">
        <v>41.32</v>
      </c>
      <c r="E2060">
        <v>39.4</v>
      </c>
      <c r="F2060">
        <v>39.619999999999997</v>
      </c>
      <c r="G2060">
        <v>41.32</v>
      </c>
      <c r="H2060">
        <v>73748</v>
      </c>
      <c r="I2060">
        <v>755</v>
      </c>
      <c r="J2060">
        <v>1966388540</v>
      </c>
      <c r="K2060">
        <v>49631210</v>
      </c>
      <c r="L2060">
        <f>(Table1[[#This Row],[CLOSE_PRICE]] - Table1[[#This Row],[PREV_CL_PR]]) / Table1[[#This Row],[PREV_CL_PR]] * 100</f>
        <v>-4.1142303969022329</v>
      </c>
      <c r="M2060">
        <f>Table1[[#This Row],[HIGH_PRICE]]-Table1[[#This Row],[LOW_PRICE]]</f>
        <v>1.9200000000000017</v>
      </c>
      <c r="N2060" t="str">
        <f>IF(Table1[[#This Row],[CLOSE_PRICE]]&gt;Table1[[#This Row],[OPEN_PRICE]],"Gain","Loss")</f>
        <v>Loss</v>
      </c>
      <c r="O2060" t="str">
        <f>IF(Table1[[#This Row],[MARKET_CAP]]&gt;200000000000,"Large Cap",
IF(Table1[[#This Row],[MARKET_CAP]]&gt;50000000000,"Mid Cap","Small Cap"))</f>
        <v>Small Cap</v>
      </c>
      <c r="P2060" t="str">
        <f>IF(Table1[[#This Row],[NET_TRDQTY]]&gt;1000000,"High Volume","Low Volume")</f>
        <v>Low Volume</v>
      </c>
    </row>
    <row r="2061" spans="1:16" x14ac:dyDescent="0.3">
      <c r="A2061" t="s">
        <v>4125</v>
      </c>
      <c r="B2061" t="s">
        <v>4126</v>
      </c>
      <c r="C2061">
        <v>8501</v>
      </c>
      <c r="D2061">
        <v>8521</v>
      </c>
      <c r="E2061">
        <v>8221</v>
      </c>
      <c r="F2061">
        <v>8301</v>
      </c>
      <c r="G2061">
        <v>8604.5</v>
      </c>
      <c r="H2061">
        <v>31771</v>
      </c>
      <c r="I2061">
        <v>10531</v>
      </c>
      <c r="J2061">
        <v>83982213120</v>
      </c>
      <c r="K2061">
        <v>10117120</v>
      </c>
      <c r="L2061">
        <f>(Table1[[#This Row],[CLOSE_PRICE]] - Table1[[#This Row],[PREV_CL_PR]]) / Table1[[#This Row],[PREV_CL_PR]] * 100</f>
        <v>-3.5272241269103373</v>
      </c>
      <c r="M2061">
        <f>Table1[[#This Row],[HIGH_PRICE]]-Table1[[#This Row],[LOW_PRICE]]</f>
        <v>300</v>
      </c>
      <c r="N2061" t="str">
        <f>IF(Table1[[#This Row],[CLOSE_PRICE]]&gt;Table1[[#This Row],[OPEN_PRICE]],"Gain","Loss")</f>
        <v>Loss</v>
      </c>
      <c r="O2061" t="str">
        <f>IF(Table1[[#This Row],[MARKET_CAP]]&gt;200000000000,"Large Cap",
IF(Table1[[#This Row],[MARKET_CAP]]&gt;50000000000,"Mid Cap","Small Cap"))</f>
        <v>Mid Cap</v>
      </c>
      <c r="P2061" t="str">
        <f>IF(Table1[[#This Row],[NET_TRDQTY]]&gt;1000000,"High Volume","Low Volume")</f>
        <v>Low Volume</v>
      </c>
    </row>
    <row r="2062" spans="1:16" x14ac:dyDescent="0.3">
      <c r="A2062" t="s">
        <v>4127</v>
      </c>
      <c r="B2062" t="s">
        <v>4128</v>
      </c>
      <c r="C2062">
        <v>1305</v>
      </c>
      <c r="D2062">
        <v>1305</v>
      </c>
      <c r="E2062">
        <v>1223</v>
      </c>
      <c r="F2062">
        <v>1251.2</v>
      </c>
      <c r="G2062">
        <v>1324.5</v>
      </c>
      <c r="H2062">
        <v>1982017</v>
      </c>
      <c r="I2062">
        <v>74737</v>
      </c>
      <c r="J2062">
        <v>414000000000</v>
      </c>
      <c r="K2062">
        <v>330884740</v>
      </c>
      <c r="L2062">
        <f>(Table1[[#This Row],[CLOSE_PRICE]] - Table1[[#This Row],[PREV_CL_PR]]) / Table1[[#This Row],[PREV_CL_PR]] * 100</f>
        <v>-5.5341638354095846</v>
      </c>
      <c r="M2062">
        <f>Table1[[#This Row],[HIGH_PRICE]]-Table1[[#This Row],[LOW_PRICE]]</f>
        <v>82</v>
      </c>
      <c r="N2062" t="str">
        <f>IF(Table1[[#This Row],[CLOSE_PRICE]]&gt;Table1[[#This Row],[OPEN_PRICE]],"Gain","Loss")</f>
        <v>Loss</v>
      </c>
      <c r="O2062" t="str">
        <f>IF(Table1[[#This Row],[MARKET_CAP]]&gt;200000000000,"Large Cap",
IF(Table1[[#This Row],[MARKET_CAP]]&gt;50000000000,"Mid Cap","Small Cap"))</f>
        <v>Large Cap</v>
      </c>
      <c r="P2062" t="str">
        <f>IF(Table1[[#This Row],[NET_TRDQTY]]&gt;1000000,"High Volume","Low Volume")</f>
        <v>High Volume</v>
      </c>
    </row>
    <row r="2063" spans="1:16" x14ac:dyDescent="0.3">
      <c r="A2063" t="s">
        <v>4129</v>
      </c>
      <c r="B2063" t="s">
        <v>4130</v>
      </c>
      <c r="C2063">
        <v>36.479999999999997</v>
      </c>
      <c r="D2063">
        <v>36.479999999999997</v>
      </c>
      <c r="E2063">
        <v>33.549999999999997</v>
      </c>
      <c r="F2063">
        <v>34.020000000000003</v>
      </c>
      <c r="G2063">
        <v>36.950000000000003</v>
      </c>
      <c r="H2063">
        <v>1496254</v>
      </c>
      <c r="I2063">
        <v>7056</v>
      </c>
      <c r="J2063">
        <v>4240388880</v>
      </c>
      <c r="K2063">
        <v>124644000</v>
      </c>
      <c r="L2063">
        <f>(Table1[[#This Row],[CLOSE_PRICE]] - Table1[[#This Row],[PREV_CL_PR]]) / Table1[[#This Row],[PREV_CL_PR]] * 100</f>
        <v>-7.929634641407306</v>
      </c>
      <c r="M2063">
        <f>Table1[[#This Row],[HIGH_PRICE]]-Table1[[#This Row],[LOW_PRICE]]</f>
        <v>2.9299999999999997</v>
      </c>
      <c r="N2063" t="str">
        <f>IF(Table1[[#This Row],[CLOSE_PRICE]]&gt;Table1[[#This Row],[OPEN_PRICE]],"Gain","Loss")</f>
        <v>Loss</v>
      </c>
      <c r="O2063" t="str">
        <f>IF(Table1[[#This Row],[MARKET_CAP]]&gt;200000000000,"Large Cap",
IF(Table1[[#This Row],[MARKET_CAP]]&gt;50000000000,"Mid Cap","Small Cap"))</f>
        <v>Small Cap</v>
      </c>
      <c r="P2063" t="str">
        <f>IF(Table1[[#This Row],[NET_TRDQTY]]&gt;1000000,"High Volume","Low Volume")</f>
        <v>High Volume</v>
      </c>
    </row>
    <row r="2064" spans="1:16" x14ac:dyDescent="0.3">
      <c r="A2064" t="s">
        <v>4131</v>
      </c>
      <c r="B2064" t="s">
        <v>4132</v>
      </c>
      <c r="C2064">
        <v>110.97</v>
      </c>
      <c r="D2064">
        <v>110.97</v>
      </c>
      <c r="E2064">
        <v>105.42</v>
      </c>
      <c r="F2064">
        <v>107.18</v>
      </c>
      <c r="G2064">
        <v>109.88</v>
      </c>
      <c r="H2064">
        <v>33709</v>
      </c>
      <c r="I2064">
        <v>961</v>
      </c>
      <c r="J2064">
        <v>3535077104</v>
      </c>
      <c r="K2064">
        <v>32982619</v>
      </c>
      <c r="L2064">
        <f>(Table1[[#This Row],[CLOSE_PRICE]] - Table1[[#This Row],[PREV_CL_PR]]) / Table1[[#This Row],[PREV_CL_PR]] * 100</f>
        <v>-2.4572260647979514</v>
      </c>
      <c r="M2064">
        <f>Table1[[#This Row],[HIGH_PRICE]]-Table1[[#This Row],[LOW_PRICE]]</f>
        <v>5.5499999999999972</v>
      </c>
      <c r="N2064" t="str">
        <f>IF(Table1[[#This Row],[CLOSE_PRICE]]&gt;Table1[[#This Row],[OPEN_PRICE]],"Gain","Loss")</f>
        <v>Loss</v>
      </c>
      <c r="O2064" t="str">
        <f>IF(Table1[[#This Row],[MARKET_CAP]]&gt;200000000000,"Large Cap",
IF(Table1[[#This Row],[MARKET_CAP]]&gt;50000000000,"Mid Cap","Small Cap"))</f>
        <v>Small Cap</v>
      </c>
      <c r="P2064" t="str">
        <f>IF(Table1[[#This Row],[NET_TRDQTY]]&gt;1000000,"High Volume","Low Volume")</f>
        <v>Low Volume</v>
      </c>
    </row>
    <row r="2065" spans="1:16" x14ac:dyDescent="0.3">
      <c r="A2065" t="s">
        <v>4133</v>
      </c>
      <c r="B2065" t="s">
        <v>4134</v>
      </c>
      <c r="C2065">
        <v>240</v>
      </c>
      <c r="D2065">
        <v>241</v>
      </c>
      <c r="E2065">
        <v>236.2</v>
      </c>
      <c r="F2065">
        <v>239.85</v>
      </c>
      <c r="G2065">
        <v>241.45</v>
      </c>
      <c r="H2065">
        <v>191607</v>
      </c>
      <c r="I2065">
        <v>6156</v>
      </c>
      <c r="J2065">
        <v>42378374552</v>
      </c>
      <c r="K2065">
        <v>176686990</v>
      </c>
      <c r="L2065">
        <f>(Table1[[#This Row],[CLOSE_PRICE]] - Table1[[#This Row],[PREV_CL_PR]]) / Table1[[#This Row],[PREV_CL_PR]] * 100</f>
        <v>-0.66266307724166262</v>
      </c>
      <c r="M2065">
        <f>Table1[[#This Row],[HIGH_PRICE]]-Table1[[#This Row],[LOW_PRICE]]</f>
        <v>4.8000000000000114</v>
      </c>
      <c r="N2065" t="str">
        <f>IF(Table1[[#This Row],[CLOSE_PRICE]]&gt;Table1[[#This Row],[OPEN_PRICE]],"Gain","Loss")</f>
        <v>Loss</v>
      </c>
      <c r="O2065" t="str">
        <f>IF(Table1[[#This Row],[MARKET_CAP]]&gt;200000000000,"Large Cap",
IF(Table1[[#This Row],[MARKET_CAP]]&gt;50000000000,"Mid Cap","Small Cap"))</f>
        <v>Small Cap</v>
      </c>
      <c r="P2065" t="str">
        <f>IF(Table1[[#This Row],[NET_TRDQTY]]&gt;1000000,"High Volume","Low Volume")</f>
        <v>Low Volume</v>
      </c>
    </row>
    <row r="2066" spans="1:16" x14ac:dyDescent="0.3">
      <c r="A2066" t="s">
        <v>4135</v>
      </c>
      <c r="B2066" t="s">
        <v>4136</v>
      </c>
      <c r="C2066">
        <v>230</v>
      </c>
      <c r="D2066">
        <v>230</v>
      </c>
      <c r="E2066">
        <v>218.75</v>
      </c>
      <c r="F2066">
        <v>220.55</v>
      </c>
      <c r="G2066">
        <v>232.85</v>
      </c>
      <c r="H2066">
        <v>46435</v>
      </c>
      <c r="I2066">
        <v>1737</v>
      </c>
      <c r="J2066">
        <v>21296733220</v>
      </c>
      <c r="K2066">
        <v>96561928</v>
      </c>
      <c r="L2066">
        <f>(Table1[[#This Row],[CLOSE_PRICE]] - Table1[[#This Row],[PREV_CL_PR]]) / Table1[[#This Row],[PREV_CL_PR]] * 100</f>
        <v>-5.282370624865786</v>
      </c>
      <c r="M2066">
        <f>Table1[[#This Row],[HIGH_PRICE]]-Table1[[#This Row],[LOW_PRICE]]</f>
        <v>11.25</v>
      </c>
      <c r="N2066" t="str">
        <f>IF(Table1[[#This Row],[CLOSE_PRICE]]&gt;Table1[[#This Row],[OPEN_PRICE]],"Gain","Loss")</f>
        <v>Loss</v>
      </c>
      <c r="O2066" t="str">
        <f>IF(Table1[[#This Row],[MARKET_CAP]]&gt;200000000000,"Large Cap",
IF(Table1[[#This Row],[MARKET_CAP]]&gt;50000000000,"Mid Cap","Small Cap"))</f>
        <v>Small Cap</v>
      </c>
      <c r="P2066" t="str">
        <f>IF(Table1[[#This Row],[NET_TRDQTY]]&gt;1000000,"High Volume","Low Volume")</f>
        <v>Low Volume</v>
      </c>
    </row>
    <row r="2067" spans="1:16" x14ac:dyDescent="0.3">
      <c r="A2067" t="s">
        <v>4137</v>
      </c>
      <c r="B2067" t="s">
        <v>4138</v>
      </c>
      <c r="C2067">
        <v>214.5</v>
      </c>
      <c r="D2067">
        <v>219</v>
      </c>
      <c r="E2067">
        <v>210.97</v>
      </c>
      <c r="F2067">
        <v>211.82</v>
      </c>
      <c r="G2067">
        <v>213.88</v>
      </c>
      <c r="H2067">
        <v>474956</v>
      </c>
      <c r="I2067">
        <v>9044</v>
      </c>
      <c r="J2067">
        <v>35979982438</v>
      </c>
      <c r="K2067">
        <v>169861120</v>
      </c>
      <c r="L2067">
        <f>(Table1[[#This Row],[CLOSE_PRICE]] - Table1[[#This Row],[PREV_CL_PR]]) / Table1[[#This Row],[PREV_CL_PR]] * 100</f>
        <v>-0.96315691041705742</v>
      </c>
      <c r="M2067">
        <f>Table1[[#This Row],[HIGH_PRICE]]-Table1[[#This Row],[LOW_PRICE]]</f>
        <v>8.0300000000000011</v>
      </c>
      <c r="N2067" t="str">
        <f>IF(Table1[[#This Row],[CLOSE_PRICE]]&gt;Table1[[#This Row],[OPEN_PRICE]],"Gain","Loss")</f>
        <v>Loss</v>
      </c>
      <c r="O2067" t="str">
        <f>IF(Table1[[#This Row],[MARKET_CAP]]&gt;200000000000,"Large Cap",
IF(Table1[[#This Row],[MARKET_CAP]]&gt;50000000000,"Mid Cap","Small Cap"))</f>
        <v>Small Cap</v>
      </c>
      <c r="P2067" t="str">
        <f>IF(Table1[[#This Row],[NET_TRDQTY]]&gt;1000000,"High Volume","Low Volume")</f>
        <v>Low Volume</v>
      </c>
    </row>
    <row r="2068" spans="1:16" x14ac:dyDescent="0.3">
      <c r="A2068" t="s">
        <v>4139</v>
      </c>
      <c r="B2068" t="s">
        <v>4140</v>
      </c>
      <c r="C2068">
        <v>117</v>
      </c>
      <c r="D2068">
        <v>117</v>
      </c>
      <c r="E2068">
        <v>105.02</v>
      </c>
      <c r="F2068">
        <v>105.96</v>
      </c>
      <c r="G2068">
        <v>113.12</v>
      </c>
      <c r="H2068">
        <v>57562</v>
      </c>
      <c r="I2068">
        <v>1421</v>
      </c>
      <c r="J2068">
        <v>2009260460</v>
      </c>
      <c r="K2068">
        <v>18962443</v>
      </c>
      <c r="L2068">
        <f>(Table1[[#This Row],[CLOSE_PRICE]] - Table1[[#This Row],[PREV_CL_PR]]) / Table1[[#This Row],[PREV_CL_PR]] * 100</f>
        <v>-6.3295615275813386</v>
      </c>
      <c r="M2068">
        <f>Table1[[#This Row],[HIGH_PRICE]]-Table1[[#This Row],[LOW_PRICE]]</f>
        <v>11.980000000000004</v>
      </c>
      <c r="N2068" t="str">
        <f>IF(Table1[[#This Row],[CLOSE_PRICE]]&gt;Table1[[#This Row],[OPEN_PRICE]],"Gain","Loss")</f>
        <v>Loss</v>
      </c>
      <c r="O2068" t="str">
        <f>IF(Table1[[#This Row],[MARKET_CAP]]&gt;200000000000,"Large Cap",
IF(Table1[[#This Row],[MARKET_CAP]]&gt;50000000000,"Mid Cap","Small Cap"))</f>
        <v>Small Cap</v>
      </c>
      <c r="P2068" t="str">
        <f>IF(Table1[[#This Row],[NET_TRDQTY]]&gt;1000000,"High Volume","Low Volume")</f>
        <v>Low Volume</v>
      </c>
    </row>
    <row r="2069" spans="1:16" x14ac:dyDescent="0.3">
      <c r="A2069" t="s">
        <v>4141</v>
      </c>
      <c r="B2069" t="s">
        <v>4142</v>
      </c>
      <c r="C2069">
        <v>5200</v>
      </c>
      <c r="D2069">
        <v>5200.5</v>
      </c>
      <c r="E2069">
        <v>4955</v>
      </c>
      <c r="F2069">
        <v>4978</v>
      </c>
      <c r="G2069">
        <v>5239</v>
      </c>
      <c r="H2069">
        <v>14692</v>
      </c>
      <c r="I2069">
        <v>4463</v>
      </c>
      <c r="J2069">
        <v>43026636124</v>
      </c>
      <c r="K2069">
        <v>8643358</v>
      </c>
      <c r="L2069">
        <f>(Table1[[#This Row],[CLOSE_PRICE]] - Table1[[#This Row],[PREV_CL_PR]]) / Table1[[#This Row],[PREV_CL_PR]] * 100</f>
        <v>-4.9818667684672651</v>
      </c>
      <c r="M2069">
        <f>Table1[[#This Row],[HIGH_PRICE]]-Table1[[#This Row],[LOW_PRICE]]</f>
        <v>245.5</v>
      </c>
      <c r="N2069" t="str">
        <f>IF(Table1[[#This Row],[CLOSE_PRICE]]&gt;Table1[[#This Row],[OPEN_PRICE]],"Gain","Loss")</f>
        <v>Loss</v>
      </c>
      <c r="O2069" t="str">
        <f>IF(Table1[[#This Row],[MARKET_CAP]]&gt;200000000000,"Large Cap",
IF(Table1[[#This Row],[MARKET_CAP]]&gt;50000000000,"Mid Cap","Small Cap"))</f>
        <v>Small Cap</v>
      </c>
      <c r="P2069" t="str">
        <f>IF(Table1[[#This Row],[NET_TRDQTY]]&gt;1000000,"High Volume","Low Volume")</f>
        <v>Low Volume</v>
      </c>
    </row>
    <row r="2070" spans="1:16" x14ac:dyDescent="0.3">
      <c r="A2070" t="s">
        <v>4143</v>
      </c>
      <c r="B2070" t="s">
        <v>4144</v>
      </c>
      <c r="C2070">
        <v>534</v>
      </c>
      <c r="D2070">
        <v>553.79999999999995</v>
      </c>
      <c r="E2070">
        <v>523.04999999999995</v>
      </c>
      <c r="F2070">
        <v>538.79999999999995</v>
      </c>
      <c r="G2070">
        <v>532.9</v>
      </c>
      <c r="H2070">
        <v>1910066</v>
      </c>
      <c r="I2070">
        <v>56857</v>
      </c>
      <c r="J2070">
        <v>156000000000</v>
      </c>
      <c r="K2070">
        <v>289237300</v>
      </c>
      <c r="L2070">
        <f>(Table1[[#This Row],[CLOSE_PRICE]] - Table1[[#This Row],[PREV_CL_PR]]) / Table1[[#This Row],[PREV_CL_PR]] * 100</f>
        <v>1.1071495590166969</v>
      </c>
      <c r="M2070">
        <f>Table1[[#This Row],[HIGH_PRICE]]-Table1[[#This Row],[LOW_PRICE]]</f>
        <v>30.75</v>
      </c>
      <c r="N2070" t="str">
        <f>IF(Table1[[#This Row],[CLOSE_PRICE]]&gt;Table1[[#This Row],[OPEN_PRICE]],"Gain","Loss")</f>
        <v>Gain</v>
      </c>
      <c r="O2070" t="str">
        <f>IF(Table1[[#This Row],[MARKET_CAP]]&gt;200000000000,"Large Cap",
IF(Table1[[#This Row],[MARKET_CAP]]&gt;50000000000,"Mid Cap","Small Cap"))</f>
        <v>Mid Cap</v>
      </c>
      <c r="P2070" t="str">
        <f>IF(Table1[[#This Row],[NET_TRDQTY]]&gt;1000000,"High Volume","Low Volume")</f>
        <v>High Volume</v>
      </c>
    </row>
    <row r="2071" spans="1:16" x14ac:dyDescent="0.3">
      <c r="A2071" t="s">
        <v>4145</v>
      </c>
      <c r="B2071" t="s">
        <v>4146</v>
      </c>
      <c r="C2071">
        <v>3108.8</v>
      </c>
      <c r="D2071">
        <v>3110.4</v>
      </c>
      <c r="E2071">
        <v>3015.9</v>
      </c>
      <c r="F2071">
        <v>3064.6</v>
      </c>
      <c r="G2071">
        <v>3165.9</v>
      </c>
      <c r="H2071">
        <v>2004463</v>
      </c>
      <c r="I2071">
        <v>101618</v>
      </c>
      <c r="J2071">
        <v>882000000000</v>
      </c>
      <c r="K2071">
        <v>287640905</v>
      </c>
      <c r="L2071">
        <f>(Table1[[#This Row],[CLOSE_PRICE]] - Table1[[#This Row],[PREV_CL_PR]]) / Table1[[#This Row],[PREV_CL_PR]] * 100</f>
        <v>-3.1997220379670925</v>
      </c>
      <c r="M2071">
        <f>Table1[[#This Row],[HIGH_PRICE]]-Table1[[#This Row],[LOW_PRICE]]</f>
        <v>94.5</v>
      </c>
      <c r="N2071" t="str">
        <f>IF(Table1[[#This Row],[CLOSE_PRICE]]&gt;Table1[[#This Row],[OPEN_PRICE]],"Gain","Loss")</f>
        <v>Loss</v>
      </c>
      <c r="O2071" t="str">
        <f>IF(Table1[[#This Row],[MARKET_CAP]]&gt;200000000000,"Large Cap",
IF(Table1[[#This Row],[MARKET_CAP]]&gt;50000000000,"Mid Cap","Small Cap"))</f>
        <v>Large Cap</v>
      </c>
      <c r="P2071" t="str">
        <f>IF(Table1[[#This Row],[NET_TRDQTY]]&gt;1000000,"High Volume","Low Volume")</f>
        <v>High Volume</v>
      </c>
    </row>
    <row r="2072" spans="1:16" x14ac:dyDescent="0.3">
      <c r="A2072" t="s">
        <v>4147</v>
      </c>
      <c r="B2072" t="s">
        <v>4148</v>
      </c>
      <c r="C2072">
        <v>842</v>
      </c>
      <c r="D2072">
        <v>845</v>
      </c>
      <c r="E2072">
        <v>803.1</v>
      </c>
      <c r="F2072">
        <v>807.7</v>
      </c>
      <c r="G2072">
        <v>850.25</v>
      </c>
      <c r="H2072">
        <v>303706</v>
      </c>
      <c r="I2072">
        <v>18007</v>
      </c>
      <c r="J2072">
        <v>84199953781</v>
      </c>
      <c r="K2072">
        <v>104246569</v>
      </c>
      <c r="L2072">
        <f>(Table1[[#This Row],[CLOSE_PRICE]] - Table1[[#This Row],[PREV_CL_PR]]) / Table1[[#This Row],[PREV_CL_PR]] * 100</f>
        <v>-5.0044104675095502</v>
      </c>
      <c r="M2072">
        <f>Table1[[#This Row],[HIGH_PRICE]]-Table1[[#This Row],[LOW_PRICE]]</f>
        <v>41.899999999999977</v>
      </c>
      <c r="N2072" t="str">
        <f>IF(Table1[[#This Row],[CLOSE_PRICE]]&gt;Table1[[#This Row],[OPEN_PRICE]],"Gain","Loss")</f>
        <v>Loss</v>
      </c>
      <c r="O2072" t="str">
        <f>IF(Table1[[#This Row],[MARKET_CAP]]&gt;200000000000,"Large Cap",
IF(Table1[[#This Row],[MARKET_CAP]]&gt;50000000000,"Mid Cap","Small Cap"))</f>
        <v>Mid Cap</v>
      </c>
      <c r="P2072" t="str">
        <f>IF(Table1[[#This Row],[NET_TRDQTY]]&gt;1000000,"High Volume","Low Volume")</f>
        <v>Low Volume</v>
      </c>
    </row>
    <row r="2073" spans="1:16" x14ac:dyDescent="0.3">
      <c r="A2073" t="s">
        <v>4149</v>
      </c>
      <c r="B2073" t="s">
        <v>4150</v>
      </c>
      <c r="C2073">
        <v>1224.5</v>
      </c>
      <c r="D2073">
        <v>1227.8</v>
      </c>
      <c r="E2073">
        <v>1167.5</v>
      </c>
      <c r="F2073">
        <v>1173.5</v>
      </c>
      <c r="G2073">
        <v>1236.9000000000001</v>
      </c>
      <c r="H2073">
        <v>367021</v>
      </c>
      <c r="I2073">
        <v>29547</v>
      </c>
      <c r="J2073">
        <v>73105825222</v>
      </c>
      <c r="K2073">
        <v>62297252</v>
      </c>
      <c r="L2073">
        <f>(Table1[[#This Row],[CLOSE_PRICE]] - Table1[[#This Row],[PREV_CL_PR]]) / Table1[[#This Row],[PREV_CL_PR]] * 100</f>
        <v>-5.1257175196054723</v>
      </c>
      <c r="M2073">
        <f>Table1[[#This Row],[HIGH_PRICE]]-Table1[[#This Row],[LOW_PRICE]]</f>
        <v>60.299999999999955</v>
      </c>
      <c r="N2073" t="str">
        <f>IF(Table1[[#This Row],[CLOSE_PRICE]]&gt;Table1[[#This Row],[OPEN_PRICE]],"Gain","Loss")</f>
        <v>Loss</v>
      </c>
      <c r="O2073" t="str">
        <f>IF(Table1[[#This Row],[MARKET_CAP]]&gt;200000000000,"Large Cap",
IF(Table1[[#This Row],[MARKET_CAP]]&gt;50000000000,"Mid Cap","Small Cap"))</f>
        <v>Mid Cap</v>
      </c>
      <c r="P2073" t="str">
        <f>IF(Table1[[#This Row],[NET_TRDQTY]]&gt;1000000,"High Volume","Low Volume")</f>
        <v>Low Volume</v>
      </c>
    </row>
    <row r="2074" spans="1:16" x14ac:dyDescent="0.3">
      <c r="A2074" t="s">
        <v>4151</v>
      </c>
      <c r="B2074" t="s">
        <v>4152</v>
      </c>
      <c r="C2074">
        <v>160.63</v>
      </c>
      <c r="D2074">
        <v>160.80000000000001</v>
      </c>
      <c r="E2074">
        <v>152.02000000000001</v>
      </c>
      <c r="F2074">
        <v>154.97999999999999</v>
      </c>
      <c r="G2074">
        <v>162.25</v>
      </c>
      <c r="H2074">
        <v>1542204</v>
      </c>
      <c r="I2074">
        <v>7268</v>
      </c>
      <c r="J2074">
        <v>50651908052</v>
      </c>
      <c r="K2074">
        <v>326828675</v>
      </c>
      <c r="L2074">
        <f>(Table1[[#This Row],[CLOSE_PRICE]] - Table1[[#This Row],[PREV_CL_PR]]) / Table1[[#This Row],[PREV_CL_PR]] * 100</f>
        <v>-4.4807395993836732</v>
      </c>
      <c r="M2074">
        <f>Table1[[#This Row],[HIGH_PRICE]]-Table1[[#This Row],[LOW_PRICE]]</f>
        <v>8.7800000000000011</v>
      </c>
      <c r="N2074" t="str">
        <f>IF(Table1[[#This Row],[CLOSE_PRICE]]&gt;Table1[[#This Row],[OPEN_PRICE]],"Gain","Loss")</f>
        <v>Loss</v>
      </c>
      <c r="O2074" t="str">
        <f>IF(Table1[[#This Row],[MARKET_CAP]]&gt;200000000000,"Large Cap",
IF(Table1[[#This Row],[MARKET_CAP]]&gt;50000000000,"Mid Cap","Small Cap"))</f>
        <v>Mid Cap</v>
      </c>
      <c r="P2074" t="str">
        <f>IF(Table1[[#This Row],[NET_TRDQTY]]&gt;1000000,"High Volume","Low Volume")</f>
        <v>High Volume</v>
      </c>
    </row>
    <row r="2075" spans="1:16" x14ac:dyDescent="0.3">
      <c r="A2075" t="s">
        <v>4153</v>
      </c>
      <c r="B2075" t="s">
        <v>4154</v>
      </c>
      <c r="C2075">
        <v>145.26</v>
      </c>
      <c r="D2075">
        <v>146.85</v>
      </c>
      <c r="E2075">
        <v>139.11000000000001</v>
      </c>
      <c r="F2075">
        <v>140.22</v>
      </c>
      <c r="G2075">
        <v>148.13999999999999</v>
      </c>
      <c r="H2075">
        <v>744173</v>
      </c>
      <c r="I2075">
        <v>9009</v>
      </c>
      <c r="J2075">
        <v>9510624959</v>
      </c>
      <c r="K2075">
        <v>67826451</v>
      </c>
      <c r="L2075">
        <f>(Table1[[#This Row],[CLOSE_PRICE]] - Table1[[#This Row],[PREV_CL_PR]]) / Table1[[#This Row],[PREV_CL_PR]] * 100</f>
        <v>-5.3462940461725319</v>
      </c>
      <c r="M2075">
        <f>Table1[[#This Row],[HIGH_PRICE]]-Table1[[#This Row],[LOW_PRICE]]</f>
        <v>7.7399999999999807</v>
      </c>
      <c r="N2075" t="str">
        <f>IF(Table1[[#This Row],[CLOSE_PRICE]]&gt;Table1[[#This Row],[OPEN_PRICE]],"Gain","Loss")</f>
        <v>Loss</v>
      </c>
      <c r="O2075" t="str">
        <f>IF(Table1[[#This Row],[MARKET_CAP]]&gt;200000000000,"Large Cap",
IF(Table1[[#This Row],[MARKET_CAP]]&gt;50000000000,"Mid Cap","Small Cap"))</f>
        <v>Small Cap</v>
      </c>
      <c r="P2075" t="str">
        <f>IF(Table1[[#This Row],[NET_TRDQTY]]&gt;1000000,"High Volume","Low Volume")</f>
        <v>Low Volume</v>
      </c>
    </row>
    <row r="2076" spans="1:16" x14ac:dyDescent="0.3">
      <c r="A2076" t="s">
        <v>4155</v>
      </c>
      <c r="B2076" t="s">
        <v>4156</v>
      </c>
      <c r="C2076">
        <v>91</v>
      </c>
      <c r="D2076">
        <v>91.25</v>
      </c>
      <c r="E2076">
        <v>84.8</v>
      </c>
      <c r="F2076">
        <v>85.26</v>
      </c>
      <c r="G2076">
        <v>92.42</v>
      </c>
      <c r="H2076">
        <v>308553</v>
      </c>
      <c r="I2076">
        <v>3379</v>
      </c>
      <c r="J2076">
        <v>8692701460</v>
      </c>
      <c r="K2076">
        <v>101955213</v>
      </c>
      <c r="L2076">
        <f>(Table1[[#This Row],[CLOSE_PRICE]] - Table1[[#This Row],[PREV_CL_PR]]) / Table1[[#This Row],[PREV_CL_PR]] * 100</f>
        <v>-7.7472408569573643</v>
      </c>
      <c r="M2076">
        <f>Table1[[#This Row],[HIGH_PRICE]]-Table1[[#This Row],[LOW_PRICE]]</f>
        <v>6.4500000000000028</v>
      </c>
      <c r="N2076" t="str">
        <f>IF(Table1[[#This Row],[CLOSE_PRICE]]&gt;Table1[[#This Row],[OPEN_PRICE]],"Gain","Loss")</f>
        <v>Loss</v>
      </c>
      <c r="O2076" t="str">
        <f>IF(Table1[[#This Row],[MARKET_CAP]]&gt;200000000000,"Large Cap",
IF(Table1[[#This Row],[MARKET_CAP]]&gt;50000000000,"Mid Cap","Small Cap"))</f>
        <v>Small Cap</v>
      </c>
      <c r="P2076" t="str">
        <f>IF(Table1[[#This Row],[NET_TRDQTY]]&gt;1000000,"High Volume","Low Volume")</f>
        <v>Low Volume</v>
      </c>
    </row>
    <row r="2077" spans="1:16" x14ac:dyDescent="0.3">
      <c r="A2077" t="s">
        <v>4157</v>
      </c>
      <c r="B2077" t="s">
        <v>4158</v>
      </c>
      <c r="C2077">
        <v>880.15</v>
      </c>
      <c r="D2077">
        <v>889</v>
      </c>
      <c r="E2077">
        <v>850</v>
      </c>
      <c r="F2077">
        <v>850.65</v>
      </c>
      <c r="G2077">
        <v>893.8</v>
      </c>
      <c r="H2077">
        <v>1150</v>
      </c>
      <c r="I2077">
        <v>231</v>
      </c>
      <c r="J2077">
        <v>9063675750</v>
      </c>
      <c r="K2077">
        <v>10655000</v>
      </c>
      <c r="L2077">
        <f>(Table1[[#This Row],[CLOSE_PRICE]] - Table1[[#This Row],[PREV_CL_PR]]) / Table1[[#This Row],[PREV_CL_PR]] * 100</f>
        <v>-4.8277019467442361</v>
      </c>
      <c r="M2077">
        <f>Table1[[#This Row],[HIGH_PRICE]]-Table1[[#This Row],[LOW_PRICE]]</f>
        <v>39</v>
      </c>
      <c r="N2077" t="str">
        <f>IF(Table1[[#This Row],[CLOSE_PRICE]]&gt;Table1[[#This Row],[OPEN_PRICE]],"Gain","Loss")</f>
        <v>Loss</v>
      </c>
      <c r="O2077" t="str">
        <f>IF(Table1[[#This Row],[MARKET_CAP]]&gt;200000000000,"Large Cap",
IF(Table1[[#This Row],[MARKET_CAP]]&gt;50000000000,"Mid Cap","Small Cap"))</f>
        <v>Small Cap</v>
      </c>
      <c r="P2077" t="str">
        <f>IF(Table1[[#This Row],[NET_TRDQTY]]&gt;1000000,"High Volume","Low Volume")</f>
        <v>Low Volume</v>
      </c>
    </row>
    <row r="2078" spans="1:16" x14ac:dyDescent="0.3">
      <c r="A2078" t="s">
        <v>4159</v>
      </c>
      <c r="B2078" t="s">
        <v>4160</v>
      </c>
      <c r="C2078">
        <v>76.22</v>
      </c>
      <c r="D2078">
        <v>78.760000000000005</v>
      </c>
      <c r="E2078">
        <v>71.67</v>
      </c>
      <c r="F2078">
        <v>76.56</v>
      </c>
      <c r="G2078">
        <v>74.849999999999994</v>
      </c>
      <c r="H2078">
        <v>36483038</v>
      </c>
      <c r="I2078">
        <v>128185</v>
      </c>
      <c r="J2078">
        <v>32313179263</v>
      </c>
      <c r="K2078">
        <v>422063470</v>
      </c>
      <c r="L2078">
        <f>(Table1[[#This Row],[CLOSE_PRICE]] - Table1[[#This Row],[PREV_CL_PR]]) / Table1[[#This Row],[PREV_CL_PR]] * 100</f>
        <v>2.2845691382765638</v>
      </c>
      <c r="M2078">
        <f>Table1[[#This Row],[HIGH_PRICE]]-Table1[[#This Row],[LOW_PRICE]]</f>
        <v>7.0900000000000034</v>
      </c>
      <c r="N2078" t="str">
        <f>IF(Table1[[#This Row],[CLOSE_PRICE]]&gt;Table1[[#This Row],[OPEN_PRICE]],"Gain","Loss")</f>
        <v>Gain</v>
      </c>
      <c r="O2078" t="str">
        <f>IF(Table1[[#This Row],[MARKET_CAP]]&gt;200000000000,"Large Cap",
IF(Table1[[#This Row],[MARKET_CAP]]&gt;50000000000,"Mid Cap","Small Cap"))</f>
        <v>Small Cap</v>
      </c>
      <c r="P2078" t="str">
        <f>IF(Table1[[#This Row],[NET_TRDQTY]]&gt;1000000,"High Volume","Low Volume")</f>
        <v>High Volume</v>
      </c>
    </row>
    <row r="2079" spans="1:16" x14ac:dyDescent="0.3">
      <c r="A2079" t="s">
        <v>4161</v>
      </c>
      <c r="B2079" t="s">
        <v>4162</v>
      </c>
      <c r="C2079">
        <v>75.010000000000005</v>
      </c>
      <c r="D2079">
        <v>75.19</v>
      </c>
      <c r="E2079">
        <v>70.36</v>
      </c>
      <c r="F2079">
        <v>72.38</v>
      </c>
      <c r="G2079">
        <v>75.94</v>
      </c>
      <c r="H2079">
        <v>11269</v>
      </c>
      <c r="I2079">
        <v>150</v>
      </c>
      <c r="J2079">
        <v>1121445008</v>
      </c>
      <c r="K2079">
        <v>15493852</v>
      </c>
      <c r="L2079">
        <f>(Table1[[#This Row],[CLOSE_PRICE]] - Table1[[#This Row],[PREV_CL_PR]]) / Table1[[#This Row],[PREV_CL_PR]] * 100</f>
        <v>-4.6879115090861232</v>
      </c>
      <c r="M2079">
        <f>Table1[[#This Row],[HIGH_PRICE]]-Table1[[#This Row],[LOW_PRICE]]</f>
        <v>4.8299999999999983</v>
      </c>
      <c r="N2079" t="str">
        <f>IF(Table1[[#This Row],[CLOSE_PRICE]]&gt;Table1[[#This Row],[OPEN_PRICE]],"Gain","Loss")</f>
        <v>Loss</v>
      </c>
      <c r="O2079" t="str">
        <f>IF(Table1[[#This Row],[MARKET_CAP]]&gt;200000000000,"Large Cap",
IF(Table1[[#This Row],[MARKET_CAP]]&gt;50000000000,"Mid Cap","Small Cap"))</f>
        <v>Small Cap</v>
      </c>
      <c r="P2079" t="str">
        <f>IF(Table1[[#This Row],[NET_TRDQTY]]&gt;1000000,"High Volume","Low Volume")</f>
        <v>Low Volume</v>
      </c>
    </row>
    <row r="2080" spans="1:16" x14ac:dyDescent="0.3">
      <c r="A2080" t="s">
        <v>4163</v>
      </c>
      <c r="B2080" t="s">
        <v>4164</v>
      </c>
      <c r="C2080">
        <v>135.22999999999999</v>
      </c>
      <c r="D2080">
        <v>135.22999999999999</v>
      </c>
      <c r="E2080">
        <v>127.8</v>
      </c>
      <c r="F2080">
        <v>128.30000000000001</v>
      </c>
      <c r="G2080">
        <v>134</v>
      </c>
      <c r="H2080">
        <v>30693</v>
      </c>
      <c r="I2080">
        <v>593</v>
      </c>
      <c r="J2080">
        <v>17193226400</v>
      </c>
      <c r="K2080">
        <v>134008000</v>
      </c>
      <c r="L2080">
        <f>(Table1[[#This Row],[CLOSE_PRICE]] - Table1[[#This Row],[PREV_CL_PR]]) / Table1[[#This Row],[PREV_CL_PR]] * 100</f>
        <v>-4.2537313432835733</v>
      </c>
      <c r="M2080">
        <f>Table1[[#This Row],[HIGH_PRICE]]-Table1[[#This Row],[LOW_PRICE]]</f>
        <v>7.4299999999999926</v>
      </c>
      <c r="N2080" t="str">
        <f>IF(Table1[[#This Row],[CLOSE_PRICE]]&gt;Table1[[#This Row],[OPEN_PRICE]],"Gain","Loss")</f>
        <v>Loss</v>
      </c>
      <c r="O2080" t="str">
        <f>IF(Table1[[#This Row],[MARKET_CAP]]&gt;200000000000,"Large Cap",
IF(Table1[[#This Row],[MARKET_CAP]]&gt;50000000000,"Mid Cap","Small Cap"))</f>
        <v>Small Cap</v>
      </c>
      <c r="P2080" t="str">
        <f>IF(Table1[[#This Row],[NET_TRDQTY]]&gt;1000000,"High Volume","Low Volume")</f>
        <v>Low Volume</v>
      </c>
    </row>
    <row r="2081" spans="1:16" x14ac:dyDescent="0.3">
      <c r="A2081" t="s">
        <v>4165</v>
      </c>
      <c r="B2081" t="s">
        <v>4166</v>
      </c>
      <c r="C2081">
        <v>800</v>
      </c>
      <c r="D2081">
        <v>800</v>
      </c>
      <c r="E2081">
        <v>759</v>
      </c>
      <c r="F2081">
        <v>770.95</v>
      </c>
      <c r="G2081">
        <v>803.85</v>
      </c>
      <c r="H2081">
        <v>441435</v>
      </c>
      <c r="I2081">
        <v>20761</v>
      </c>
      <c r="J2081">
        <v>203000000000</v>
      </c>
      <c r="K2081">
        <v>263790645</v>
      </c>
      <c r="L2081">
        <f>(Table1[[#This Row],[CLOSE_PRICE]] - Table1[[#This Row],[PREV_CL_PR]]) / Table1[[#This Row],[PREV_CL_PR]] * 100</f>
        <v>-4.0928033837158644</v>
      </c>
      <c r="M2081">
        <f>Table1[[#This Row],[HIGH_PRICE]]-Table1[[#This Row],[LOW_PRICE]]</f>
        <v>41</v>
      </c>
      <c r="N2081" t="str">
        <f>IF(Table1[[#This Row],[CLOSE_PRICE]]&gt;Table1[[#This Row],[OPEN_PRICE]],"Gain","Loss")</f>
        <v>Loss</v>
      </c>
      <c r="O2081" t="str">
        <f>IF(Table1[[#This Row],[MARKET_CAP]]&gt;200000000000,"Large Cap",
IF(Table1[[#This Row],[MARKET_CAP]]&gt;50000000000,"Mid Cap","Small Cap"))</f>
        <v>Large Cap</v>
      </c>
      <c r="P2081" t="str">
        <f>IF(Table1[[#This Row],[NET_TRDQTY]]&gt;1000000,"High Volume","Low Volume")</f>
        <v>Low Volume</v>
      </c>
    </row>
    <row r="2082" spans="1:16" x14ac:dyDescent="0.3">
      <c r="A2082" t="s">
        <v>4167</v>
      </c>
      <c r="B2082" t="s">
        <v>4168</v>
      </c>
      <c r="C2082">
        <v>450.05</v>
      </c>
      <c r="D2082">
        <v>453.4</v>
      </c>
      <c r="E2082">
        <v>423.95</v>
      </c>
      <c r="F2082">
        <v>432.95</v>
      </c>
      <c r="G2082">
        <v>462.35</v>
      </c>
      <c r="H2082">
        <v>222718</v>
      </c>
      <c r="I2082">
        <v>8489</v>
      </c>
      <c r="J2082">
        <v>59926259040</v>
      </c>
      <c r="K2082">
        <v>138413810</v>
      </c>
      <c r="L2082">
        <f>(Table1[[#This Row],[CLOSE_PRICE]] - Table1[[#This Row],[PREV_CL_PR]]) / Table1[[#This Row],[PREV_CL_PR]] * 100</f>
        <v>-6.3588190764572365</v>
      </c>
      <c r="M2082">
        <f>Table1[[#This Row],[HIGH_PRICE]]-Table1[[#This Row],[LOW_PRICE]]</f>
        <v>29.449999999999989</v>
      </c>
      <c r="N2082" t="str">
        <f>IF(Table1[[#This Row],[CLOSE_PRICE]]&gt;Table1[[#This Row],[OPEN_PRICE]],"Gain","Loss")</f>
        <v>Loss</v>
      </c>
      <c r="O2082" t="str">
        <f>IF(Table1[[#This Row],[MARKET_CAP]]&gt;200000000000,"Large Cap",
IF(Table1[[#This Row],[MARKET_CAP]]&gt;50000000000,"Mid Cap","Small Cap"))</f>
        <v>Mid Cap</v>
      </c>
      <c r="P2082" t="str">
        <f>IF(Table1[[#This Row],[NET_TRDQTY]]&gt;1000000,"High Volume","Low Volume")</f>
        <v>Low Volume</v>
      </c>
    </row>
    <row r="2083" spans="1:16" x14ac:dyDescent="0.3">
      <c r="A2083" t="s">
        <v>4169</v>
      </c>
      <c r="B2083" t="s">
        <v>4170</v>
      </c>
      <c r="C2083">
        <v>1165.0999999999999</v>
      </c>
      <c r="D2083">
        <v>1271.4000000000001</v>
      </c>
      <c r="E2083">
        <v>1165.0999999999999</v>
      </c>
      <c r="F2083">
        <v>1209.5</v>
      </c>
      <c r="G2083">
        <v>1274.0999999999999</v>
      </c>
      <c r="H2083">
        <v>1526</v>
      </c>
      <c r="I2083">
        <v>217</v>
      </c>
      <c r="J2083">
        <v>4420088722</v>
      </c>
      <c r="K2083">
        <v>3654476</v>
      </c>
      <c r="L2083">
        <f>(Table1[[#This Row],[CLOSE_PRICE]] - Table1[[#This Row],[PREV_CL_PR]]) / Table1[[#This Row],[PREV_CL_PR]] * 100</f>
        <v>-5.0702456636056752</v>
      </c>
      <c r="M2083">
        <f>Table1[[#This Row],[HIGH_PRICE]]-Table1[[#This Row],[LOW_PRICE]]</f>
        <v>106.30000000000018</v>
      </c>
      <c r="N2083" t="str">
        <f>IF(Table1[[#This Row],[CLOSE_PRICE]]&gt;Table1[[#This Row],[OPEN_PRICE]],"Gain","Loss")</f>
        <v>Gain</v>
      </c>
      <c r="O2083" t="str">
        <f>IF(Table1[[#This Row],[MARKET_CAP]]&gt;200000000000,"Large Cap",
IF(Table1[[#This Row],[MARKET_CAP]]&gt;50000000000,"Mid Cap","Small Cap"))</f>
        <v>Small Cap</v>
      </c>
      <c r="P2083" t="str">
        <f>IF(Table1[[#This Row],[NET_TRDQTY]]&gt;1000000,"High Volume","Low Volume")</f>
        <v>Low Volume</v>
      </c>
    </row>
    <row r="2084" spans="1:16" x14ac:dyDescent="0.3">
      <c r="A2084" t="s">
        <v>4171</v>
      </c>
      <c r="B2084" t="s">
        <v>4172</v>
      </c>
      <c r="C2084">
        <v>112.62</v>
      </c>
      <c r="D2084">
        <v>112.63</v>
      </c>
      <c r="E2084">
        <v>107.5</v>
      </c>
      <c r="F2084">
        <v>109.95</v>
      </c>
      <c r="G2084">
        <v>114.57</v>
      </c>
      <c r="H2084">
        <v>2013421</v>
      </c>
      <c r="I2084">
        <v>23123</v>
      </c>
      <c r="J2084">
        <v>105000000000</v>
      </c>
      <c r="K2084">
        <v>959152514</v>
      </c>
      <c r="L2084">
        <f>(Table1[[#This Row],[CLOSE_PRICE]] - Table1[[#This Row],[PREV_CL_PR]]) / Table1[[#This Row],[PREV_CL_PR]] * 100</f>
        <v>-4.032469232783443</v>
      </c>
      <c r="M2084">
        <f>Table1[[#This Row],[HIGH_PRICE]]-Table1[[#This Row],[LOW_PRICE]]</f>
        <v>5.1299999999999955</v>
      </c>
      <c r="N2084" t="str">
        <f>IF(Table1[[#This Row],[CLOSE_PRICE]]&gt;Table1[[#This Row],[OPEN_PRICE]],"Gain","Loss")</f>
        <v>Loss</v>
      </c>
      <c r="O2084" t="str">
        <f>IF(Table1[[#This Row],[MARKET_CAP]]&gt;200000000000,"Large Cap",
IF(Table1[[#This Row],[MARKET_CAP]]&gt;50000000000,"Mid Cap","Small Cap"))</f>
        <v>Mid Cap</v>
      </c>
      <c r="P2084" t="str">
        <f>IF(Table1[[#This Row],[NET_TRDQTY]]&gt;1000000,"High Volume","Low Volume")</f>
        <v>High Volume</v>
      </c>
    </row>
    <row r="2085" spans="1:16" x14ac:dyDescent="0.3">
      <c r="A2085" t="s">
        <v>4173</v>
      </c>
      <c r="B2085" t="s">
        <v>4174</v>
      </c>
      <c r="C2085">
        <v>6600.5</v>
      </c>
      <c r="D2085">
        <v>6746.5</v>
      </c>
      <c r="E2085">
        <v>6430</v>
      </c>
      <c r="F2085">
        <v>6482</v>
      </c>
      <c r="G2085">
        <v>6732</v>
      </c>
      <c r="H2085">
        <v>10475</v>
      </c>
      <c r="I2085">
        <v>2927</v>
      </c>
      <c r="J2085">
        <v>12964000000</v>
      </c>
      <c r="K2085">
        <v>2000000</v>
      </c>
      <c r="L2085">
        <f>(Table1[[#This Row],[CLOSE_PRICE]] - Table1[[#This Row],[PREV_CL_PR]]) / Table1[[#This Row],[PREV_CL_PR]] * 100</f>
        <v>-3.7136066547831255</v>
      </c>
      <c r="M2085">
        <f>Table1[[#This Row],[HIGH_PRICE]]-Table1[[#This Row],[LOW_PRICE]]</f>
        <v>316.5</v>
      </c>
      <c r="N2085" t="str">
        <f>IF(Table1[[#This Row],[CLOSE_PRICE]]&gt;Table1[[#This Row],[OPEN_PRICE]],"Gain","Loss")</f>
        <v>Loss</v>
      </c>
      <c r="O2085" t="str">
        <f>IF(Table1[[#This Row],[MARKET_CAP]]&gt;200000000000,"Large Cap",
IF(Table1[[#This Row],[MARKET_CAP]]&gt;50000000000,"Mid Cap","Small Cap"))</f>
        <v>Small Cap</v>
      </c>
      <c r="P2085" t="str">
        <f>IF(Table1[[#This Row],[NET_TRDQTY]]&gt;1000000,"High Volume","Low Volume")</f>
        <v>Low Volume</v>
      </c>
    </row>
    <row r="2086" spans="1:16" x14ac:dyDescent="0.3">
      <c r="A2086" t="s">
        <v>4175</v>
      </c>
      <c r="B2086" t="s">
        <v>4176</v>
      </c>
      <c r="C2086">
        <v>435</v>
      </c>
      <c r="D2086">
        <v>435</v>
      </c>
      <c r="E2086">
        <v>398.4</v>
      </c>
      <c r="F2086">
        <v>416.85</v>
      </c>
      <c r="G2086">
        <v>437.55</v>
      </c>
      <c r="H2086">
        <v>223545</v>
      </c>
      <c r="I2086">
        <v>15560</v>
      </c>
      <c r="J2086">
        <v>65001990380</v>
      </c>
      <c r="K2086">
        <v>155936165</v>
      </c>
      <c r="L2086">
        <f>(Table1[[#This Row],[CLOSE_PRICE]] - Table1[[#This Row],[PREV_CL_PR]]) / Table1[[#This Row],[PREV_CL_PR]] * 100</f>
        <v>-4.7308878985258804</v>
      </c>
      <c r="M2086">
        <f>Table1[[#This Row],[HIGH_PRICE]]-Table1[[#This Row],[LOW_PRICE]]</f>
        <v>36.600000000000023</v>
      </c>
      <c r="N2086" t="str">
        <f>IF(Table1[[#This Row],[CLOSE_PRICE]]&gt;Table1[[#This Row],[OPEN_PRICE]],"Gain","Loss")</f>
        <v>Loss</v>
      </c>
      <c r="O2086" t="str">
        <f>IF(Table1[[#This Row],[MARKET_CAP]]&gt;200000000000,"Large Cap",
IF(Table1[[#This Row],[MARKET_CAP]]&gt;50000000000,"Mid Cap","Small Cap"))</f>
        <v>Mid Cap</v>
      </c>
      <c r="P2086" t="str">
        <f>IF(Table1[[#This Row],[NET_TRDQTY]]&gt;1000000,"High Volume","Low Volume")</f>
        <v>Low Volume</v>
      </c>
    </row>
    <row r="2087" spans="1:16" x14ac:dyDescent="0.3">
      <c r="A2087" t="s">
        <v>4177</v>
      </c>
      <c r="B2087" t="s">
        <v>4178</v>
      </c>
      <c r="C2087">
        <v>44.5</v>
      </c>
      <c r="D2087">
        <v>44.5</v>
      </c>
      <c r="E2087">
        <v>39.369999999999997</v>
      </c>
      <c r="F2087">
        <v>41.84</v>
      </c>
      <c r="G2087">
        <v>42.45</v>
      </c>
      <c r="H2087">
        <v>7822</v>
      </c>
      <c r="I2087">
        <v>76</v>
      </c>
      <c r="J2087">
        <v>425136240</v>
      </c>
      <c r="K2087">
        <v>10161000</v>
      </c>
      <c r="L2087">
        <f>(Table1[[#This Row],[CLOSE_PRICE]] - Table1[[#This Row],[PREV_CL_PR]]) / Table1[[#This Row],[PREV_CL_PR]] * 100</f>
        <v>-1.4369846878680788</v>
      </c>
      <c r="M2087">
        <f>Table1[[#This Row],[HIGH_PRICE]]-Table1[[#This Row],[LOW_PRICE]]</f>
        <v>5.1300000000000026</v>
      </c>
      <c r="N2087" t="str">
        <f>IF(Table1[[#This Row],[CLOSE_PRICE]]&gt;Table1[[#This Row],[OPEN_PRICE]],"Gain","Loss")</f>
        <v>Loss</v>
      </c>
      <c r="O2087" t="str">
        <f>IF(Table1[[#This Row],[MARKET_CAP]]&gt;200000000000,"Large Cap",
IF(Table1[[#This Row],[MARKET_CAP]]&gt;50000000000,"Mid Cap","Small Cap"))</f>
        <v>Small Cap</v>
      </c>
      <c r="P2087" t="str">
        <f>IF(Table1[[#This Row],[NET_TRDQTY]]&gt;1000000,"High Volume","Low Volume")</f>
        <v>Low Volume</v>
      </c>
    </row>
    <row r="2088" spans="1:16" x14ac:dyDescent="0.3">
      <c r="A2088" t="s">
        <v>4179</v>
      </c>
      <c r="B2088" t="s">
        <v>4180</v>
      </c>
      <c r="C2088">
        <v>461</v>
      </c>
      <c r="D2088">
        <v>461</v>
      </c>
      <c r="E2088">
        <v>433.45</v>
      </c>
      <c r="F2088">
        <v>443.7</v>
      </c>
      <c r="G2088">
        <v>470</v>
      </c>
      <c r="H2088">
        <v>270933</v>
      </c>
      <c r="I2088">
        <v>14028</v>
      </c>
      <c r="J2088">
        <v>59466120018</v>
      </c>
      <c r="K2088">
        <v>134023259</v>
      </c>
      <c r="L2088">
        <f>(Table1[[#This Row],[CLOSE_PRICE]] - Table1[[#This Row],[PREV_CL_PR]]) / Table1[[#This Row],[PREV_CL_PR]] * 100</f>
        <v>-5.595744680851066</v>
      </c>
      <c r="M2088">
        <f>Table1[[#This Row],[HIGH_PRICE]]-Table1[[#This Row],[LOW_PRICE]]</f>
        <v>27.550000000000011</v>
      </c>
      <c r="N2088" t="str">
        <f>IF(Table1[[#This Row],[CLOSE_PRICE]]&gt;Table1[[#This Row],[OPEN_PRICE]],"Gain","Loss")</f>
        <v>Loss</v>
      </c>
      <c r="O2088" t="str">
        <f>IF(Table1[[#This Row],[MARKET_CAP]]&gt;200000000000,"Large Cap",
IF(Table1[[#This Row],[MARKET_CAP]]&gt;50000000000,"Mid Cap","Small Cap"))</f>
        <v>Mid Cap</v>
      </c>
      <c r="P2088" t="str">
        <f>IF(Table1[[#This Row],[NET_TRDQTY]]&gt;1000000,"High Volume","Low Volume")</f>
        <v>Low Volume</v>
      </c>
    </row>
    <row r="2089" spans="1:16" x14ac:dyDescent="0.3">
      <c r="A2089" t="s">
        <v>4181</v>
      </c>
      <c r="B2089" t="s">
        <v>4182</v>
      </c>
      <c r="C2089">
        <v>1038.0999999999999</v>
      </c>
      <c r="D2089">
        <v>1054.8499999999999</v>
      </c>
      <c r="E2089">
        <v>972</v>
      </c>
      <c r="F2089">
        <v>983.1</v>
      </c>
      <c r="G2089">
        <v>1027.2</v>
      </c>
      <c r="H2089">
        <v>206242</v>
      </c>
      <c r="I2089">
        <v>18494</v>
      </c>
      <c r="J2089">
        <v>24020094097</v>
      </c>
      <c r="K2089">
        <v>24433012</v>
      </c>
      <c r="L2089">
        <f>(Table1[[#This Row],[CLOSE_PRICE]] - Table1[[#This Row],[PREV_CL_PR]]) / Table1[[#This Row],[PREV_CL_PR]] * 100</f>
        <v>-4.2932242990654226</v>
      </c>
      <c r="M2089">
        <f>Table1[[#This Row],[HIGH_PRICE]]-Table1[[#This Row],[LOW_PRICE]]</f>
        <v>82.849999999999909</v>
      </c>
      <c r="N2089" t="str">
        <f>IF(Table1[[#This Row],[CLOSE_PRICE]]&gt;Table1[[#This Row],[OPEN_PRICE]],"Gain","Loss")</f>
        <v>Loss</v>
      </c>
      <c r="O2089" t="str">
        <f>IF(Table1[[#This Row],[MARKET_CAP]]&gt;200000000000,"Large Cap",
IF(Table1[[#This Row],[MARKET_CAP]]&gt;50000000000,"Mid Cap","Small Cap"))</f>
        <v>Small Cap</v>
      </c>
      <c r="P2089" t="str">
        <f>IF(Table1[[#This Row],[NET_TRDQTY]]&gt;1000000,"High Volume","Low Volume")</f>
        <v>Low Volume</v>
      </c>
    </row>
    <row r="2090" spans="1:16" x14ac:dyDescent="0.3">
      <c r="A2090" t="s">
        <v>4183</v>
      </c>
      <c r="B2090" t="s">
        <v>4184</v>
      </c>
      <c r="C2090">
        <v>825</v>
      </c>
      <c r="D2090">
        <v>825</v>
      </c>
      <c r="E2090">
        <v>771</v>
      </c>
      <c r="F2090">
        <v>784.25</v>
      </c>
      <c r="G2090">
        <v>836.35</v>
      </c>
      <c r="H2090">
        <v>450000</v>
      </c>
      <c r="I2090">
        <v>23460</v>
      </c>
      <c r="J2090">
        <v>99499232678</v>
      </c>
      <c r="K2090">
        <v>126871830</v>
      </c>
      <c r="L2090">
        <f>(Table1[[#This Row],[CLOSE_PRICE]] - Table1[[#This Row],[PREV_CL_PR]]) / Table1[[#This Row],[PREV_CL_PR]] * 100</f>
        <v>-6.2294493931966306</v>
      </c>
      <c r="M2090">
        <f>Table1[[#This Row],[HIGH_PRICE]]-Table1[[#This Row],[LOW_PRICE]]</f>
        <v>54</v>
      </c>
      <c r="N2090" t="str">
        <f>IF(Table1[[#This Row],[CLOSE_PRICE]]&gt;Table1[[#This Row],[OPEN_PRICE]],"Gain","Loss")</f>
        <v>Loss</v>
      </c>
      <c r="O2090" t="str">
        <f>IF(Table1[[#This Row],[MARKET_CAP]]&gt;200000000000,"Large Cap",
IF(Table1[[#This Row],[MARKET_CAP]]&gt;50000000000,"Mid Cap","Small Cap"))</f>
        <v>Mid Cap</v>
      </c>
      <c r="P2090" t="str">
        <f>IF(Table1[[#This Row],[NET_TRDQTY]]&gt;1000000,"High Volume","Low Volume")</f>
        <v>Low Volume</v>
      </c>
    </row>
    <row r="2091" spans="1:16" x14ac:dyDescent="0.3">
      <c r="A2091" t="s">
        <v>4185</v>
      </c>
      <c r="B2091" t="s">
        <v>4186</v>
      </c>
      <c r="C2091">
        <v>27.7</v>
      </c>
      <c r="D2091">
        <v>27.7</v>
      </c>
      <c r="E2091">
        <v>23.67</v>
      </c>
      <c r="F2091">
        <v>24.1</v>
      </c>
      <c r="G2091">
        <v>25.89</v>
      </c>
      <c r="H2091">
        <v>6832</v>
      </c>
      <c r="I2091">
        <v>131</v>
      </c>
      <c r="J2091">
        <v>264048276</v>
      </c>
      <c r="K2091">
        <v>10956360</v>
      </c>
      <c r="L2091">
        <f>(Table1[[#This Row],[CLOSE_PRICE]] - Table1[[#This Row],[PREV_CL_PR]]) / Table1[[#This Row],[PREV_CL_PR]] * 100</f>
        <v>-6.9138663576670494</v>
      </c>
      <c r="M2091">
        <f>Table1[[#This Row],[HIGH_PRICE]]-Table1[[#This Row],[LOW_PRICE]]</f>
        <v>4.0299999999999976</v>
      </c>
      <c r="N2091" t="str">
        <f>IF(Table1[[#This Row],[CLOSE_PRICE]]&gt;Table1[[#This Row],[OPEN_PRICE]],"Gain","Loss")</f>
        <v>Loss</v>
      </c>
      <c r="O2091" t="str">
        <f>IF(Table1[[#This Row],[MARKET_CAP]]&gt;200000000000,"Large Cap",
IF(Table1[[#This Row],[MARKET_CAP]]&gt;50000000000,"Mid Cap","Small Cap"))</f>
        <v>Small Cap</v>
      </c>
      <c r="P2091" t="str">
        <f>IF(Table1[[#This Row],[NET_TRDQTY]]&gt;1000000,"High Volume","Low Volume")</f>
        <v>Low Volume</v>
      </c>
    </row>
    <row r="2092" spans="1:16" x14ac:dyDescent="0.3">
      <c r="A2092" t="s">
        <v>4187</v>
      </c>
      <c r="B2092" t="s">
        <v>4188</v>
      </c>
      <c r="C2092">
        <v>725</v>
      </c>
      <c r="D2092">
        <v>734.95</v>
      </c>
      <c r="E2092">
        <v>714</v>
      </c>
      <c r="F2092">
        <v>729.3</v>
      </c>
      <c r="G2092">
        <v>727.3</v>
      </c>
      <c r="H2092">
        <v>48351</v>
      </c>
      <c r="I2092">
        <v>2375</v>
      </c>
      <c r="J2092">
        <v>15371630403</v>
      </c>
      <c r="K2092">
        <v>21077239</v>
      </c>
      <c r="L2092">
        <f>(Table1[[#This Row],[CLOSE_PRICE]] - Table1[[#This Row],[PREV_CL_PR]]) / Table1[[#This Row],[PREV_CL_PR]] * 100</f>
        <v>0.27498968788670425</v>
      </c>
      <c r="M2092">
        <f>Table1[[#This Row],[HIGH_PRICE]]-Table1[[#This Row],[LOW_PRICE]]</f>
        <v>20.950000000000045</v>
      </c>
      <c r="N2092" t="str">
        <f>IF(Table1[[#This Row],[CLOSE_PRICE]]&gt;Table1[[#This Row],[OPEN_PRICE]],"Gain","Loss")</f>
        <v>Gain</v>
      </c>
      <c r="O2092" t="str">
        <f>IF(Table1[[#This Row],[MARKET_CAP]]&gt;200000000000,"Large Cap",
IF(Table1[[#This Row],[MARKET_CAP]]&gt;50000000000,"Mid Cap","Small Cap"))</f>
        <v>Small Cap</v>
      </c>
      <c r="P2092" t="str">
        <f>IF(Table1[[#This Row],[NET_TRDQTY]]&gt;1000000,"High Volume","Low Volume")</f>
        <v>Low Volume</v>
      </c>
    </row>
    <row r="2093" spans="1:16" x14ac:dyDescent="0.3">
      <c r="A2093" t="s">
        <v>4189</v>
      </c>
      <c r="B2093" t="s">
        <v>4190</v>
      </c>
      <c r="C2093">
        <v>226</v>
      </c>
      <c r="D2093">
        <v>230</v>
      </c>
      <c r="E2093">
        <v>213.15</v>
      </c>
      <c r="F2093">
        <v>220.35</v>
      </c>
      <c r="G2093">
        <v>230.05</v>
      </c>
      <c r="H2093">
        <v>93310</v>
      </c>
      <c r="I2093">
        <v>1685</v>
      </c>
      <c r="J2093">
        <v>19189074202</v>
      </c>
      <c r="K2093">
        <v>87084521</v>
      </c>
      <c r="L2093">
        <f>(Table1[[#This Row],[CLOSE_PRICE]] - Table1[[#This Row],[PREV_CL_PR]]) / Table1[[#This Row],[PREV_CL_PR]] * 100</f>
        <v>-4.2164746794175247</v>
      </c>
      <c r="M2093">
        <f>Table1[[#This Row],[HIGH_PRICE]]-Table1[[#This Row],[LOW_PRICE]]</f>
        <v>16.849999999999994</v>
      </c>
      <c r="N2093" t="str">
        <f>IF(Table1[[#This Row],[CLOSE_PRICE]]&gt;Table1[[#This Row],[OPEN_PRICE]],"Gain","Loss")</f>
        <v>Loss</v>
      </c>
      <c r="O2093" t="str">
        <f>IF(Table1[[#This Row],[MARKET_CAP]]&gt;200000000000,"Large Cap",
IF(Table1[[#This Row],[MARKET_CAP]]&gt;50000000000,"Mid Cap","Small Cap"))</f>
        <v>Small Cap</v>
      </c>
      <c r="P2093" t="str">
        <f>IF(Table1[[#This Row],[NET_TRDQTY]]&gt;1000000,"High Volume","Low Volume")</f>
        <v>Low Volume</v>
      </c>
    </row>
    <row r="2094" spans="1:16" x14ac:dyDescent="0.3">
      <c r="A2094" t="s">
        <v>4191</v>
      </c>
      <c r="B2094" t="s">
        <v>4192</v>
      </c>
      <c r="C2094">
        <v>149.99</v>
      </c>
      <c r="D2094">
        <v>153.80000000000001</v>
      </c>
      <c r="E2094">
        <v>148.49</v>
      </c>
      <c r="F2094">
        <v>149.91</v>
      </c>
      <c r="G2094">
        <v>149.99</v>
      </c>
      <c r="H2094">
        <v>530</v>
      </c>
      <c r="I2094">
        <v>18</v>
      </c>
      <c r="J2094">
        <v>1272337139</v>
      </c>
      <c r="K2094">
        <v>8487340</v>
      </c>
      <c r="L2094">
        <f>(Table1[[#This Row],[CLOSE_PRICE]] - Table1[[#This Row],[PREV_CL_PR]]) / Table1[[#This Row],[PREV_CL_PR]] * 100</f>
        <v>-5.3336889125950068E-2</v>
      </c>
      <c r="M2094">
        <f>Table1[[#This Row],[HIGH_PRICE]]-Table1[[#This Row],[LOW_PRICE]]</f>
        <v>5.3100000000000023</v>
      </c>
      <c r="N2094" t="str">
        <f>IF(Table1[[#This Row],[CLOSE_PRICE]]&gt;Table1[[#This Row],[OPEN_PRICE]],"Gain","Loss")</f>
        <v>Loss</v>
      </c>
      <c r="O2094" t="str">
        <f>IF(Table1[[#This Row],[MARKET_CAP]]&gt;200000000000,"Large Cap",
IF(Table1[[#This Row],[MARKET_CAP]]&gt;50000000000,"Mid Cap","Small Cap"))</f>
        <v>Small Cap</v>
      </c>
      <c r="P2094" t="str">
        <f>IF(Table1[[#This Row],[NET_TRDQTY]]&gt;1000000,"High Volume","Low Volume")</f>
        <v>Low Volume</v>
      </c>
    </row>
    <row r="2095" spans="1:16" x14ac:dyDescent="0.3">
      <c r="A2095" t="s">
        <v>4193</v>
      </c>
      <c r="B2095" t="s">
        <v>4194</v>
      </c>
      <c r="C2095">
        <v>1164.9000000000001</v>
      </c>
      <c r="D2095">
        <v>1164.9000000000001</v>
      </c>
      <c r="E2095">
        <v>1086.7</v>
      </c>
      <c r="F2095">
        <v>1100.3</v>
      </c>
      <c r="G2095">
        <v>1176.2</v>
      </c>
      <c r="H2095">
        <v>804592</v>
      </c>
      <c r="I2095">
        <v>47561</v>
      </c>
      <c r="J2095">
        <v>179000000000</v>
      </c>
      <c r="K2095">
        <v>162492169</v>
      </c>
      <c r="L2095">
        <f>(Table1[[#This Row],[CLOSE_PRICE]] - Table1[[#This Row],[PREV_CL_PR]]) / Table1[[#This Row],[PREV_CL_PR]] * 100</f>
        <v>-6.4529841863628716</v>
      </c>
      <c r="M2095">
        <f>Table1[[#This Row],[HIGH_PRICE]]-Table1[[#This Row],[LOW_PRICE]]</f>
        <v>78.200000000000045</v>
      </c>
      <c r="N2095" t="str">
        <f>IF(Table1[[#This Row],[CLOSE_PRICE]]&gt;Table1[[#This Row],[OPEN_PRICE]],"Gain","Loss")</f>
        <v>Loss</v>
      </c>
      <c r="O2095" t="str">
        <f>IF(Table1[[#This Row],[MARKET_CAP]]&gt;200000000000,"Large Cap",
IF(Table1[[#This Row],[MARKET_CAP]]&gt;50000000000,"Mid Cap","Small Cap"))</f>
        <v>Mid Cap</v>
      </c>
      <c r="P2095" t="str">
        <f>IF(Table1[[#This Row],[NET_TRDQTY]]&gt;1000000,"High Volume","Low Volume")</f>
        <v>Low Volume</v>
      </c>
    </row>
    <row r="2096" spans="1:16" x14ac:dyDescent="0.3">
      <c r="A2096" t="s">
        <v>4195</v>
      </c>
      <c r="B2096" t="s">
        <v>4196</v>
      </c>
      <c r="C2096">
        <v>518.5</v>
      </c>
      <c r="D2096">
        <v>518.54999999999995</v>
      </c>
      <c r="E2096">
        <v>502</v>
      </c>
      <c r="F2096">
        <v>508.4</v>
      </c>
      <c r="G2096">
        <v>520.25</v>
      </c>
      <c r="H2096">
        <v>82791</v>
      </c>
      <c r="I2096">
        <v>2385</v>
      </c>
      <c r="J2096">
        <v>32244134234</v>
      </c>
      <c r="K2096">
        <v>63422766</v>
      </c>
      <c r="L2096">
        <f>(Table1[[#This Row],[CLOSE_PRICE]] - Table1[[#This Row],[PREV_CL_PR]]) / Table1[[#This Row],[PREV_CL_PR]] * 100</f>
        <v>-2.2777510812109605</v>
      </c>
      <c r="M2096">
        <f>Table1[[#This Row],[HIGH_PRICE]]-Table1[[#This Row],[LOW_PRICE]]</f>
        <v>16.549999999999955</v>
      </c>
      <c r="N2096" t="str">
        <f>IF(Table1[[#This Row],[CLOSE_PRICE]]&gt;Table1[[#This Row],[OPEN_PRICE]],"Gain","Loss")</f>
        <v>Loss</v>
      </c>
      <c r="O2096" t="str">
        <f>IF(Table1[[#This Row],[MARKET_CAP]]&gt;200000000000,"Large Cap",
IF(Table1[[#This Row],[MARKET_CAP]]&gt;50000000000,"Mid Cap","Small Cap"))</f>
        <v>Small Cap</v>
      </c>
      <c r="P2096" t="str">
        <f>IF(Table1[[#This Row],[NET_TRDQTY]]&gt;1000000,"High Volume","Low Volume")</f>
        <v>Low Volume</v>
      </c>
    </row>
    <row r="2097" spans="1:16" x14ac:dyDescent="0.3">
      <c r="A2097" t="s">
        <v>4197</v>
      </c>
      <c r="B2097" t="s">
        <v>4198</v>
      </c>
      <c r="C2097">
        <v>126.51</v>
      </c>
      <c r="D2097">
        <v>128.01</v>
      </c>
      <c r="E2097">
        <v>120</v>
      </c>
      <c r="F2097">
        <v>122.87</v>
      </c>
      <c r="G2097">
        <v>126.14</v>
      </c>
      <c r="H2097">
        <v>100749</v>
      </c>
      <c r="I2097">
        <v>140</v>
      </c>
      <c r="J2097">
        <v>1935325370</v>
      </c>
      <c r="K2097">
        <v>15751000</v>
      </c>
      <c r="L2097">
        <f>(Table1[[#This Row],[CLOSE_PRICE]] - Table1[[#This Row],[PREV_CL_PR]]) / Table1[[#This Row],[PREV_CL_PR]] * 100</f>
        <v>-2.5923576977960963</v>
      </c>
      <c r="M2097">
        <f>Table1[[#This Row],[HIGH_PRICE]]-Table1[[#This Row],[LOW_PRICE]]</f>
        <v>8.0099999999999909</v>
      </c>
      <c r="N2097" t="str">
        <f>IF(Table1[[#This Row],[CLOSE_PRICE]]&gt;Table1[[#This Row],[OPEN_PRICE]],"Gain","Loss")</f>
        <v>Loss</v>
      </c>
      <c r="O2097" t="str">
        <f>IF(Table1[[#This Row],[MARKET_CAP]]&gt;200000000000,"Large Cap",
IF(Table1[[#This Row],[MARKET_CAP]]&gt;50000000000,"Mid Cap","Small Cap"))</f>
        <v>Small Cap</v>
      </c>
      <c r="P2097" t="str">
        <f>IF(Table1[[#This Row],[NET_TRDQTY]]&gt;1000000,"High Volume","Low Volume")</f>
        <v>Low Volume</v>
      </c>
    </row>
    <row r="2098" spans="1:16" x14ac:dyDescent="0.3">
      <c r="A2098" t="s">
        <v>4199</v>
      </c>
      <c r="B2098" t="s">
        <v>4200</v>
      </c>
      <c r="C2098">
        <v>69</v>
      </c>
      <c r="D2098">
        <v>70</v>
      </c>
      <c r="E2098">
        <v>65.510000000000005</v>
      </c>
      <c r="F2098">
        <v>68.680000000000007</v>
      </c>
      <c r="G2098">
        <v>69.260000000000005</v>
      </c>
      <c r="H2098">
        <v>114121</v>
      </c>
      <c r="I2098">
        <v>2310</v>
      </c>
      <c r="J2098">
        <v>5210193506</v>
      </c>
      <c r="K2098">
        <v>75861874</v>
      </c>
      <c r="L2098">
        <f>(Table1[[#This Row],[CLOSE_PRICE]] - Table1[[#This Row],[PREV_CL_PR]]) / Table1[[#This Row],[PREV_CL_PR]] * 100</f>
        <v>-0.8374241986716694</v>
      </c>
      <c r="M2098">
        <f>Table1[[#This Row],[HIGH_PRICE]]-Table1[[#This Row],[LOW_PRICE]]</f>
        <v>4.4899999999999949</v>
      </c>
      <c r="N2098" t="str">
        <f>IF(Table1[[#This Row],[CLOSE_PRICE]]&gt;Table1[[#This Row],[OPEN_PRICE]],"Gain","Loss")</f>
        <v>Loss</v>
      </c>
      <c r="O2098" t="str">
        <f>IF(Table1[[#This Row],[MARKET_CAP]]&gt;200000000000,"Large Cap",
IF(Table1[[#This Row],[MARKET_CAP]]&gt;50000000000,"Mid Cap","Small Cap"))</f>
        <v>Small Cap</v>
      </c>
      <c r="P2098" t="str">
        <f>IF(Table1[[#This Row],[NET_TRDQTY]]&gt;1000000,"High Volume","Low Volume")</f>
        <v>Low Volume</v>
      </c>
    </row>
    <row r="2099" spans="1:16" x14ac:dyDescent="0.3">
      <c r="A2099" t="s">
        <v>4201</v>
      </c>
      <c r="B2099" t="s">
        <v>4202</v>
      </c>
      <c r="C2099">
        <v>426</v>
      </c>
      <c r="D2099">
        <v>429.1</v>
      </c>
      <c r="E2099">
        <v>406.55</v>
      </c>
      <c r="F2099">
        <v>408.35</v>
      </c>
      <c r="G2099">
        <v>434.65</v>
      </c>
      <c r="H2099">
        <v>83190</v>
      </c>
      <c r="I2099">
        <v>3777</v>
      </c>
      <c r="J2099">
        <v>26971071582</v>
      </c>
      <c r="K2099">
        <v>66048908</v>
      </c>
      <c r="L2099">
        <f>(Table1[[#This Row],[CLOSE_PRICE]] - Table1[[#This Row],[PREV_CL_PR]]) / Table1[[#This Row],[PREV_CL_PR]] * 100</f>
        <v>-6.0508455078798935</v>
      </c>
      <c r="M2099">
        <f>Table1[[#This Row],[HIGH_PRICE]]-Table1[[#This Row],[LOW_PRICE]]</f>
        <v>22.550000000000011</v>
      </c>
      <c r="N2099" t="str">
        <f>IF(Table1[[#This Row],[CLOSE_PRICE]]&gt;Table1[[#This Row],[OPEN_PRICE]],"Gain","Loss")</f>
        <v>Loss</v>
      </c>
      <c r="O2099" t="str">
        <f>IF(Table1[[#This Row],[MARKET_CAP]]&gt;200000000000,"Large Cap",
IF(Table1[[#This Row],[MARKET_CAP]]&gt;50000000000,"Mid Cap","Small Cap"))</f>
        <v>Small Cap</v>
      </c>
      <c r="P2099" t="str">
        <f>IF(Table1[[#This Row],[NET_TRDQTY]]&gt;1000000,"High Volume","Low Volume")</f>
        <v>Low Volume</v>
      </c>
    </row>
    <row r="2100" spans="1:16" x14ac:dyDescent="0.3">
      <c r="A2100" t="s">
        <v>4203</v>
      </c>
      <c r="B2100" t="s">
        <v>4204</v>
      </c>
      <c r="C2100">
        <v>56.7</v>
      </c>
      <c r="D2100">
        <v>56.7</v>
      </c>
      <c r="E2100">
        <v>53.5</v>
      </c>
      <c r="F2100">
        <v>53.59</v>
      </c>
      <c r="G2100">
        <v>56.7</v>
      </c>
      <c r="H2100">
        <v>151920</v>
      </c>
      <c r="I2100">
        <v>1922</v>
      </c>
      <c r="J2100">
        <v>5970125140</v>
      </c>
      <c r="K2100">
        <v>111403716</v>
      </c>
      <c r="L2100">
        <f>(Table1[[#This Row],[CLOSE_PRICE]] - Table1[[#This Row],[PREV_CL_PR]]) / Table1[[#This Row],[PREV_CL_PR]] * 100</f>
        <v>-5.4850088183421501</v>
      </c>
      <c r="M2100">
        <f>Table1[[#This Row],[HIGH_PRICE]]-Table1[[#This Row],[LOW_PRICE]]</f>
        <v>3.2000000000000028</v>
      </c>
      <c r="N2100" t="str">
        <f>IF(Table1[[#This Row],[CLOSE_PRICE]]&gt;Table1[[#This Row],[OPEN_PRICE]],"Gain","Loss")</f>
        <v>Loss</v>
      </c>
      <c r="O2100" t="str">
        <f>IF(Table1[[#This Row],[MARKET_CAP]]&gt;200000000000,"Large Cap",
IF(Table1[[#This Row],[MARKET_CAP]]&gt;50000000000,"Mid Cap","Small Cap"))</f>
        <v>Small Cap</v>
      </c>
      <c r="P2100" t="str">
        <f>IF(Table1[[#This Row],[NET_TRDQTY]]&gt;1000000,"High Volume","Low Volume")</f>
        <v>Low Volume</v>
      </c>
    </row>
    <row r="2101" spans="1:16" x14ac:dyDescent="0.3">
      <c r="A2101" t="s">
        <v>4205</v>
      </c>
      <c r="B2101" t="s">
        <v>4206</v>
      </c>
      <c r="C2101">
        <v>90.41</v>
      </c>
      <c r="D2101">
        <v>94.86</v>
      </c>
      <c r="E2101">
        <v>88.1</v>
      </c>
      <c r="F2101">
        <v>88.86</v>
      </c>
      <c r="G2101">
        <v>90.31</v>
      </c>
      <c r="H2101">
        <v>35884</v>
      </c>
      <c r="I2101">
        <v>1100</v>
      </c>
      <c r="J2101">
        <v>1311528548</v>
      </c>
      <c r="K2101">
        <v>14759493</v>
      </c>
      <c r="L2101">
        <f>(Table1[[#This Row],[CLOSE_PRICE]] - Table1[[#This Row],[PREV_CL_PR]]) / Table1[[#This Row],[PREV_CL_PR]] * 100</f>
        <v>-1.6055807773225585</v>
      </c>
      <c r="M2101">
        <f>Table1[[#This Row],[HIGH_PRICE]]-Table1[[#This Row],[LOW_PRICE]]</f>
        <v>6.7600000000000051</v>
      </c>
      <c r="N2101" t="str">
        <f>IF(Table1[[#This Row],[CLOSE_PRICE]]&gt;Table1[[#This Row],[OPEN_PRICE]],"Gain","Loss")</f>
        <v>Loss</v>
      </c>
      <c r="O2101" t="str">
        <f>IF(Table1[[#This Row],[MARKET_CAP]]&gt;200000000000,"Large Cap",
IF(Table1[[#This Row],[MARKET_CAP]]&gt;50000000000,"Mid Cap","Small Cap"))</f>
        <v>Small Cap</v>
      </c>
      <c r="P2101" t="str">
        <f>IF(Table1[[#This Row],[NET_TRDQTY]]&gt;1000000,"High Volume","Low Volume")</f>
        <v>Low Volume</v>
      </c>
    </row>
    <row r="2102" spans="1:16" x14ac:dyDescent="0.3">
      <c r="A2102" t="s">
        <v>4207</v>
      </c>
      <c r="B2102" t="s">
        <v>4208</v>
      </c>
      <c r="C2102">
        <v>985</v>
      </c>
      <c r="D2102">
        <v>985</v>
      </c>
      <c r="E2102">
        <v>934.35</v>
      </c>
      <c r="F2102">
        <v>953.65</v>
      </c>
      <c r="G2102">
        <v>1005</v>
      </c>
      <c r="H2102">
        <v>62791</v>
      </c>
      <c r="I2102">
        <v>4422</v>
      </c>
      <c r="J2102">
        <v>22382525980</v>
      </c>
      <c r="K2102">
        <v>23470378</v>
      </c>
      <c r="L2102">
        <f>(Table1[[#This Row],[CLOSE_PRICE]] - Table1[[#This Row],[PREV_CL_PR]]) / Table1[[#This Row],[PREV_CL_PR]] * 100</f>
        <v>-5.1094527363184099</v>
      </c>
      <c r="M2102">
        <f>Table1[[#This Row],[HIGH_PRICE]]-Table1[[#This Row],[LOW_PRICE]]</f>
        <v>50.649999999999977</v>
      </c>
      <c r="N2102" t="str">
        <f>IF(Table1[[#This Row],[CLOSE_PRICE]]&gt;Table1[[#This Row],[OPEN_PRICE]],"Gain","Loss")</f>
        <v>Loss</v>
      </c>
      <c r="O2102" t="str">
        <f>IF(Table1[[#This Row],[MARKET_CAP]]&gt;200000000000,"Large Cap",
IF(Table1[[#This Row],[MARKET_CAP]]&gt;50000000000,"Mid Cap","Small Cap"))</f>
        <v>Small Cap</v>
      </c>
      <c r="P2102" t="str">
        <f>IF(Table1[[#This Row],[NET_TRDQTY]]&gt;1000000,"High Volume","Low Volume")</f>
        <v>Low Volume</v>
      </c>
    </row>
    <row r="2103" spans="1:16" x14ac:dyDescent="0.3">
      <c r="A2103" t="s">
        <v>4209</v>
      </c>
      <c r="B2103" t="s">
        <v>4210</v>
      </c>
      <c r="C2103">
        <v>30.12</v>
      </c>
      <c r="D2103">
        <v>30.12</v>
      </c>
      <c r="E2103">
        <v>28</v>
      </c>
      <c r="F2103">
        <v>28.89</v>
      </c>
      <c r="G2103">
        <v>29.98</v>
      </c>
      <c r="H2103">
        <v>56435</v>
      </c>
      <c r="I2103">
        <v>803</v>
      </c>
      <c r="J2103">
        <v>3858612102</v>
      </c>
      <c r="K2103">
        <v>133562205</v>
      </c>
      <c r="L2103">
        <f>(Table1[[#This Row],[CLOSE_PRICE]] - Table1[[#This Row],[PREV_CL_PR]]) / Table1[[#This Row],[PREV_CL_PR]] * 100</f>
        <v>-3.6357571714476311</v>
      </c>
      <c r="M2103">
        <f>Table1[[#This Row],[HIGH_PRICE]]-Table1[[#This Row],[LOW_PRICE]]</f>
        <v>2.120000000000001</v>
      </c>
      <c r="N2103" t="str">
        <f>IF(Table1[[#This Row],[CLOSE_PRICE]]&gt;Table1[[#This Row],[OPEN_PRICE]],"Gain","Loss")</f>
        <v>Loss</v>
      </c>
      <c r="O2103" t="str">
        <f>IF(Table1[[#This Row],[MARKET_CAP]]&gt;200000000000,"Large Cap",
IF(Table1[[#This Row],[MARKET_CAP]]&gt;50000000000,"Mid Cap","Small Cap"))</f>
        <v>Small Cap</v>
      </c>
      <c r="P2103" t="str">
        <f>IF(Table1[[#This Row],[NET_TRDQTY]]&gt;1000000,"High Volume","Low Volume")</f>
        <v>Low Volume</v>
      </c>
    </row>
    <row r="2104" spans="1:16" x14ac:dyDescent="0.3">
      <c r="A2104" t="s">
        <v>4211</v>
      </c>
      <c r="B2104" t="s">
        <v>4212</v>
      </c>
      <c r="C2104">
        <v>1385</v>
      </c>
      <c r="D2104">
        <v>1450</v>
      </c>
      <c r="E2104">
        <v>1350</v>
      </c>
      <c r="F2104">
        <v>1383.6</v>
      </c>
      <c r="G2104">
        <v>1413</v>
      </c>
      <c r="H2104">
        <v>13445</v>
      </c>
      <c r="I2104">
        <v>1168</v>
      </c>
      <c r="J2104">
        <v>16682196642</v>
      </c>
      <c r="K2104">
        <v>12057095</v>
      </c>
      <c r="L2104">
        <f>(Table1[[#This Row],[CLOSE_PRICE]] - Table1[[#This Row],[PREV_CL_PR]]) / Table1[[#This Row],[PREV_CL_PR]] * 100</f>
        <v>-2.0806794055201765</v>
      </c>
      <c r="M2104">
        <f>Table1[[#This Row],[HIGH_PRICE]]-Table1[[#This Row],[LOW_PRICE]]</f>
        <v>100</v>
      </c>
      <c r="N2104" t="str">
        <f>IF(Table1[[#This Row],[CLOSE_PRICE]]&gt;Table1[[#This Row],[OPEN_PRICE]],"Gain","Loss")</f>
        <v>Loss</v>
      </c>
      <c r="O2104" t="str">
        <f>IF(Table1[[#This Row],[MARKET_CAP]]&gt;200000000000,"Large Cap",
IF(Table1[[#This Row],[MARKET_CAP]]&gt;50000000000,"Mid Cap","Small Cap"))</f>
        <v>Small Cap</v>
      </c>
      <c r="P2104" t="str">
        <f>IF(Table1[[#This Row],[NET_TRDQTY]]&gt;1000000,"High Volume","Low Volume")</f>
        <v>Low Volume</v>
      </c>
    </row>
    <row r="2105" spans="1:16" x14ac:dyDescent="0.3">
      <c r="A2105" t="s">
        <v>4213</v>
      </c>
      <c r="B2105" t="s">
        <v>4214</v>
      </c>
      <c r="C2105">
        <v>638.9</v>
      </c>
      <c r="D2105">
        <v>638.9</v>
      </c>
      <c r="E2105">
        <v>613.1</v>
      </c>
      <c r="F2105">
        <v>619</v>
      </c>
      <c r="G2105">
        <v>640.25</v>
      </c>
      <c r="H2105">
        <v>614298</v>
      </c>
      <c r="I2105">
        <v>21133</v>
      </c>
      <c r="J2105">
        <v>59643346983</v>
      </c>
      <c r="K2105">
        <v>96354357</v>
      </c>
      <c r="L2105">
        <f>(Table1[[#This Row],[CLOSE_PRICE]] - Table1[[#This Row],[PREV_CL_PR]]) / Table1[[#This Row],[PREV_CL_PR]] * 100</f>
        <v>-3.3190160093713397</v>
      </c>
      <c r="M2105">
        <f>Table1[[#This Row],[HIGH_PRICE]]-Table1[[#This Row],[LOW_PRICE]]</f>
        <v>25.799999999999955</v>
      </c>
      <c r="N2105" t="str">
        <f>IF(Table1[[#This Row],[CLOSE_PRICE]]&gt;Table1[[#This Row],[OPEN_PRICE]],"Gain","Loss")</f>
        <v>Loss</v>
      </c>
      <c r="O2105" t="str">
        <f>IF(Table1[[#This Row],[MARKET_CAP]]&gt;200000000000,"Large Cap",
IF(Table1[[#This Row],[MARKET_CAP]]&gt;50000000000,"Mid Cap","Small Cap"))</f>
        <v>Mid Cap</v>
      </c>
      <c r="P2105" t="str">
        <f>IF(Table1[[#This Row],[NET_TRDQTY]]&gt;1000000,"High Volume","Low Volume")</f>
        <v>Low Volume</v>
      </c>
    </row>
    <row r="2106" spans="1:16" x14ac:dyDescent="0.3">
      <c r="A2106" t="s">
        <v>4215</v>
      </c>
      <c r="B2106" t="s">
        <v>4216</v>
      </c>
      <c r="C2106">
        <v>105.7</v>
      </c>
      <c r="D2106">
        <v>105.7</v>
      </c>
      <c r="E2106">
        <v>99.4</v>
      </c>
      <c r="F2106">
        <v>102.45</v>
      </c>
      <c r="G2106">
        <v>107.2</v>
      </c>
      <c r="H2106">
        <v>2167859</v>
      </c>
      <c r="I2106">
        <v>17201</v>
      </c>
      <c r="J2106">
        <v>16076063973</v>
      </c>
      <c r="K2106">
        <v>156916193</v>
      </c>
      <c r="L2106">
        <f>(Table1[[#This Row],[CLOSE_PRICE]] - Table1[[#This Row],[PREV_CL_PR]]) / Table1[[#This Row],[PREV_CL_PR]] * 100</f>
        <v>-4.4309701492537306</v>
      </c>
      <c r="M2106">
        <f>Table1[[#This Row],[HIGH_PRICE]]-Table1[[#This Row],[LOW_PRICE]]</f>
        <v>6.2999999999999972</v>
      </c>
      <c r="N2106" t="str">
        <f>IF(Table1[[#This Row],[CLOSE_PRICE]]&gt;Table1[[#This Row],[OPEN_PRICE]],"Gain","Loss")</f>
        <v>Loss</v>
      </c>
      <c r="O2106" t="str">
        <f>IF(Table1[[#This Row],[MARKET_CAP]]&gt;200000000000,"Large Cap",
IF(Table1[[#This Row],[MARKET_CAP]]&gt;50000000000,"Mid Cap","Small Cap"))</f>
        <v>Small Cap</v>
      </c>
      <c r="P2106" t="str">
        <f>IF(Table1[[#This Row],[NET_TRDQTY]]&gt;1000000,"High Volume","Low Volume")</f>
        <v>High Volume</v>
      </c>
    </row>
    <row r="2107" spans="1:16" x14ac:dyDescent="0.3">
      <c r="A2107" t="s">
        <v>4217</v>
      </c>
      <c r="B2107" t="s">
        <v>4218</v>
      </c>
      <c r="C2107">
        <v>18.489999999999998</v>
      </c>
      <c r="D2107">
        <v>18.489999999999998</v>
      </c>
      <c r="E2107">
        <v>17.559999999999999</v>
      </c>
      <c r="F2107">
        <v>17.649999999999999</v>
      </c>
      <c r="G2107">
        <v>18.579999999999998</v>
      </c>
      <c r="H2107">
        <v>135553006</v>
      </c>
      <c r="I2107">
        <v>124769</v>
      </c>
      <c r="J2107">
        <v>554000000000</v>
      </c>
      <c r="K2107">
        <v>31377549600</v>
      </c>
      <c r="L2107">
        <f>(Table1[[#This Row],[CLOSE_PRICE]] - Table1[[#This Row],[PREV_CL_PR]]) / Table1[[#This Row],[PREV_CL_PR]] * 100</f>
        <v>-5.0053821313240032</v>
      </c>
      <c r="M2107">
        <f>Table1[[#This Row],[HIGH_PRICE]]-Table1[[#This Row],[LOW_PRICE]]</f>
        <v>0.92999999999999972</v>
      </c>
      <c r="N2107" t="str">
        <f>IF(Table1[[#This Row],[CLOSE_PRICE]]&gt;Table1[[#This Row],[OPEN_PRICE]],"Gain","Loss")</f>
        <v>Loss</v>
      </c>
      <c r="O2107" t="str">
        <f>IF(Table1[[#This Row],[MARKET_CAP]]&gt;200000000000,"Large Cap",
IF(Table1[[#This Row],[MARKET_CAP]]&gt;50000000000,"Mid Cap","Small Cap"))</f>
        <v>Large Cap</v>
      </c>
      <c r="P2107" t="str">
        <f>IF(Table1[[#This Row],[NET_TRDQTY]]&gt;1000000,"High Volume","Low Volume")</f>
        <v>High Volume</v>
      </c>
    </row>
    <row r="2108" spans="1:16" x14ac:dyDescent="0.3">
      <c r="A2108" t="s">
        <v>4219</v>
      </c>
      <c r="B2108" t="s">
        <v>4220</v>
      </c>
      <c r="C2108">
        <v>668</v>
      </c>
      <c r="D2108">
        <v>668.05</v>
      </c>
      <c r="E2108">
        <v>625.5</v>
      </c>
      <c r="F2108">
        <v>634.1</v>
      </c>
      <c r="G2108">
        <v>668.3</v>
      </c>
      <c r="H2108">
        <v>13350</v>
      </c>
      <c r="I2108">
        <v>1039</v>
      </c>
      <c r="J2108">
        <v>8613614400</v>
      </c>
      <c r="K2108">
        <v>13584000</v>
      </c>
      <c r="L2108">
        <f>(Table1[[#This Row],[CLOSE_PRICE]] - Table1[[#This Row],[PREV_CL_PR]]) / Table1[[#This Row],[PREV_CL_PR]] * 100</f>
        <v>-5.1174622175669509</v>
      </c>
      <c r="M2108">
        <f>Table1[[#This Row],[HIGH_PRICE]]-Table1[[#This Row],[LOW_PRICE]]</f>
        <v>42.549999999999955</v>
      </c>
      <c r="N2108" t="str">
        <f>IF(Table1[[#This Row],[CLOSE_PRICE]]&gt;Table1[[#This Row],[OPEN_PRICE]],"Gain","Loss")</f>
        <v>Loss</v>
      </c>
      <c r="O2108" t="str">
        <f>IF(Table1[[#This Row],[MARKET_CAP]]&gt;200000000000,"Large Cap",
IF(Table1[[#This Row],[MARKET_CAP]]&gt;50000000000,"Mid Cap","Small Cap"))</f>
        <v>Small Cap</v>
      </c>
      <c r="P2108" t="str">
        <f>IF(Table1[[#This Row],[NET_TRDQTY]]&gt;1000000,"High Volume","Low Volume")</f>
        <v>Low Volume</v>
      </c>
    </row>
    <row r="2109" spans="1:16" x14ac:dyDescent="0.3">
      <c r="A2109" t="s">
        <v>4221</v>
      </c>
      <c r="B2109" t="s">
        <v>4222</v>
      </c>
      <c r="C2109">
        <v>206</v>
      </c>
      <c r="D2109">
        <v>208.69</v>
      </c>
      <c r="E2109">
        <v>192</v>
      </c>
      <c r="F2109">
        <v>194.46</v>
      </c>
      <c r="G2109">
        <v>207.81</v>
      </c>
      <c r="H2109">
        <v>1806397</v>
      </c>
      <c r="I2109">
        <v>19491</v>
      </c>
      <c r="J2109">
        <v>26145529503</v>
      </c>
      <c r="K2109">
        <v>134451967</v>
      </c>
      <c r="L2109">
        <f>(Table1[[#This Row],[CLOSE_PRICE]] - Table1[[#This Row],[PREV_CL_PR]]) / Table1[[#This Row],[PREV_CL_PR]] * 100</f>
        <v>-6.4241374332322767</v>
      </c>
      <c r="M2109">
        <f>Table1[[#This Row],[HIGH_PRICE]]-Table1[[#This Row],[LOW_PRICE]]</f>
        <v>16.689999999999998</v>
      </c>
      <c r="N2109" t="str">
        <f>IF(Table1[[#This Row],[CLOSE_PRICE]]&gt;Table1[[#This Row],[OPEN_PRICE]],"Gain","Loss")</f>
        <v>Loss</v>
      </c>
      <c r="O2109" t="str">
        <f>IF(Table1[[#This Row],[MARKET_CAP]]&gt;200000000000,"Large Cap",
IF(Table1[[#This Row],[MARKET_CAP]]&gt;50000000000,"Mid Cap","Small Cap"))</f>
        <v>Small Cap</v>
      </c>
      <c r="P2109" t="str">
        <f>IF(Table1[[#This Row],[NET_TRDQTY]]&gt;1000000,"High Volume","Low Volume")</f>
        <v>High Volume</v>
      </c>
    </row>
    <row r="2110" spans="1:16" x14ac:dyDescent="0.3">
      <c r="A2110" t="s">
        <v>4223</v>
      </c>
      <c r="B2110" t="s">
        <v>4224</v>
      </c>
      <c r="C2110">
        <v>71.989999999999995</v>
      </c>
      <c r="D2110">
        <v>71.989999999999995</v>
      </c>
      <c r="E2110">
        <v>68</v>
      </c>
      <c r="F2110">
        <v>68.39</v>
      </c>
      <c r="G2110">
        <v>72.78</v>
      </c>
      <c r="H2110">
        <v>15662966</v>
      </c>
      <c r="I2110">
        <v>55922</v>
      </c>
      <c r="J2110">
        <v>65689923134</v>
      </c>
      <c r="K2110">
        <v>960519420</v>
      </c>
      <c r="L2110">
        <f>(Table1[[#This Row],[CLOSE_PRICE]] - Table1[[#This Row],[PREV_CL_PR]]) / Table1[[#This Row],[PREV_CL_PR]] * 100</f>
        <v>-6.0318768892552912</v>
      </c>
      <c r="M2110">
        <f>Table1[[#This Row],[HIGH_PRICE]]-Table1[[#This Row],[LOW_PRICE]]</f>
        <v>3.9899999999999949</v>
      </c>
      <c r="N2110" t="str">
        <f>IF(Table1[[#This Row],[CLOSE_PRICE]]&gt;Table1[[#This Row],[OPEN_PRICE]],"Gain","Loss")</f>
        <v>Loss</v>
      </c>
      <c r="O2110" t="str">
        <f>IF(Table1[[#This Row],[MARKET_CAP]]&gt;200000000000,"Large Cap",
IF(Table1[[#This Row],[MARKET_CAP]]&gt;50000000000,"Mid Cap","Small Cap"))</f>
        <v>Mid Cap</v>
      </c>
      <c r="P2110" t="str">
        <f>IF(Table1[[#This Row],[NET_TRDQTY]]&gt;1000000,"High Volume","Low Volume")</f>
        <v>High Volume</v>
      </c>
    </row>
    <row r="2111" spans="1:16" x14ac:dyDescent="0.3">
      <c r="A2111" t="s">
        <v>4225</v>
      </c>
      <c r="B2111" t="s">
        <v>4226</v>
      </c>
      <c r="C2111">
        <v>5.09</v>
      </c>
      <c r="D2111">
        <v>5.18</v>
      </c>
      <c r="E2111">
        <v>4.8499999999999996</v>
      </c>
      <c r="F2111">
        <v>4.9000000000000004</v>
      </c>
      <c r="G2111">
        <v>5.09</v>
      </c>
      <c r="H2111">
        <v>709240</v>
      </c>
      <c r="I2111">
        <v>1166</v>
      </c>
      <c r="J2111">
        <v>1602603825</v>
      </c>
      <c r="K2111">
        <v>327062005</v>
      </c>
      <c r="L2111">
        <f>(Table1[[#This Row],[CLOSE_PRICE]] - Table1[[#This Row],[PREV_CL_PR]]) / Table1[[#This Row],[PREV_CL_PR]] * 100</f>
        <v>-3.7328094302553931</v>
      </c>
      <c r="M2111">
        <f>Table1[[#This Row],[HIGH_PRICE]]-Table1[[#This Row],[LOW_PRICE]]</f>
        <v>0.33000000000000007</v>
      </c>
      <c r="N2111" t="str">
        <f>IF(Table1[[#This Row],[CLOSE_PRICE]]&gt;Table1[[#This Row],[OPEN_PRICE]],"Gain","Loss")</f>
        <v>Loss</v>
      </c>
      <c r="O2111" t="str">
        <f>IF(Table1[[#This Row],[MARKET_CAP]]&gt;200000000000,"Large Cap",
IF(Table1[[#This Row],[MARKET_CAP]]&gt;50000000000,"Mid Cap","Small Cap"))</f>
        <v>Small Cap</v>
      </c>
      <c r="P2111" t="str">
        <f>IF(Table1[[#This Row],[NET_TRDQTY]]&gt;1000000,"High Volume","Low Volume")</f>
        <v>Low Volume</v>
      </c>
    </row>
    <row r="2112" spans="1:16" x14ac:dyDescent="0.3">
      <c r="A2112" t="s">
        <v>4227</v>
      </c>
      <c r="B2112" t="s">
        <v>4228</v>
      </c>
      <c r="C2112">
        <v>190</v>
      </c>
      <c r="D2112">
        <v>190</v>
      </c>
      <c r="E2112">
        <v>178.6</v>
      </c>
      <c r="F2112">
        <v>178.98</v>
      </c>
      <c r="G2112">
        <v>188</v>
      </c>
      <c r="H2112">
        <v>770</v>
      </c>
      <c r="I2112">
        <v>26</v>
      </c>
      <c r="J2112">
        <v>965820825</v>
      </c>
      <c r="K2112">
        <v>5396250</v>
      </c>
      <c r="L2112">
        <f>(Table1[[#This Row],[CLOSE_PRICE]] - Table1[[#This Row],[PREV_CL_PR]]) / Table1[[#This Row],[PREV_CL_PR]] * 100</f>
        <v>-4.7978723404255375</v>
      </c>
      <c r="M2112">
        <f>Table1[[#This Row],[HIGH_PRICE]]-Table1[[#This Row],[LOW_PRICE]]</f>
        <v>11.400000000000006</v>
      </c>
      <c r="N2112" t="str">
        <f>IF(Table1[[#This Row],[CLOSE_PRICE]]&gt;Table1[[#This Row],[OPEN_PRICE]],"Gain","Loss")</f>
        <v>Loss</v>
      </c>
      <c r="O2112" t="str">
        <f>IF(Table1[[#This Row],[MARKET_CAP]]&gt;200000000000,"Large Cap",
IF(Table1[[#This Row],[MARKET_CAP]]&gt;50000000000,"Mid Cap","Small Cap"))</f>
        <v>Small Cap</v>
      </c>
      <c r="P2112" t="str">
        <f>IF(Table1[[#This Row],[NET_TRDQTY]]&gt;1000000,"High Volume","Low Volume")</f>
        <v>Low Volume</v>
      </c>
    </row>
    <row r="2113" spans="1:16" x14ac:dyDescent="0.3">
      <c r="A2113" t="s">
        <v>4229</v>
      </c>
      <c r="B2113" t="s">
        <v>4230</v>
      </c>
      <c r="C2113">
        <v>5.05</v>
      </c>
      <c r="D2113">
        <v>5.05</v>
      </c>
      <c r="E2113">
        <v>4.75</v>
      </c>
      <c r="F2113">
        <v>4.7699999999999996</v>
      </c>
      <c r="G2113">
        <v>5</v>
      </c>
      <c r="H2113">
        <v>169586</v>
      </c>
      <c r="I2113">
        <v>289</v>
      </c>
      <c r="J2113">
        <v>678677737</v>
      </c>
      <c r="K2113">
        <v>142280448</v>
      </c>
      <c r="L2113">
        <f>(Table1[[#This Row],[CLOSE_PRICE]] - Table1[[#This Row],[PREV_CL_PR]]) / Table1[[#This Row],[PREV_CL_PR]] * 100</f>
        <v>-4.6000000000000085</v>
      </c>
      <c r="M2113">
        <f>Table1[[#This Row],[HIGH_PRICE]]-Table1[[#This Row],[LOW_PRICE]]</f>
        <v>0.29999999999999982</v>
      </c>
      <c r="N2113" t="str">
        <f>IF(Table1[[#This Row],[CLOSE_PRICE]]&gt;Table1[[#This Row],[OPEN_PRICE]],"Gain","Loss")</f>
        <v>Loss</v>
      </c>
      <c r="O2113" t="str">
        <f>IF(Table1[[#This Row],[MARKET_CAP]]&gt;200000000000,"Large Cap",
IF(Table1[[#This Row],[MARKET_CAP]]&gt;50000000000,"Mid Cap","Small Cap"))</f>
        <v>Small Cap</v>
      </c>
      <c r="P2113" t="str">
        <f>IF(Table1[[#This Row],[NET_TRDQTY]]&gt;1000000,"High Volume","Low Volume")</f>
        <v>Low Volume</v>
      </c>
    </row>
    <row r="2114" spans="1:16" x14ac:dyDescent="0.3">
      <c r="A2114" t="s">
        <v>4231</v>
      </c>
      <c r="B2114" t="s">
        <v>4232</v>
      </c>
      <c r="C2114">
        <v>562.95000000000005</v>
      </c>
      <c r="D2114">
        <v>562.95000000000005</v>
      </c>
      <c r="E2114">
        <v>537.29999999999995</v>
      </c>
      <c r="F2114">
        <v>545.20000000000005</v>
      </c>
      <c r="G2114">
        <v>564.9</v>
      </c>
      <c r="H2114">
        <v>268696</v>
      </c>
      <c r="I2114">
        <v>20434</v>
      </c>
      <c r="J2114">
        <v>124000000000</v>
      </c>
      <c r="K2114">
        <v>227372542</v>
      </c>
      <c r="L2114">
        <f>(Table1[[#This Row],[CLOSE_PRICE]] - Table1[[#This Row],[PREV_CL_PR]]) / Table1[[#This Row],[PREV_CL_PR]] * 100</f>
        <v>-3.4873428925473418</v>
      </c>
      <c r="M2114">
        <f>Table1[[#This Row],[HIGH_PRICE]]-Table1[[#This Row],[LOW_PRICE]]</f>
        <v>25.650000000000091</v>
      </c>
      <c r="N2114" t="str">
        <f>IF(Table1[[#This Row],[CLOSE_PRICE]]&gt;Table1[[#This Row],[OPEN_PRICE]],"Gain","Loss")</f>
        <v>Loss</v>
      </c>
      <c r="O2114" t="str">
        <f>IF(Table1[[#This Row],[MARKET_CAP]]&gt;200000000000,"Large Cap",
IF(Table1[[#This Row],[MARKET_CAP]]&gt;50000000000,"Mid Cap","Small Cap"))</f>
        <v>Mid Cap</v>
      </c>
      <c r="P2114" t="str">
        <f>IF(Table1[[#This Row],[NET_TRDQTY]]&gt;1000000,"High Volume","Low Volume")</f>
        <v>Low Volume</v>
      </c>
    </row>
    <row r="2115" spans="1:16" x14ac:dyDescent="0.3">
      <c r="A2115" t="s">
        <v>4233</v>
      </c>
      <c r="B2115" t="s">
        <v>4234</v>
      </c>
      <c r="C2115">
        <v>1400</v>
      </c>
      <c r="D2115">
        <v>1400</v>
      </c>
      <c r="E2115">
        <v>1339.2</v>
      </c>
      <c r="F2115">
        <v>1357.8</v>
      </c>
      <c r="G2115">
        <v>1413.9</v>
      </c>
      <c r="H2115">
        <v>505113</v>
      </c>
      <c r="I2115">
        <v>31356</v>
      </c>
      <c r="J2115">
        <v>123000000000</v>
      </c>
      <c r="K2115">
        <v>90290356</v>
      </c>
      <c r="L2115">
        <f>(Table1[[#This Row],[CLOSE_PRICE]] - Table1[[#This Row],[PREV_CL_PR]]) / Table1[[#This Row],[PREV_CL_PR]] * 100</f>
        <v>-3.9677487799703046</v>
      </c>
      <c r="M2115">
        <f>Table1[[#This Row],[HIGH_PRICE]]-Table1[[#This Row],[LOW_PRICE]]</f>
        <v>60.799999999999955</v>
      </c>
      <c r="N2115" t="str">
        <f>IF(Table1[[#This Row],[CLOSE_PRICE]]&gt;Table1[[#This Row],[OPEN_PRICE]],"Gain","Loss")</f>
        <v>Loss</v>
      </c>
      <c r="O2115" t="str">
        <f>IF(Table1[[#This Row],[MARKET_CAP]]&gt;200000000000,"Large Cap",
IF(Table1[[#This Row],[MARKET_CAP]]&gt;50000000000,"Mid Cap","Small Cap"))</f>
        <v>Mid Cap</v>
      </c>
      <c r="P2115" t="str">
        <f>IF(Table1[[#This Row],[NET_TRDQTY]]&gt;1000000,"High Volume","Low Volume")</f>
        <v>Low Volume</v>
      </c>
    </row>
    <row r="2116" spans="1:16" x14ac:dyDescent="0.3">
      <c r="A2116" t="s">
        <v>4235</v>
      </c>
      <c r="B2116" t="s">
        <v>4236</v>
      </c>
      <c r="C2116">
        <v>13770</v>
      </c>
      <c r="D2116">
        <v>13770</v>
      </c>
      <c r="E2116">
        <v>12952</v>
      </c>
      <c r="F2116">
        <v>13323</v>
      </c>
      <c r="G2116">
        <v>13801</v>
      </c>
      <c r="H2116">
        <v>15547</v>
      </c>
      <c r="I2116">
        <v>6780</v>
      </c>
      <c r="J2116">
        <v>253000000000</v>
      </c>
      <c r="K2116">
        <v>18967584</v>
      </c>
      <c r="L2116">
        <f>(Table1[[#This Row],[CLOSE_PRICE]] - Table1[[#This Row],[PREV_CL_PR]]) / Table1[[#This Row],[PREV_CL_PR]] * 100</f>
        <v>-3.4635171364393882</v>
      </c>
      <c r="M2116">
        <f>Table1[[#This Row],[HIGH_PRICE]]-Table1[[#This Row],[LOW_PRICE]]</f>
        <v>818</v>
      </c>
      <c r="N2116" t="str">
        <f>IF(Table1[[#This Row],[CLOSE_PRICE]]&gt;Table1[[#This Row],[OPEN_PRICE]],"Gain","Loss")</f>
        <v>Loss</v>
      </c>
      <c r="O2116" t="str">
        <f>IF(Table1[[#This Row],[MARKET_CAP]]&gt;200000000000,"Large Cap",
IF(Table1[[#This Row],[MARKET_CAP]]&gt;50000000000,"Mid Cap","Small Cap"))</f>
        <v>Large Cap</v>
      </c>
      <c r="P2116" t="str">
        <f>IF(Table1[[#This Row],[NET_TRDQTY]]&gt;1000000,"High Volume","Low Volume")</f>
        <v>Low Volume</v>
      </c>
    </row>
    <row r="2117" spans="1:16" x14ac:dyDescent="0.3">
      <c r="A2117" t="s">
        <v>4237</v>
      </c>
      <c r="B2117" t="s">
        <v>4238</v>
      </c>
      <c r="C2117">
        <v>65.319999999999993</v>
      </c>
      <c r="D2117">
        <v>66.89</v>
      </c>
      <c r="E2117">
        <v>59.8</v>
      </c>
      <c r="F2117">
        <v>60.76</v>
      </c>
      <c r="G2117">
        <v>67.680000000000007</v>
      </c>
      <c r="H2117">
        <v>150115</v>
      </c>
      <c r="I2117">
        <v>2509</v>
      </c>
      <c r="J2117">
        <v>2961188059</v>
      </c>
      <c r="K2117">
        <v>48735814</v>
      </c>
      <c r="L2117">
        <f>(Table1[[#This Row],[CLOSE_PRICE]] - Table1[[#This Row],[PREV_CL_PR]]) / Table1[[#This Row],[PREV_CL_PR]] * 100</f>
        <v>-10.224586288416088</v>
      </c>
      <c r="M2117">
        <f>Table1[[#This Row],[HIGH_PRICE]]-Table1[[#This Row],[LOW_PRICE]]</f>
        <v>7.0900000000000034</v>
      </c>
      <c r="N2117" t="str">
        <f>IF(Table1[[#This Row],[CLOSE_PRICE]]&gt;Table1[[#This Row],[OPEN_PRICE]],"Gain","Loss")</f>
        <v>Loss</v>
      </c>
      <c r="O2117" t="str">
        <f>IF(Table1[[#This Row],[MARKET_CAP]]&gt;200000000000,"Large Cap",
IF(Table1[[#This Row],[MARKET_CAP]]&gt;50000000000,"Mid Cap","Small Cap"))</f>
        <v>Small Cap</v>
      </c>
      <c r="P2117" t="str">
        <f>IF(Table1[[#This Row],[NET_TRDQTY]]&gt;1000000,"High Volume","Low Volume")</f>
        <v>Low Volume</v>
      </c>
    </row>
    <row r="2118" spans="1:16" x14ac:dyDescent="0.3">
      <c r="A2118" t="s">
        <v>4239</v>
      </c>
      <c r="B2118" t="s">
        <v>4240</v>
      </c>
      <c r="C2118">
        <v>253.5</v>
      </c>
      <c r="D2118">
        <v>253.5</v>
      </c>
      <c r="E2118">
        <v>240</v>
      </c>
      <c r="F2118">
        <v>244.1</v>
      </c>
      <c r="G2118">
        <v>252.7</v>
      </c>
      <c r="H2118">
        <v>14024</v>
      </c>
      <c r="I2118">
        <v>999</v>
      </c>
      <c r="J2118">
        <v>3691692729</v>
      </c>
      <c r="K2118">
        <v>15123690</v>
      </c>
      <c r="L2118">
        <f>(Table1[[#This Row],[CLOSE_PRICE]] - Table1[[#This Row],[PREV_CL_PR]]) / Table1[[#This Row],[PREV_CL_PR]] * 100</f>
        <v>-3.4032449544914898</v>
      </c>
      <c r="M2118">
        <f>Table1[[#This Row],[HIGH_PRICE]]-Table1[[#This Row],[LOW_PRICE]]</f>
        <v>13.5</v>
      </c>
      <c r="N2118" t="str">
        <f>IF(Table1[[#This Row],[CLOSE_PRICE]]&gt;Table1[[#This Row],[OPEN_PRICE]],"Gain","Loss")</f>
        <v>Loss</v>
      </c>
      <c r="O2118" t="str">
        <f>IF(Table1[[#This Row],[MARKET_CAP]]&gt;200000000000,"Large Cap",
IF(Table1[[#This Row],[MARKET_CAP]]&gt;50000000000,"Mid Cap","Small Cap"))</f>
        <v>Small Cap</v>
      </c>
      <c r="P2118" t="str">
        <f>IF(Table1[[#This Row],[NET_TRDQTY]]&gt;1000000,"High Volume","Low Volume")</f>
        <v>Low Volume</v>
      </c>
    </row>
    <row r="2119" spans="1:16" x14ac:dyDescent="0.3">
      <c r="A2119" t="s">
        <v>4241</v>
      </c>
      <c r="B2119" t="s">
        <v>4242</v>
      </c>
      <c r="C2119">
        <v>66.56</v>
      </c>
      <c r="D2119">
        <v>66.56</v>
      </c>
      <c r="E2119">
        <v>60.2</v>
      </c>
      <c r="F2119">
        <v>61.15</v>
      </c>
      <c r="G2119">
        <v>66.56</v>
      </c>
      <c r="H2119">
        <v>33021</v>
      </c>
      <c r="I2119">
        <v>683</v>
      </c>
      <c r="J2119">
        <v>1589515795</v>
      </c>
      <c r="K2119">
        <v>25993717</v>
      </c>
      <c r="L2119">
        <f>(Table1[[#This Row],[CLOSE_PRICE]] - Table1[[#This Row],[PREV_CL_PR]]) / Table1[[#This Row],[PREV_CL_PR]] * 100</f>
        <v>-8.1280048076923137</v>
      </c>
      <c r="M2119">
        <f>Table1[[#This Row],[HIGH_PRICE]]-Table1[[#This Row],[LOW_PRICE]]</f>
        <v>6.3599999999999994</v>
      </c>
      <c r="N2119" t="str">
        <f>IF(Table1[[#This Row],[CLOSE_PRICE]]&gt;Table1[[#This Row],[OPEN_PRICE]],"Gain","Loss")</f>
        <v>Loss</v>
      </c>
      <c r="O2119" t="str">
        <f>IF(Table1[[#This Row],[MARKET_CAP]]&gt;200000000000,"Large Cap",
IF(Table1[[#This Row],[MARKET_CAP]]&gt;50000000000,"Mid Cap","Small Cap"))</f>
        <v>Small Cap</v>
      </c>
      <c r="P2119" t="str">
        <f>IF(Table1[[#This Row],[NET_TRDQTY]]&gt;1000000,"High Volume","Low Volume")</f>
        <v>Low Volume</v>
      </c>
    </row>
    <row r="2120" spans="1:16" x14ac:dyDescent="0.3">
      <c r="A2120" t="s">
        <v>4243</v>
      </c>
      <c r="B2120" t="s">
        <v>4244</v>
      </c>
      <c r="C2120">
        <v>1095</v>
      </c>
      <c r="D2120">
        <v>1095</v>
      </c>
      <c r="E2120">
        <v>1026.2</v>
      </c>
      <c r="F2120">
        <v>1043.0999999999999</v>
      </c>
      <c r="G2120">
        <v>1097.4000000000001</v>
      </c>
      <c r="H2120">
        <v>59843</v>
      </c>
      <c r="I2120">
        <v>3382</v>
      </c>
      <c r="J2120">
        <v>34601088383</v>
      </c>
      <c r="K2120">
        <v>33171401</v>
      </c>
      <c r="L2120">
        <f>(Table1[[#This Row],[CLOSE_PRICE]] - Table1[[#This Row],[PREV_CL_PR]]) / Table1[[#This Row],[PREV_CL_PR]] * 100</f>
        <v>-4.948059048660487</v>
      </c>
      <c r="M2120">
        <f>Table1[[#This Row],[HIGH_PRICE]]-Table1[[#This Row],[LOW_PRICE]]</f>
        <v>68.799999999999955</v>
      </c>
      <c r="N2120" t="str">
        <f>IF(Table1[[#This Row],[CLOSE_PRICE]]&gt;Table1[[#This Row],[OPEN_PRICE]],"Gain","Loss")</f>
        <v>Loss</v>
      </c>
      <c r="O2120" t="str">
        <f>IF(Table1[[#This Row],[MARKET_CAP]]&gt;200000000000,"Large Cap",
IF(Table1[[#This Row],[MARKET_CAP]]&gt;50000000000,"Mid Cap","Small Cap"))</f>
        <v>Small Cap</v>
      </c>
      <c r="P2120" t="str">
        <f>IF(Table1[[#This Row],[NET_TRDQTY]]&gt;1000000,"High Volume","Low Volume")</f>
        <v>Low Volume</v>
      </c>
    </row>
    <row r="2121" spans="1:16" x14ac:dyDescent="0.3">
      <c r="A2121" t="s">
        <v>4245</v>
      </c>
      <c r="B2121" t="s">
        <v>4246</v>
      </c>
      <c r="C2121">
        <v>195</v>
      </c>
      <c r="D2121">
        <v>196.39</v>
      </c>
      <c r="E2121">
        <v>185</v>
      </c>
      <c r="F2121">
        <v>185.75</v>
      </c>
      <c r="G2121">
        <v>197.42</v>
      </c>
      <c r="H2121">
        <v>204074</v>
      </c>
      <c r="I2121">
        <v>3886</v>
      </c>
      <c r="J2121">
        <v>7812274615</v>
      </c>
      <c r="K2121">
        <v>42058006</v>
      </c>
      <c r="L2121">
        <f>(Table1[[#This Row],[CLOSE_PRICE]] - Table1[[#This Row],[PREV_CL_PR]]) / Table1[[#This Row],[PREV_CL_PR]] * 100</f>
        <v>-5.9112551919764913</v>
      </c>
      <c r="M2121">
        <f>Table1[[#This Row],[HIGH_PRICE]]-Table1[[#This Row],[LOW_PRICE]]</f>
        <v>11.389999999999986</v>
      </c>
      <c r="N2121" t="str">
        <f>IF(Table1[[#This Row],[CLOSE_PRICE]]&gt;Table1[[#This Row],[OPEN_PRICE]],"Gain","Loss")</f>
        <v>Loss</v>
      </c>
      <c r="O2121" t="str">
        <f>IF(Table1[[#This Row],[MARKET_CAP]]&gt;200000000000,"Large Cap",
IF(Table1[[#This Row],[MARKET_CAP]]&gt;50000000000,"Mid Cap","Small Cap"))</f>
        <v>Small Cap</v>
      </c>
      <c r="P2121" t="str">
        <f>IF(Table1[[#This Row],[NET_TRDQTY]]&gt;1000000,"High Volume","Low Volume")</f>
        <v>Low Volume</v>
      </c>
    </row>
    <row r="2122" spans="1:16" x14ac:dyDescent="0.3">
      <c r="A2122" t="s">
        <v>4247</v>
      </c>
      <c r="B2122" t="s">
        <v>4248</v>
      </c>
      <c r="C2122">
        <v>226.55</v>
      </c>
      <c r="D2122">
        <v>232.95</v>
      </c>
      <c r="E2122">
        <v>214.05</v>
      </c>
      <c r="F2122">
        <v>215.75</v>
      </c>
      <c r="G2122">
        <v>230.45</v>
      </c>
      <c r="H2122">
        <v>107938</v>
      </c>
      <c r="I2122">
        <v>2823</v>
      </c>
      <c r="J2122">
        <v>6425290448</v>
      </c>
      <c r="K2122">
        <v>29781184</v>
      </c>
      <c r="L2122">
        <f>(Table1[[#This Row],[CLOSE_PRICE]] - Table1[[#This Row],[PREV_CL_PR]]) / Table1[[#This Row],[PREV_CL_PR]] * 100</f>
        <v>-6.3788240399218878</v>
      </c>
      <c r="M2122">
        <f>Table1[[#This Row],[HIGH_PRICE]]-Table1[[#This Row],[LOW_PRICE]]</f>
        <v>18.899999999999977</v>
      </c>
      <c r="N2122" t="str">
        <f>IF(Table1[[#This Row],[CLOSE_PRICE]]&gt;Table1[[#This Row],[OPEN_PRICE]],"Gain","Loss")</f>
        <v>Loss</v>
      </c>
      <c r="O2122" t="str">
        <f>IF(Table1[[#This Row],[MARKET_CAP]]&gt;200000000000,"Large Cap",
IF(Table1[[#This Row],[MARKET_CAP]]&gt;50000000000,"Mid Cap","Small Cap"))</f>
        <v>Small Cap</v>
      </c>
      <c r="P2122" t="str">
        <f>IF(Table1[[#This Row],[NET_TRDQTY]]&gt;1000000,"High Volume","Low Volume")</f>
        <v>Low Volume</v>
      </c>
    </row>
    <row r="2123" spans="1:16" x14ac:dyDescent="0.3">
      <c r="A2123" t="s">
        <v>4249</v>
      </c>
      <c r="B2123" t="s">
        <v>4250</v>
      </c>
      <c r="C2123">
        <v>415</v>
      </c>
      <c r="D2123">
        <v>418.45</v>
      </c>
      <c r="E2123">
        <v>404.25</v>
      </c>
      <c r="F2123">
        <v>414.45</v>
      </c>
      <c r="G2123">
        <v>424.65</v>
      </c>
      <c r="H2123">
        <v>272662</v>
      </c>
      <c r="I2123">
        <v>14367</v>
      </c>
      <c r="J2123">
        <v>132000000000</v>
      </c>
      <c r="K2123">
        <v>318160720</v>
      </c>
      <c r="L2123">
        <f>(Table1[[#This Row],[CLOSE_PRICE]] - Table1[[#This Row],[PREV_CL_PR]]) / Table1[[#This Row],[PREV_CL_PR]] * 100</f>
        <v>-2.4019780996114419</v>
      </c>
      <c r="M2123">
        <f>Table1[[#This Row],[HIGH_PRICE]]-Table1[[#This Row],[LOW_PRICE]]</f>
        <v>14.199999999999989</v>
      </c>
      <c r="N2123" t="str">
        <f>IF(Table1[[#This Row],[CLOSE_PRICE]]&gt;Table1[[#This Row],[OPEN_PRICE]],"Gain","Loss")</f>
        <v>Loss</v>
      </c>
      <c r="O2123" t="str">
        <f>IF(Table1[[#This Row],[MARKET_CAP]]&gt;200000000000,"Large Cap",
IF(Table1[[#This Row],[MARKET_CAP]]&gt;50000000000,"Mid Cap","Small Cap"))</f>
        <v>Mid Cap</v>
      </c>
      <c r="P2123" t="str">
        <f>IF(Table1[[#This Row],[NET_TRDQTY]]&gt;1000000,"High Volume","Low Volume")</f>
        <v>Low Volume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0FCF-533D-488E-A51D-19878172E4B4}">
  <dimension ref="A1"/>
  <sheetViews>
    <sheetView tabSelected="1" zoomScale="55" zoomScaleNormal="55" workbookViewId="0">
      <selection activeCell="AA10" sqref="AA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KIT04</dc:creator>
  <cp:lastModifiedBy>Kit Asus 4</cp:lastModifiedBy>
  <dcterms:created xsi:type="dcterms:W3CDTF">2026-04-06T11:45:08Z</dcterms:created>
  <dcterms:modified xsi:type="dcterms:W3CDTF">2026-04-06T17:06:51Z</dcterms:modified>
</cp:coreProperties>
</file>